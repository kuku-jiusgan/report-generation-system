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XM2026219——L-焦谷氨酸伏诺拉生中基因毒杂质研究\XM2026219-03\"/>
    </mc:Choice>
  </mc:AlternateContent>
  <xr:revisionPtr revIDLastSave="0" documentId="13_ncr:1_{3FBA708B-111C-4B76-9456-E5C50D5CFFFC}" xr6:coauthVersionLast="47" xr6:coauthVersionMax="47" xr10:uidLastSave="{00000000-0000-0000-0000-000000000000}"/>
  <bookViews>
    <workbookView xWindow="-110" yWindow="-110" windowWidth="19420" windowHeight="10420" firstSheet="7" activeTab="9" xr2:uid="{00000000-000D-0000-FFFF-FFFF00000000}"/>
  </bookViews>
  <sheets>
    <sheet name="首页" sheetId="1" r:id="rId1"/>
    <sheet name="系统适用性" sheetId="2" r:id="rId2"/>
    <sheet name="对照品配制" sheetId="3" r:id="rId3"/>
    <sheet name="专属性" sheetId="4" r:id="rId4"/>
    <sheet name="检测限与定量限" sheetId="5" r:id="rId5"/>
    <sheet name="线性" sheetId="6" r:id="rId6"/>
    <sheet name="重复性跟中间精密度" sheetId="7" r:id="rId7"/>
    <sheet name="准确度" sheetId="8" r:id="rId8"/>
    <sheet name="溶液稳定性" sheetId="9" r:id="rId9"/>
    <sheet name="耐用性" sheetId="10" r:id="rId10"/>
    <sheet name="检测" sheetId="11" r:id="rId11"/>
    <sheet name="3-吡啶磺酸甲酯" sheetId="12" r:id="rId12"/>
    <sheet name="_tpl_system" sheetId="13" state="veryHidden" r:id="rId13"/>
    <sheet name="_tpl_refstd" sheetId="14" state="veryHidden" r:id="rId14"/>
    <sheet name="_tpl_specificity" sheetId="15" state="veryHidden" r:id="rId15"/>
    <sheet name="_tpl_lodloq" sheetId="16" state="veryHidden" r:id="rId16"/>
    <sheet name="_tpl_linear" sheetId="17" state="veryHidden" r:id="rId17"/>
    <sheet name="_tpl_repeat" sheetId="18" state="veryHidden" r:id="rId18"/>
    <sheet name="_tpl_accuracy" sheetId="19" state="veryHidden" r:id="rId19"/>
    <sheet name="_tpl_stability" sheetId="20" state="veryHidden" r:id="rId20"/>
    <sheet name="_tpl_detection" sheetId="21" state="veryHidden" r:id="rId21"/>
    <sheet name="3-吡啶磺酸乙酯" sheetId="22" r:id="rId22"/>
    <sheet name="3-吡啶磺酸异丙酯" sheetId="23" r:id="rId23"/>
  </sheets>
  <calcPr calcId="181029"/>
</workbook>
</file>

<file path=xl/calcChain.xml><?xml version="1.0" encoding="utf-8"?>
<calcChain xmlns="http://schemas.openxmlformats.org/spreadsheetml/2006/main">
  <c r="H80" i="8" l="1"/>
  <c r="K80" i="8" s="1"/>
  <c r="H79" i="8"/>
  <c r="J78" i="8"/>
  <c r="H78" i="8"/>
  <c r="K78" i="8" s="1"/>
  <c r="L78" i="8" s="1"/>
  <c r="H77" i="8"/>
  <c r="H76" i="8"/>
  <c r="J75" i="8"/>
  <c r="H75" i="8"/>
  <c r="K75" i="8" s="1"/>
  <c r="L75" i="8" s="1"/>
  <c r="H74" i="8"/>
  <c r="H73" i="8"/>
  <c r="J72" i="8"/>
  <c r="H72" i="8"/>
  <c r="J68" i="8"/>
  <c r="K68" i="8"/>
  <c r="G68" i="8"/>
  <c r="H68" i="8"/>
  <c r="I68" i="8"/>
  <c r="F68" i="8"/>
  <c r="K40" i="8"/>
  <c r="J40" i="8"/>
  <c r="I40" i="8"/>
  <c r="H40" i="8"/>
  <c r="G40" i="8"/>
  <c r="F40" i="8"/>
  <c r="E68" i="8"/>
  <c r="D68" i="8"/>
  <c r="D40" i="8"/>
  <c r="E40" i="8" s="1"/>
  <c r="H52" i="8"/>
  <c r="H51" i="8"/>
  <c r="H50" i="8"/>
  <c r="H49" i="8"/>
  <c r="H48" i="8"/>
  <c r="H47" i="8"/>
  <c r="H46" i="8"/>
  <c r="H45" i="8"/>
  <c r="H44" i="8"/>
  <c r="J22" i="8"/>
  <c r="K24" i="8" s="1"/>
  <c r="J19" i="8"/>
  <c r="K21" i="8" s="1"/>
  <c r="J16" i="8"/>
  <c r="K12" i="8"/>
  <c r="J12" i="8"/>
  <c r="I12" i="8"/>
  <c r="H12" i="8"/>
  <c r="G12" i="8"/>
  <c r="F12" i="8"/>
  <c r="E12" i="8"/>
  <c r="D12" i="8"/>
  <c r="H17" i="8"/>
  <c r="H18" i="8"/>
  <c r="H19" i="8"/>
  <c r="H20" i="8"/>
  <c r="H21" i="8"/>
  <c r="H22" i="8"/>
  <c r="H23" i="8"/>
  <c r="H24" i="8"/>
  <c r="H16" i="8"/>
  <c r="J2" i="11"/>
  <c r="M2" i="11" s="1"/>
  <c r="J3" i="11"/>
  <c r="M3" i="11" s="1"/>
  <c r="J4" i="11"/>
  <c r="M4" i="11" s="1"/>
  <c r="J5" i="11"/>
  <c r="M5" i="11"/>
  <c r="J6" i="11"/>
  <c r="M6" i="11" s="1"/>
  <c r="J7" i="11"/>
  <c r="M7" i="11" s="1"/>
  <c r="J8" i="11"/>
  <c r="M8" i="11" s="1"/>
  <c r="J9" i="11"/>
  <c r="M9" i="11"/>
  <c r="J10" i="11"/>
  <c r="M10" i="11" s="1"/>
  <c r="G10" i="11"/>
  <c r="G9" i="11"/>
  <c r="G8" i="11"/>
  <c r="G7" i="11"/>
  <c r="G6" i="11"/>
  <c r="G5" i="11"/>
  <c r="G4" i="11"/>
  <c r="G3" i="11"/>
  <c r="G2" i="11"/>
  <c r="D10" i="11"/>
  <c r="D9" i="11"/>
  <c r="D8" i="11"/>
  <c r="D7" i="11"/>
  <c r="D6" i="11"/>
  <c r="D5" i="11"/>
  <c r="D4" i="11"/>
  <c r="D3" i="11"/>
  <c r="D2" i="11"/>
  <c r="E14" i="9"/>
  <c r="G14" i="9"/>
  <c r="E15" i="9"/>
  <c r="G15" i="9"/>
  <c r="E16" i="9"/>
  <c r="G16" i="9"/>
  <c r="E17" i="9"/>
  <c r="G17" i="9"/>
  <c r="E18" i="9"/>
  <c r="G18" i="9"/>
  <c r="E23" i="9"/>
  <c r="G23" i="9"/>
  <c r="E24" i="9"/>
  <c r="G24" i="9"/>
  <c r="E25" i="9"/>
  <c r="G25" i="9"/>
  <c r="E26" i="9"/>
  <c r="G26" i="9"/>
  <c r="E27" i="9"/>
  <c r="G27" i="9"/>
  <c r="G9" i="9"/>
  <c r="E9" i="9"/>
  <c r="G8" i="9"/>
  <c r="E8" i="9"/>
  <c r="G7" i="9"/>
  <c r="E7" i="9"/>
  <c r="G6" i="9"/>
  <c r="E6" i="9"/>
  <c r="G5" i="9"/>
  <c r="E5" i="9"/>
  <c r="F32" i="8"/>
  <c r="I32" i="8"/>
  <c r="J32" i="8"/>
  <c r="F33" i="8"/>
  <c r="I33" i="8"/>
  <c r="F34" i="8"/>
  <c r="I34" i="8"/>
  <c r="F44" i="8"/>
  <c r="F45" i="8"/>
  <c r="F46" i="8"/>
  <c r="F47" i="8"/>
  <c r="F48" i="8"/>
  <c r="F49" i="8"/>
  <c r="F50" i="8"/>
  <c r="F51" i="8"/>
  <c r="F52" i="8"/>
  <c r="F60" i="8"/>
  <c r="I60" i="8"/>
  <c r="J60" i="8"/>
  <c r="F61" i="8"/>
  <c r="I61" i="8"/>
  <c r="F62" i="8"/>
  <c r="I62" i="8"/>
  <c r="F72" i="8"/>
  <c r="K72" i="8"/>
  <c r="F83" i="8" s="1"/>
  <c r="F73" i="8"/>
  <c r="K73" i="8"/>
  <c r="F74" i="8"/>
  <c r="K74" i="8"/>
  <c r="G82" i="8" s="1"/>
  <c r="F75" i="8"/>
  <c r="F76" i="8"/>
  <c r="K76" i="8"/>
  <c r="F77" i="8"/>
  <c r="K77" i="8"/>
  <c r="F78" i="8"/>
  <c r="F79" i="8"/>
  <c r="K79" i="8"/>
  <c r="F80" i="8"/>
  <c r="F24" i="8"/>
  <c r="F23" i="8"/>
  <c r="F22" i="8"/>
  <c r="F21" i="8"/>
  <c r="F20" i="8"/>
  <c r="F19" i="8"/>
  <c r="K18" i="8"/>
  <c r="F18" i="8"/>
  <c r="F17" i="8"/>
  <c r="F16" i="8"/>
  <c r="I6" i="8"/>
  <c r="F6" i="8"/>
  <c r="I5" i="8"/>
  <c r="F5" i="8"/>
  <c r="J4" i="8"/>
  <c r="I4" i="8"/>
  <c r="F4" i="8"/>
  <c r="E36" i="7"/>
  <c r="I36" i="7"/>
  <c r="J36" i="7"/>
  <c r="E37" i="7"/>
  <c r="I37" i="7"/>
  <c r="J37" i="7"/>
  <c r="E38" i="7"/>
  <c r="I38" i="7"/>
  <c r="J38" i="7"/>
  <c r="E39" i="7"/>
  <c r="I39" i="7"/>
  <c r="J39" i="7"/>
  <c r="E40" i="7"/>
  <c r="I40" i="7"/>
  <c r="J40" i="7"/>
  <c r="E41" i="7"/>
  <c r="I41" i="7"/>
  <c r="J41" i="7"/>
  <c r="F42" i="7"/>
  <c r="F44" i="7"/>
  <c r="I44" i="7"/>
  <c r="I45" i="7" s="1"/>
  <c r="F45" i="7"/>
  <c r="F46" i="7"/>
  <c r="G46" i="7"/>
  <c r="H46" i="7"/>
  <c r="I46" i="7"/>
  <c r="F47" i="7"/>
  <c r="G47" i="7"/>
  <c r="H47" i="7"/>
  <c r="I47" i="7"/>
  <c r="F48" i="7"/>
  <c r="G48" i="7"/>
  <c r="H48" i="7"/>
  <c r="I48" i="7"/>
  <c r="I42" i="7" s="1"/>
  <c r="E51" i="7"/>
  <c r="I51" i="7"/>
  <c r="J51" i="7"/>
  <c r="E52" i="7"/>
  <c r="I52" i="7"/>
  <c r="J52" i="7"/>
  <c r="E53" i="7"/>
  <c r="I53" i="7"/>
  <c r="J53" i="7"/>
  <c r="E54" i="7"/>
  <c r="I54" i="7"/>
  <c r="J54" i="7"/>
  <c r="E55" i="7"/>
  <c r="I55" i="7"/>
  <c r="J55" i="7"/>
  <c r="E56" i="7"/>
  <c r="I56" i="7"/>
  <c r="J56" i="7"/>
  <c r="F57" i="7"/>
  <c r="F59" i="7"/>
  <c r="F60" i="7" s="1"/>
  <c r="I59" i="7"/>
  <c r="I60" i="7" s="1"/>
  <c r="F61" i="7"/>
  <c r="G61" i="7"/>
  <c r="H61" i="7"/>
  <c r="I61" i="7"/>
  <c r="J61" i="7"/>
  <c r="F62" i="7"/>
  <c r="G62" i="7"/>
  <c r="H62" i="7"/>
  <c r="I62" i="7"/>
  <c r="J62" i="7"/>
  <c r="J63" i="7" s="1"/>
  <c r="F63" i="7"/>
  <c r="G63" i="7"/>
  <c r="H63" i="7"/>
  <c r="I63" i="7"/>
  <c r="I57" i="7" s="1"/>
  <c r="F65" i="7"/>
  <c r="F66" i="7" s="1"/>
  <c r="I65" i="7"/>
  <c r="I66" i="7"/>
  <c r="E69" i="7"/>
  <c r="I69" i="7"/>
  <c r="J69" i="7"/>
  <c r="E70" i="7"/>
  <c r="I70" i="7"/>
  <c r="J70" i="7"/>
  <c r="E71" i="7"/>
  <c r="I71" i="7"/>
  <c r="J71" i="7"/>
  <c r="E72" i="7"/>
  <c r="I72" i="7"/>
  <c r="J72" i="7"/>
  <c r="E73" i="7"/>
  <c r="I73" i="7"/>
  <c r="J73" i="7"/>
  <c r="E74" i="7"/>
  <c r="I74" i="7"/>
  <c r="J74" i="7"/>
  <c r="F75" i="7"/>
  <c r="F77" i="7"/>
  <c r="I77" i="7"/>
  <c r="I78" i="7" s="1"/>
  <c r="F78" i="7"/>
  <c r="F79" i="7"/>
  <c r="G79" i="7"/>
  <c r="H79" i="7"/>
  <c r="I79" i="7"/>
  <c r="F80" i="7"/>
  <c r="G80" i="7"/>
  <c r="H80" i="7"/>
  <c r="I80" i="7"/>
  <c r="F81" i="7"/>
  <c r="G81" i="7"/>
  <c r="H81" i="7"/>
  <c r="I81" i="7"/>
  <c r="I75" i="7" s="1"/>
  <c r="E84" i="7"/>
  <c r="I84" i="7"/>
  <c r="J84" i="7"/>
  <c r="E85" i="7"/>
  <c r="I85" i="7"/>
  <c r="J85" i="7"/>
  <c r="E86" i="7"/>
  <c r="I86" i="7"/>
  <c r="J86" i="7"/>
  <c r="E87" i="7"/>
  <c r="I87" i="7"/>
  <c r="J87" i="7"/>
  <c r="E88" i="7"/>
  <c r="I88" i="7"/>
  <c r="J88" i="7"/>
  <c r="E89" i="7"/>
  <c r="I89" i="7"/>
  <c r="J89" i="7"/>
  <c r="F90" i="7"/>
  <c r="F92" i="7"/>
  <c r="I92" i="7"/>
  <c r="I93" i="7" s="1"/>
  <c r="F93" i="7"/>
  <c r="F94" i="7"/>
  <c r="G94" i="7"/>
  <c r="H94" i="7"/>
  <c r="I94" i="7"/>
  <c r="J94" i="7"/>
  <c r="J96" i="7" s="1"/>
  <c r="F95" i="7"/>
  <c r="G95" i="7"/>
  <c r="H95" i="7"/>
  <c r="I95" i="7"/>
  <c r="J95" i="7"/>
  <c r="F96" i="7"/>
  <c r="G96" i="7"/>
  <c r="H96" i="7"/>
  <c r="I96" i="7"/>
  <c r="I90" i="7" s="1"/>
  <c r="F98" i="7"/>
  <c r="I98" i="7"/>
  <c r="I99" i="7" s="1"/>
  <c r="F99" i="7"/>
  <c r="I32" i="7"/>
  <c r="I33" i="7" s="1"/>
  <c r="F32" i="7"/>
  <c r="F33" i="7" s="1"/>
  <c r="I30" i="7"/>
  <c r="H30" i="7"/>
  <c r="G30" i="7"/>
  <c r="F30" i="7"/>
  <c r="J29" i="7"/>
  <c r="J30" i="7" s="1"/>
  <c r="I29" i="7"/>
  <c r="H29" i="7"/>
  <c r="G29" i="7"/>
  <c r="F29" i="7"/>
  <c r="J28" i="7"/>
  <c r="I28" i="7"/>
  <c r="H28" i="7"/>
  <c r="G28" i="7"/>
  <c r="F28" i="7"/>
  <c r="I26" i="7"/>
  <c r="I27" i="7" s="1"/>
  <c r="F26" i="7"/>
  <c r="F27" i="7" s="1"/>
  <c r="I24" i="7"/>
  <c r="E25" i="7" s="1"/>
  <c r="F24" i="7"/>
  <c r="J23" i="7"/>
  <c r="I23" i="7"/>
  <c r="E23" i="7"/>
  <c r="J22" i="7"/>
  <c r="I22" i="7"/>
  <c r="E22" i="7"/>
  <c r="J21" i="7"/>
  <c r="I21" i="7"/>
  <c r="E21" i="7"/>
  <c r="J20" i="7"/>
  <c r="I20" i="7"/>
  <c r="E20" i="7"/>
  <c r="J19" i="7"/>
  <c r="I19" i="7"/>
  <c r="E19" i="7"/>
  <c r="J18" i="7"/>
  <c r="I18" i="7"/>
  <c r="E18" i="7"/>
  <c r="H15" i="7"/>
  <c r="G15" i="7"/>
  <c r="F15" i="7"/>
  <c r="I14" i="7"/>
  <c r="I15" i="7" s="1"/>
  <c r="I9" i="7" s="1"/>
  <c r="H14" i="7"/>
  <c r="G14" i="7"/>
  <c r="F14" i="7"/>
  <c r="I13" i="7"/>
  <c r="H13" i="7"/>
  <c r="G13" i="7"/>
  <c r="F13" i="7"/>
  <c r="I12" i="7"/>
  <c r="I11" i="7"/>
  <c r="F11" i="7"/>
  <c r="F12" i="7" s="1"/>
  <c r="F9" i="7"/>
  <c r="J8" i="7"/>
  <c r="I8" i="7"/>
  <c r="E8" i="7"/>
  <c r="J7" i="7"/>
  <c r="I7" i="7"/>
  <c r="E7" i="7"/>
  <c r="J6" i="7"/>
  <c r="I6" i="7"/>
  <c r="E6" i="7"/>
  <c r="J5" i="7"/>
  <c r="I5" i="7"/>
  <c r="E5" i="7"/>
  <c r="J4" i="7"/>
  <c r="I4" i="7"/>
  <c r="E4" i="7"/>
  <c r="J3" i="7"/>
  <c r="I3" i="7"/>
  <c r="E3" i="7"/>
  <c r="C33" i="6"/>
  <c r="D33" i="6"/>
  <c r="E33" i="6"/>
  <c r="F33" i="6"/>
  <c r="G33" i="6"/>
  <c r="C45" i="6"/>
  <c r="D45" i="6"/>
  <c r="E45" i="6"/>
  <c r="F45" i="6"/>
  <c r="G45" i="6"/>
  <c r="C57" i="6"/>
  <c r="D57" i="6"/>
  <c r="E57" i="6"/>
  <c r="F57" i="6"/>
  <c r="G57" i="6"/>
  <c r="C69" i="6"/>
  <c r="D69" i="6"/>
  <c r="E69" i="6"/>
  <c r="F69" i="6"/>
  <c r="G69" i="6"/>
  <c r="G21" i="6"/>
  <c r="F21" i="6"/>
  <c r="E21" i="6"/>
  <c r="D21" i="6"/>
  <c r="C21" i="6"/>
  <c r="G9" i="6"/>
  <c r="F9" i="6"/>
  <c r="E9" i="6"/>
  <c r="D9" i="6"/>
  <c r="C9" i="6"/>
  <c r="G17" i="5"/>
  <c r="I17" i="5"/>
  <c r="J17" i="5"/>
  <c r="G25" i="5"/>
  <c r="I25" i="5"/>
  <c r="J25" i="5"/>
  <c r="J9" i="5"/>
  <c r="I9" i="5"/>
  <c r="G9" i="5"/>
  <c r="H4" i="5"/>
  <c r="I4" i="5"/>
  <c r="H5" i="5"/>
  <c r="I5" i="5"/>
  <c r="I3" i="5"/>
  <c r="H3" i="5"/>
  <c r="E9" i="2"/>
  <c r="F9" i="2"/>
  <c r="H9" i="2"/>
  <c r="I9" i="2"/>
  <c r="E11" i="2"/>
  <c r="F11" i="2"/>
  <c r="H11" i="2"/>
  <c r="I11" i="2"/>
  <c r="E12" i="2"/>
  <c r="F12" i="2"/>
  <c r="H12" i="2"/>
  <c r="I12" i="2"/>
  <c r="E13" i="2"/>
  <c r="F13" i="2"/>
  <c r="H13" i="2"/>
  <c r="I13" i="2"/>
  <c r="C13" i="2"/>
  <c r="B13" i="2"/>
  <c r="C12" i="2"/>
  <c r="B12" i="2"/>
  <c r="C11" i="2"/>
  <c r="B11" i="2"/>
  <c r="C9" i="2"/>
  <c r="B9" i="2"/>
  <c r="G81" i="8" l="1"/>
  <c r="L72" i="8"/>
  <c r="K83" i="8"/>
  <c r="J50" i="8"/>
  <c r="J44" i="8"/>
  <c r="J47" i="8"/>
  <c r="K47" i="8" s="1"/>
  <c r="K22" i="8"/>
  <c r="L22" i="8" s="1"/>
  <c r="K23" i="8"/>
  <c r="K19" i="8"/>
  <c r="L19" i="8" s="1"/>
  <c r="K20" i="8"/>
  <c r="K16" i="8"/>
  <c r="G26" i="8" s="1"/>
  <c r="K17" i="8"/>
  <c r="F97" i="7"/>
  <c r="H97" i="7"/>
  <c r="E58" i="7"/>
  <c r="H58" i="7"/>
  <c r="E76" i="7"/>
  <c r="H76" i="7"/>
  <c r="E43" i="7"/>
  <c r="H43" i="7"/>
  <c r="F64" i="7"/>
  <c r="H64" i="7"/>
  <c r="H31" i="7"/>
  <c r="F31" i="7"/>
  <c r="E10" i="7"/>
  <c r="H10" i="7"/>
  <c r="E91" i="7"/>
  <c r="H91" i="7"/>
  <c r="H25" i="7"/>
  <c r="I19" i="3"/>
  <c r="H18" i="3"/>
  <c r="I18" i="3"/>
  <c r="J18" i="3"/>
  <c r="K18" i="3"/>
  <c r="L18" i="3"/>
  <c r="I17" i="3"/>
  <c r="J17" i="3"/>
  <c r="K17" i="3"/>
  <c r="L17" i="3"/>
  <c r="G17" i="3"/>
  <c r="E19" i="3"/>
  <c r="F19" i="3" s="1"/>
  <c r="G19" i="3" s="1"/>
  <c r="E18" i="3"/>
  <c r="F18" i="3" s="1"/>
  <c r="G18" i="3" s="1"/>
  <c r="E17" i="3"/>
  <c r="F17" i="3" s="1"/>
  <c r="H17" i="3" s="1"/>
  <c r="K48" i="8" l="1"/>
  <c r="L47" i="8" s="1"/>
  <c r="K49" i="8"/>
  <c r="K44" i="8"/>
  <c r="K46" i="8"/>
  <c r="K45" i="8"/>
  <c r="K52" i="8"/>
  <c r="K51" i="8"/>
  <c r="K50" i="8"/>
  <c r="K27" i="8"/>
  <c r="G25" i="8"/>
  <c r="F27" i="8"/>
  <c r="L16" i="8"/>
  <c r="H19" i="3"/>
  <c r="L19" i="3"/>
  <c r="K19" i="3"/>
  <c r="J19" i="3"/>
  <c r="K12" i="3"/>
  <c r="L12" i="3"/>
  <c r="G12" i="3"/>
  <c r="E12" i="3"/>
  <c r="F12" i="3" s="1"/>
  <c r="H12" i="3" s="1"/>
  <c r="E11" i="3"/>
  <c r="F11" i="3" s="1"/>
  <c r="H11" i="3" s="1"/>
  <c r="E10" i="3"/>
  <c r="F10" i="3" s="1"/>
  <c r="K10" i="3" s="1"/>
  <c r="L44" i="8" l="1"/>
  <c r="G54" i="8"/>
  <c r="F55" i="8"/>
  <c r="K55" i="8"/>
  <c r="G53" i="8"/>
  <c r="L50" i="8"/>
  <c r="J10" i="3"/>
  <c r="H10" i="3"/>
  <c r="G10" i="3"/>
  <c r="L11" i="3"/>
  <c r="I12" i="3"/>
  <c r="J12" i="3"/>
  <c r="G11" i="3"/>
  <c r="K11" i="3"/>
  <c r="I10" i="3"/>
  <c r="J11" i="3"/>
  <c r="L10" i="3"/>
  <c r="I11" i="3"/>
  <c r="E4" i="3"/>
  <c r="F4" i="3" s="1"/>
  <c r="E5" i="3"/>
  <c r="F5" i="3" s="1"/>
  <c r="E3" i="3"/>
  <c r="F3" i="3" s="1"/>
  <c r="D10" i="21"/>
  <c r="G10" i="21" s="1"/>
  <c r="D9" i="21"/>
  <c r="G9" i="21" s="1"/>
  <c r="D8" i="21"/>
  <c r="G8" i="21" s="1"/>
  <c r="D7" i="21"/>
  <c r="G7" i="21" s="1"/>
  <c r="D6" i="21"/>
  <c r="G6" i="21" s="1"/>
  <c r="D5" i="21"/>
  <c r="G5" i="21" s="1"/>
  <c r="D4" i="21"/>
  <c r="G4" i="21" s="1"/>
  <c r="D3" i="21"/>
  <c r="G3" i="21" s="1"/>
  <c r="D2" i="21"/>
  <c r="G2" i="21" s="1"/>
  <c r="G9" i="20"/>
  <c r="E9" i="20"/>
  <c r="G8" i="20"/>
  <c r="E8" i="20"/>
  <c r="G7" i="20"/>
  <c r="E7" i="20"/>
  <c r="G6" i="20"/>
  <c r="E6" i="20"/>
  <c r="G5" i="20"/>
  <c r="E5" i="20"/>
  <c r="K27" i="19"/>
  <c r="F27" i="19"/>
  <c r="G26" i="19"/>
  <c r="G25" i="19"/>
  <c r="K24" i="19"/>
  <c r="F24" i="19"/>
  <c r="K23" i="19"/>
  <c r="F23" i="19"/>
  <c r="K22" i="19"/>
  <c r="L22" i="19" s="1"/>
  <c r="F22" i="19"/>
  <c r="K21" i="19"/>
  <c r="F21" i="19"/>
  <c r="K20" i="19"/>
  <c r="F20" i="19"/>
  <c r="K19" i="19"/>
  <c r="L19" i="19" s="1"/>
  <c r="F19" i="19"/>
  <c r="K18" i="19"/>
  <c r="F18" i="19"/>
  <c r="K17" i="19"/>
  <c r="F17" i="19"/>
  <c r="L16" i="19"/>
  <c r="K16" i="19"/>
  <c r="F16" i="19"/>
  <c r="I6" i="19"/>
  <c r="F6" i="19"/>
  <c r="I5" i="19"/>
  <c r="F5" i="19"/>
  <c r="I4" i="19"/>
  <c r="J4" i="19" s="1"/>
  <c r="F4" i="19"/>
  <c r="F30" i="18"/>
  <c r="F24" i="18" s="1"/>
  <c r="H29" i="18"/>
  <c r="G29" i="18"/>
  <c r="F29" i="18"/>
  <c r="H28" i="18"/>
  <c r="H30" i="18" s="1"/>
  <c r="G28" i="18"/>
  <c r="G30" i="18" s="1"/>
  <c r="F28" i="18"/>
  <c r="I23" i="18"/>
  <c r="J23" i="18" s="1"/>
  <c r="E23" i="18"/>
  <c r="I22" i="18"/>
  <c r="J22" i="18" s="1"/>
  <c r="E22" i="18"/>
  <c r="E21" i="18"/>
  <c r="I21" i="18" s="1"/>
  <c r="J21" i="18" s="1"/>
  <c r="E20" i="18"/>
  <c r="I20" i="18" s="1"/>
  <c r="J20" i="18" s="1"/>
  <c r="E19" i="18"/>
  <c r="I19" i="18" s="1"/>
  <c r="J19" i="18" s="1"/>
  <c r="E18" i="18"/>
  <c r="I18" i="18" s="1"/>
  <c r="H14" i="18"/>
  <c r="G14" i="18"/>
  <c r="F14" i="18"/>
  <c r="H13" i="18"/>
  <c r="H15" i="18" s="1"/>
  <c r="G13" i="18"/>
  <c r="G15" i="18" s="1"/>
  <c r="F13" i="18"/>
  <c r="F15" i="18" s="1"/>
  <c r="F9" i="18" s="1"/>
  <c r="E8" i="18"/>
  <c r="I8" i="18" s="1"/>
  <c r="J8" i="18" s="1"/>
  <c r="E7" i="18"/>
  <c r="I7" i="18" s="1"/>
  <c r="J7" i="18" s="1"/>
  <c r="E6" i="18"/>
  <c r="I6" i="18" s="1"/>
  <c r="J6" i="18" s="1"/>
  <c r="E5" i="18"/>
  <c r="I5" i="18" s="1"/>
  <c r="J5" i="18" s="1"/>
  <c r="E4" i="18"/>
  <c r="I4" i="18" s="1"/>
  <c r="J4" i="18" s="1"/>
  <c r="I3" i="18"/>
  <c r="J28" i="18" s="1"/>
  <c r="E3" i="18"/>
  <c r="G21" i="17"/>
  <c r="F21" i="17"/>
  <c r="E21" i="17"/>
  <c r="D21" i="17"/>
  <c r="C21" i="17"/>
  <c r="G9" i="17"/>
  <c r="F9" i="17"/>
  <c r="E9" i="17"/>
  <c r="D9" i="17"/>
  <c r="C9" i="17"/>
  <c r="I7" i="16"/>
  <c r="J7" i="16" s="1"/>
  <c r="G7" i="16"/>
  <c r="H3" i="16"/>
  <c r="I3" i="16" s="1"/>
  <c r="D3" i="14"/>
  <c r="E3" i="14" s="1"/>
  <c r="C12" i="13"/>
  <c r="C13" i="13" s="1"/>
  <c r="C9" i="13" s="1"/>
  <c r="B12" i="13"/>
  <c r="B13" i="13" s="1"/>
  <c r="B9" i="13" s="1"/>
  <c r="C11" i="13"/>
  <c r="B11" i="13"/>
  <c r="B7" i="10"/>
  <c r="F5" i="1"/>
  <c r="K3" i="14" l="1"/>
  <c r="J3" i="14"/>
  <c r="I3" i="14"/>
  <c r="G3" i="14"/>
  <c r="F3" i="14"/>
  <c r="H3" i="14"/>
  <c r="L3" i="3"/>
  <c r="G3" i="3"/>
  <c r="I3" i="3"/>
  <c r="K3" i="3"/>
  <c r="H3" i="3"/>
  <c r="J3" i="3"/>
  <c r="I29" i="18"/>
  <c r="I30" i="18" s="1"/>
  <c r="I24" i="18" s="1"/>
  <c r="J18" i="18"/>
  <c r="I26" i="18"/>
  <c r="I27" i="18" s="1"/>
  <c r="F26" i="18"/>
  <c r="F27" i="18" s="1"/>
  <c r="I28" i="18"/>
  <c r="H5" i="3"/>
  <c r="I5" i="3"/>
  <c r="J5" i="3"/>
  <c r="G5" i="3"/>
  <c r="K5" i="3"/>
  <c r="L5" i="3"/>
  <c r="J4" i="3"/>
  <c r="K4" i="3"/>
  <c r="L4" i="3"/>
  <c r="G4" i="3"/>
  <c r="I4" i="3"/>
  <c r="H4" i="3"/>
  <c r="J29" i="18"/>
  <c r="J30" i="18" s="1"/>
  <c r="J3" i="18"/>
  <c r="I32" i="18"/>
  <c r="I33" i="18" s="1"/>
  <c r="I13" i="18"/>
  <c r="F11" i="18"/>
  <c r="F12" i="18" s="1"/>
  <c r="I14" i="18"/>
  <c r="F32" i="18"/>
  <c r="F33" i="18" s="1"/>
  <c r="I11" i="18"/>
  <c r="I12" i="18" s="1"/>
  <c r="H25" i="18" l="1"/>
  <c r="E25" i="18"/>
  <c r="H31" i="18"/>
  <c r="F31" i="18"/>
  <c r="I15" i="18"/>
  <c r="I9" i="18" s="1"/>
  <c r="H10" i="18" l="1"/>
  <c r="E10" i="18"/>
</calcChain>
</file>

<file path=xl/sharedStrings.xml><?xml version="1.0" encoding="utf-8"?>
<sst xmlns="http://schemas.openxmlformats.org/spreadsheetml/2006/main" count="2354" uniqueCount="286">
  <si>
    <t>基因毒杂志验证标准计算表格</t>
  </si>
  <si>
    <t>项目名称</t>
  </si>
  <si>
    <t>项目编号</t>
  </si>
  <si>
    <t>研究/分析主题</t>
  </si>
  <si>
    <t>模板版本</t>
  </si>
  <si>
    <t>V1.0</t>
  </si>
  <si>
    <t>负责人</t>
  </si>
  <si>
    <t>填写日期</t>
  </si>
  <si>
    <t>杂质数量</t>
  </si>
  <si>
    <t>杂质 1</t>
  </si>
  <si>
    <t>杂质A1</t>
  </si>
  <si>
    <t>杂质 7</t>
  </si>
  <si>
    <t>杂质 8</t>
  </si>
  <si>
    <t>杂质 9</t>
  </si>
  <si>
    <t>杂质 10</t>
  </si>
  <si>
    <t>杂质 11</t>
  </si>
  <si>
    <t>杂质 12</t>
  </si>
  <si>
    <t>杂质 13</t>
  </si>
  <si>
    <t>杂质 14</t>
  </si>
  <si>
    <t>杂质 15</t>
  </si>
  <si>
    <t>使用说明</t>
  </si>
  <si>
    <t>1. 黄色单元格为可填写内容；其余为系统计算或保护区域。</t>
  </si>
  <si>
    <t>2. 先填写项目基本信息，再设置目标物数量和名称。</t>
  </si>
  <si>
    <t>3. 数据页会按目标物数量显示对应标题；未启用位置保持灰色。</t>
  </si>
  <si>
    <t>4. 数据页结构受保护，不能通过插入或删除行改变模板结构。</t>
  </si>
  <si>
    <t>杂质名称</t>
  </si>
  <si>
    <t>溶液名称</t>
  </si>
  <si>
    <t>保留时间（min）</t>
  </si>
  <si>
    <t>峰面积</t>
  </si>
  <si>
    <t>系统适用性溶液1</t>
  </si>
  <si>
    <t>系统适用性溶液2</t>
  </si>
  <si>
    <t>系统适用性溶液3</t>
  </si>
  <si>
    <t>系统适用性溶液4</t>
  </si>
  <si>
    <t>系统适用性溶液5</t>
  </si>
  <si>
    <t>系统适用性溶液6</t>
  </si>
  <si>
    <t>RSD（n=6，%）</t>
  </si>
  <si>
    <t>结论</t>
  </si>
  <si>
    <t>均值</t>
  </si>
  <si>
    <t>STDEV</t>
  </si>
  <si>
    <t>RSD</t>
  </si>
  <si>
    <t>名称</t>
  </si>
  <si>
    <t>称量值（mg）</t>
  </si>
  <si>
    <t>纯度/含量</t>
  </si>
  <si>
    <t>单标贮备液（ng/ml）</t>
  </si>
  <si>
    <t>混标贮备液（ng/ml）</t>
  </si>
  <si>
    <t>LOD（ng/ml）</t>
  </si>
  <si>
    <t>C1（ng/ml）</t>
  </si>
  <si>
    <t>C2（ng/ml）</t>
  </si>
  <si>
    <t>C3（ng/ml）</t>
  </si>
  <si>
    <t>C4（ng/ml）</t>
  </si>
  <si>
    <t>C5（ng/ml）</t>
  </si>
  <si>
    <t>空白溶液</t>
  </si>
  <si>
    <t>对照品溶液</t>
  </si>
  <si>
    <t>供试品溶液</t>
  </si>
  <si>
    <t>加标供试品溶液</t>
  </si>
  <si>
    <t>检测限试验结果表</t>
  </si>
  <si>
    <t>限度</t>
  </si>
  <si>
    <t>供试品溶液浓度</t>
  </si>
  <si>
    <t>S/N-1</t>
  </si>
  <si>
    <t>S/N-2</t>
  </si>
  <si>
    <t>S/N-3</t>
  </si>
  <si>
    <t>检测限浓度（ng/ml）</t>
  </si>
  <si>
    <t>相当于供试品中含量（ppm）</t>
  </si>
  <si>
    <t>占限度百分比（%）</t>
  </si>
  <si>
    <t>定量限试验结果表</t>
  </si>
  <si>
    <t>No.</t>
  </si>
  <si>
    <t>信噪比S/N</t>
  </si>
  <si>
    <t>峰面积RSD（%）</t>
  </si>
  <si>
    <t>定量限浓度（ng/ml）</t>
  </si>
  <si>
    <t>相当于供试品含量（ppm）</t>
  </si>
  <si>
    <t>线性试验结果表</t>
  </si>
  <si>
    <t>C1</t>
  </si>
  <si>
    <t>C2</t>
  </si>
  <si>
    <t>C3</t>
  </si>
  <si>
    <t>C4</t>
  </si>
  <si>
    <t>C5</t>
  </si>
  <si>
    <t>实际浓度（ng/ml）</t>
  </si>
  <si>
    <t>回归曲线图</t>
  </si>
  <si>
    <t>线性回归方程</t>
  </si>
  <si>
    <t>线性相关系数</t>
  </si>
  <si>
    <t>预测峰面积</t>
  </si>
  <si>
    <t>残差</t>
  </si>
  <si>
    <t>残差图</t>
  </si>
  <si>
    <t>线性试验结果表-中间精密度</t>
  </si>
  <si>
    <t>重复性试验结果表</t>
  </si>
  <si>
    <t>原始称样量</t>
  </si>
  <si>
    <t>称样量（mg）</t>
  </si>
  <si>
    <t>测得浓度（ng/ml）</t>
  </si>
  <si>
    <t>100%回收率</t>
  </si>
  <si>
    <t>—</t>
  </si>
  <si>
    <t>RSD-95%置信下限</t>
  </si>
  <si>
    <t>RSD-95%置信上限</t>
  </si>
  <si>
    <t>含量-95%置信下限（ppm）</t>
  </si>
  <si>
    <t>含量-95%置信上限（ppm）</t>
  </si>
  <si>
    <t>占理论含量百分比上限（%）</t>
  </si>
  <si>
    <t>占理论含量百分比下限（%）</t>
  </si>
  <si>
    <t>中间精密度</t>
  </si>
  <si>
    <t>称样量回称</t>
  </si>
  <si>
    <t>N=12</t>
  </si>
  <si>
    <t>n=12</t>
  </si>
  <si>
    <t>供试品中杂质结果表</t>
  </si>
  <si>
    <t>称样量</t>
  </si>
  <si>
    <t>含量（ppm）</t>
  </si>
  <si>
    <t>平均含量（ppm）</t>
  </si>
  <si>
    <t>（mg）</t>
  </si>
  <si>
    <t>准确度加入量计算表</t>
  </si>
  <si>
    <t>LOD体积</t>
  </si>
  <si>
    <t>线性贮备液体积-C1</t>
  </si>
  <si>
    <t>线性贮备液体积-C2</t>
  </si>
  <si>
    <t>线性贮备液体积-C3</t>
  </si>
  <si>
    <t>线性贮备液体积-C4</t>
  </si>
  <si>
    <t>线性贮备液体积-C5</t>
  </si>
  <si>
    <t>准确度试验结果表</t>
  </si>
  <si>
    <t>溶液</t>
  </si>
  <si>
    <t>供试品称样量
（mg）</t>
  </si>
  <si>
    <t>测得浓度</t>
  </si>
  <si>
    <t>测得量</t>
  </si>
  <si>
    <t>空白量</t>
  </si>
  <si>
    <t>加入量（ng）</t>
  </si>
  <si>
    <t>回收率</t>
  </si>
  <si>
    <t>平均值（%）</t>
  </si>
  <si>
    <t>（ng）</t>
  </si>
  <si>
    <t>（%）</t>
  </si>
  <si>
    <t>LOQ加标</t>
  </si>
  <si>
    <t>100%加标</t>
  </si>
  <si>
    <t>150%加标</t>
  </si>
  <si>
    <t>平均回收率（n=9，%）</t>
  </si>
  <si>
    <t>RSD（n=9，%）</t>
  </si>
  <si>
    <t>95%置信区间下限（%）</t>
  </si>
  <si>
    <t>95%置信区间上限（%）</t>
  </si>
  <si>
    <t>溶液稳定性试验结果表</t>
  </si>
  <si>
    <t>时间</t>
  </si>
  <si>
    <t>浓度（ng/ml）</t>
  </si>
  <si>
    <t>与0h比值</t>
  </si>
  <si>
    <t>-</t>
  </si>
  <si>
    <t>色谱柱1（SN：03273829015191）</t>
  </si>
  <si>
    <t>色谱柱2（SN：04113128725113）</t>
  </si>
  <si>
    <t>线性方程</t>
  </si>
  <si>
    <t>线性系数</t>
  </si>
  <si>
    <t>加标溶液测得浓度（ng/ml）</t>
  </si>
  <si>
    <t>浓度比值</t>
  </si>
  <si>
    <t>杂质A1峰面积</t>
  </si>
  <si>
    <t>杂质A1测得浓度（ng/ml）</t>
  </si>
  <si>
    <t>杂质A1含量（ppm）</t>
  </si>
  <si>
    <t>技术员</t>
  </si>
  <si>
    <t>数据文件名</t>
  </si>
  <si>
    <t>样品类型</t>
  </si>
  <si>
    <t>级别号</t>
  </si>
  <si>
    <t>保留时间</t>
  </si>
  <si>
    <t>面积</t>
  </si>
  <si>
    <t>标准浓度</t>
  </si>
  <si>
    <t>技术员A</t>
  </si>
  <si>
    <t>KB-01.lcd</t>
  </si>
  <si>
    <t>未知</t>
  </si>
  <si>
    <t>-----</t>
  </si>
  <si>
    <t>KB-02.lcd</t>
  </si>
  <si>
    <t>KB-03.lcd</t>
  </si>
  <si>
    <t>KB-04.lcd</t>
  </si>
  <si>
    <t>KB-05.lcd</t>
  </si>
  <si>
    <t>LOD（查看响应）.lcd</t>
  </si>
  <si>
    <t>系统适用性溶液-01.lcd</t>
  </si>
  <si>
    <t>系统适用性溶液-02.lcd</t>
  </si>
  <si>
    <t>系统适用性溶液-03.lcd</t>
  </si>
  <si>
    <t>系统适用性溶液-04.lcd</t>
  </si>
  <si>
    <t>系统适用性溶液-05.lcd</t>
  </si>
  <si>
    <t>系统适用性溶液-06.lcd</t>
  </si>
  <si>
    <t>对照品溶液（稳定性-0）.lcd</t>
  </si>
  <si>
    <t>加标供试品溶液（稳定性-0）.lcd</t>
  </si>
  <si>
    <t>KB-06.lcd</t>
  </si>
  <si>
    <t>C1.lcd</t>
  </si>
  <si>
    <t>标准(校准点)</t>
  </si>
  <si>
    <t>C2.lcd</t>
  </si>
  <si>
    <t>C3.lcd</t>
  </si>
  <si>
    <t>C4.lcd</t>
  </si>
  <si>
    <t>C5.lcd</t>
  </si>
  <si>
    <t>KB-07.lcd</t>
  </si>
  <si>
    <t>专属性-供试品溶液.lcd</t>
  </si>
  <si>
    <t>专属性-加标供试品溶液.lcd</t>
  </si>
  <si>
    <t>KB-08.lcd</t>
  </si>
  <si>
    <t>对照品溶液（稳定性-1）.lcd</t>
  </si>
  <si>
    <t>加标供试品溶液（稳定性-1）.lcd</t>
  </si>
  <si>
    <t>KB-09.lcd</t>
  </si>
  <si>
    <t>LOD-01.lcd</t>
  </si>
  <si>
    <t>LOD-02.lcd</t>
  </si>
  <si>
    <t>LOD-03.lcd</t>
  </si>
  <si>
    <t>LOQ-01.lcd</t>
  </si>
  <si>
    <t>LOQ-02.lcd</t>
  </si>
  <si>
    <t>LOQ-03.lcd</t>
  </si>
  <si>
    <t>LOQ-04.lcd</t>
  </si>
  <si>
    <t>LOQ-05.lcd</t>
  </si>
  <si>
    <t>LOQ-06.lcd</t>
  </si>
  <si>
    <t>对照品溶液（稳定性-2）.lcd</t>
  </si>
  <si>
    <t>加标供试品溶液（稳定性-2）.lcd</t>
  </si>
  <si>
    <t>KB-10.lcd</t>
  </si>
  <si>
    <t>供试品溶液-01.lcd</t>
  </si>
  <si>
    <t>供试品溶液-02.lcd</t>
  </si>
  <si>
    <t>供试品溶液-03.lcd</t>
  </si>
  <si>
    <t>LOQ加标供试品溶液-01.lcd</t>
  </si>
  <si>
    <t>LOQ加标供试品溶液-02.lcd</t>
  </si>
  <si>
    <t>LOQ加标供试品溶液-03.lcd</t>
  </si>
  <si>
    <t>KB-11.lcd</t>
  </si>
  <si>
    <t>100%加标供试品溶液-01.lcd</t>
  </si>
  <si>
    <t>100%加标供试品溶液-02.lcd</t>
  </si>
  <si>
    <t>100%加标供试品溶液-03.lcd</t>
  </si>
  <si>
    <t>100%加标供试品溶液-04.lcd</t>
  </si>
  <si>
    <t>100%加标供试品溶液-05.lcd</t>
  </si>
  <si>
    <t>100%加标供试品溶液-06.lcd</t>
  </si>
  <si>
    <t>KB-12.lcd</t>
  </si>
  <si>
    <t>150%加标供试品溶液-01.lcd</t>
  </si>
  <si>
    <t>150%加标供试品溶液-02.lcd</t>
  </si>
  <si>
    <t>150%加标供试品溶液-03.lcd</t>
  </si>
  <si>
    <t>KB-13.lcd</t>
  </si>
  <si>
    <t>对照品溶液（稳定性-3）.lcd</t>
  </si>
  <si>
    <t>加标供试品溶液（稳定性-3）.lcd</t>
  </si>
  <si>
    <t>对照品溶液（稳定性-4）.lcd</t>
  </si>
  <si>
    <t>加标供试品溶液（稳定性-4）.lcd</t>
  </si>
  <si>
    <t>技术员B</t>
  </si>
  <si>
    <t>LOD.lcd</t>
  </si>
  <si>
    <t>耐用性-供试品溶液.lcd</t>
  </si>
  <si>
    <t>耐用性-加标供试品溶液.lcd</t>
  </si>
  <si>
    <t>中间精密度-100%加标供试品溶液-01.lcd</t>
  </si>
  <si>
    <t>中间精密度-100%加标供试品溶液-02.lcd</t>
  </si>
  <si>
    <t>中间精密度-100%加标供试品溶液-03.lcd</t>
  </si>
  <si>
    <t>中间精密度-100%加标供试品溶液-04.lcd</t>
  </si>
  <si>
    <t>中间精密度-100%加标供试品溶液-05.lcd</t>
  </si>
  <si>
    <t>中间精密度-100%加标供试品溶液-06.lcd</t>
  </si>
  <si>
    <t>杂质 2</t>
  </si>
  <si>
    <t>杂质 3</t>
  </si>
  <si>
    <t>0h</t>
  </si>
  <si>
    <t>15.9h</t>
  </si>
  <si>
    <t>3-吡啶磺酸乙酯</t>
    <phoneticPr fontId="46" type="noConversion"/>
  </si>
  <si>
    <t>3-吡啶磺酸异丙酯</t>
    <phoneticPr fontId="46" type="noConversion"/>
  </si>
  <si>
    <r>
      <rPr>
        <b/>
        <sz val="12"/>
        <rFont val="宋体"/>
        <family val="3"/>
        <charset val="134"/>
      </rPr>
      <t>名称</t>
    </r>
  </si>
  <si>
    <r>
      <rPr>
        <b/>
        <sz val="12"/>
        <rFont val="宋体"/>
        <family val="3"/>
        <charset val="134"/>
      </rPr>
      <t>称量值（</t>
    </r>
    <r>
      <rPr>
        <b/>
        <sz val="12"/>
        <rFont val="Times New Roman"/>
        <family val="1"/>
      </rPr>
      <t>mg</t>
    </r>
    <r>
      <rPr>
        <b/>
        <sz val="12"/>
        <rFont val="宋体"/>
        <family val="3"/>
        <charset val="134"/>
      </rPr>
      <t>）</t>
    </r>
  </si>
  <si>
    <r>
      <rPr>
        <b/>
        <sz val="12"/>
        <rFont val="宋体"/>
        <family val="3"/>
        <charset val="134"/>
      </rPr>
      <t>单标贮备液（</t>
    </r>
    <r>
      <rPr>
        <b/>
        <sz val="12"/>
        <rFont val="Times New Roman"/>
        <family val="1"/>
      </rPr>
      <t>ng/ml</t>
    </r>
    <r>
      <rPr>
        <b/>
        <sz val="12"/>
        <rFont val="宋体"/>
        <family val="3"/>
        <charset val="134"/>
      </rPr>
      <t>）</t>
    </r>
  </si>
  <si>
    <r>
      <rPr>
        <b/>
        <sz val="12"/>
        <rFont val="宋体"/>
        <family val="3"/>
        <charset val="134"/>
      </rPr>
      <t>混标贮备液（</t>
    </r>
    <r>
      <rPr>
        <b/>
        <sz val="12"/>
        <rFont val="Times New Roman"/>
        <family val="1"/>
      </rPr>
      <t>ng/ml</t>
    </r>
    <r>
      <rPr>
        <b/>
        <sz val="12"/>
        <rFont val="宋体"/>
        <family val="3"/>
        <charset val="134"/>
      </rPr>
      <t>）</t>
    </r>
  </si>
  <si>
    <r>
      <t>LOD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</si>
  <si>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C1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</si>
  <si>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C2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</si>
  <si>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C3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</si>
  <si>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C4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</si>
  <si>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C5</t>
    </r>
    <r>
      <rPr>
        <b/>
        <sz val="12"/>
        <color theme="1"/>
        <rFont val="宋体"/>
        <family val="3"/>
        <charset val="134"/>
      </rPr>
      <t>（</t>
    </r>
    <r>
      <rPr>
        <b/>
        <sz val="12"/>
        <color theme="1"/>
        <rFont val="Times New Roman"/>
        <family val="1"/>
      </rPr>
      <t>ng/ml</t>
    </r>
    <r>
      <rPr>
        <b/>
        <sz val="12"/>
        <color theme="1"/>
        <rFont val="宋体"/>
        <family val="3"/>
        <charset val="134"/>
      </rPr>
      <t>）</t>
    </r>
  </si>
  <si>
    <r>
      <t>3-</t>
    </r>
    <r>
      <rPr>
        <b/>
        <sz val="12"/>
        <color rgb="FFFF0000"/>
        <rFont val="宋体"/>
        <family val="3"/>
        <charset val="134"/>
      </rPr>
      <t>吡啶磺酸甲酯</t>
    </r>
  </si>
  <si>
    <r>
      <t>3-</t>
    </r>
    <r>
      <rPr>
        <b/>
        <sz val="12"/>
        <color rgb="FFFF0000"/>
        <rFont val="宋体"/>
        <family val="3"/>
        <charset val="134"/>
      </rPr>
      <t>吡啶磺酸乙酯</t>
    </r>
  </si>
  <si>
    <r>
      <t>3-</t>
    </r>
    <r>
      <rPr>
        <b/>
        <sz val="12"/>
        <color rgb="FFFF0000"/>
        <rFont val="宋体"/>
        <family val="3"/>
        <charset val="134"/>
      </rPr>
      <t>吡啶磺酸异丙酯</t>
    </r>
  </si>
  <si>
    <t>2026.08.19</t>
    <phoneticPr fontId="48" type="noConversion"/>
  </si>
  <si>
    <t>2026.08.25</t>
    <phoneticPr fontId="48" type="noConversion"/>
  </si>
  <si>
    <r>
      <rPr>
        <b/>
        <sz val="12"/>
        <rFont val="宋体"/>
        <family val="3"/>
        <charset val="134"/>
      </rPr>
      <t>纯度</t>
    </r>
    <r>
      <rPr>
        <b/>
        <sz val="12"/>
        <rFont val="Times New Roman"/>
        <family val="1"/>
      </rPr>
      <t/>
    </r>
    <phoneticPr fontId="48" type="noConversion"/>
  </si>
  <si>
    <t>浓度 (ng/ml)</t>
  </si>
  <si>
    <t>S/N</t>
  </si>
  <si>
    <t>精确度%</t>
  </si>
  <si>
    <t>分析日期/时间</t>
  </si>
  <si>
    <t>专属性-对照品溶液.lcd</t>
  </si>
  <si>
    <r>
      <t>3-</t>
    </r>
    <r>
      <rPr>
        <b/>
        <sz val="12"/>
        <color rgb="FFFF0000"/>
        <rFont val="宋体"/>
        <family val="3"/>
        <charset val="134"/>
      </rPr>
      <t>吡啶磺酸甲酯</t>
    </r>
    <phoneticPr fontId="48" type="noConversion"/>
  </si>
  <si>
    <t>2026.08.26</t>
    <phoneticPr fontId="48" type="noConversion"/>
  </si>
  <si>
    <t>L-焦谷氨酸伏诺拉生 F-0022605001.lcd</t>
  </si>
  <si>
    <t>L-焦谷氨酸伏诺拉生 F-0022605002.lcd</t>
  </si>
  <si>
    <t>L-焦谷氨酸伏诺拉生 F-0022605003.lcd</t>
  </si>
  <si>
    <t>3-吡啶磺酸甲酯</t>
    <phoneticPr fontId="46" type="noConversion"/>
  </si>
  <si>
    <t>统计</t>
  </si>
  <si>
    <t>提取数据</t>
    <phoneticPr fontId="46" type="noConversion"/>
  </si>
  <si>
    <t>4.0h</t>
  </si>
  <si>
    <t>7.2h</t>
  </si>
  <si>
    <t>11.2h</t>
  </si>
  <si>
    <t>14.9h</t>
  </si>
  <si>
    <t>Y = 38468.7X + 4617.38</t>
  </si>
  <si>
    <t>Y = 32637.4X + 3346.33</t>
  </si>
  <si>
    <t>Y = 56797.3X + 1560.88</t>
  </si>
  <si>
    <t>Y = 23361.8X + 5214.36</t>
  </si>
  <si>
    <t>Y = 26578.1X + 1696.99</t>
  </si>
  <si>
    <t>Y = 51815.1X + 2500.67</t>
  </si>
  <si>
    <t>3-吡啶磺酸甲酯</t>
    <phoneticPr fontId="48" type="noConversion"/>
  </si>
  <si>
    <t>3-吡啶磺酸乙酯</t>
    <phoneticPr fontId="48" type="noConversion"/>
  </si>
  <si>
    <t>3-吡啶磺酸异丙酯</t>
    <phoneticPr fontId="48" type="noConversion"/>
  </si>
  <si>
    <t>3-吡啶磺酸甲酯</t>
    <phoneticPr fontId="48" type="noConversion"/>
  </si>
  <si>
    <t>3-吡啶磺酸乙酯</t>
    <phoneticPr fontId="48" type="noConversion"/>
  </si>
  <si>
    <t>3-吡啶磺酸异丙酯</t>
    <phoneticPr fontId="48" type="noConversion"/>
  </si>
  <si>
    <t>3-吡啶磺酸甲酯峰面积</t>
    <phoneticPr fontId="48" type="noConversion"/>
  </si>
  <si>
    <t>3-吡啶磺酸甲酯测得浓度（ng/ml）</t>
    <phoneticPr fontId="48" type="noConversion"/>
  </si>
  <si>
    <t>3-吡啶磺酸甲酯含量（ppm）</t>
    <phoneticPr fontId="48" type="noConversion"/>
  </si>
  <si>
    <t>3-吡啶磺酸乙酯峰面积</t>
    <phoneticPr fontId="48" type="noConversion"/>
  </si>
  <si>
    <t>3-吡啶磺酸乙酯测得浓度（ng/ml）</t>
    <phoneticPr fontId="48" type="noConversion"/>
  </si>
  <si>
    <t>3-吡啶磺酸乙酯含量（ppm）</t>
    <phoneticPr fontId="48" type="noConversion"/>
  </si>
  <si>
    <t>3-吡啶磺酸异丙酯峰面积</t>
    <phoneticPr fontId="48" type="noConversion"/>
  </si>
  <si>
    <t>3-吡啶磺酸异丙酯测得浓度（ng/ml）</t>
    <phoneticPr fontId="48" type="noConversion"/>
  </si>
  <si>
    <t>3-吡啶磺酸异丙酯含量（ppm）</t>
    <phoneticPr fontId="4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</si>
</sst>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_ "/>
    <numFmt numFmtId="177" formatCode="0.0_ "/>
    <numFmt numFmtId="178" formatCode="0.00_);[Red]\(0.00\)"/>
    <numFmt numFmtId="179" formatCode="0_);[Red]\(0\)"/>
    <numFmt numFmtId="180" formatCode="0.000_);[Red]\(0.000\)"/>
    <numFmt numFmtId="181" formatCode="0.000_ "/>
    <numFmt numFmtId="182" formatCode="0.0000_);[Red]\(0.0000\)"/>
    <numFmt numFmtId="183" formatCode="0.0000_ "/>
    <numFmt numFmtId="184" formatCode="0_ "/>
    <numFmt numFmtId="185" formatCode="0.0_);[Red]\(0.0\)"/>
    <numFmt numFmtId="186" formatCode="0.0"/>
  </numFmts>
  <fonts count="58" x14ac:knownFonts="1">
    <font>
      <sz val="11"/>
      <color theme="1"/>
      <name val="宋体"/>
      <charset val="134"/>
      <scheme val="minor"/>
    </font>
    <font>
      <b/>
      <sz val="12"/>
      <color theme="1"/>
      <name val="Times New Roman"/>
      <family val="1"/>
    </font>
    <font>
      <b/>
      <sz val="12"/>
      <color theme="1"/>
      <name val="宋体"/>
      <charset val="134"/>
    </font>
    <font>
      <b/>
      <sz val="12"/>
      <color rgb="FFFF0000"/>
      <name val="宋体"/>
      <charset val="134"/>
    </font>
    <font>
      <sz val="11"/>
      <color rgb="FFFF0000"/>
      <name val="宋体"/>
      <charset val="134"/>
      <scheme val="minor"/>
    </font>
    <font>
      <sz val="18"/>
      <color theme="1"/>
      <name val="宋体"/>
      <charset val="134"/>
      <scheme val="minor"/>
    </font>
    <font>
      <sz val="10.5"/>
      <color theme="1"/>
      <name val="Times New Roman"/>
      <family val="1"/>
    </font>
    <font>
      <sz val="11"/>
      <color theme="1"/>
      <name val="宋体"/>
      <charset val="134"/>
    </font>
    <font>
      <sz val="10.5"/>
      <color rgb="FFFF0000"/>
      <name val="Times New Roman"/>
      <family val="1"/>
    </font>
    <font>
      <b/>
      <sz val="20"/>
      <color theme="1"/>
      <name val="宋体"/>
      <charset val="134"/>
      <scheme val="minor"/>
    </font>
    <font>
      <sz val="11"/>
      <name val="宋体"/>
      <charset val="134"/>
    </font>
    <font>
      <sz val="11"/>
      <name val="Times New Roman"/>
      <family val="1"/>
    </font>
    <font>
      <sz val="11"/>
      <color rgb="FFFF0000"/>
      <name val="宋体"/>
      <charset val="134"/>
    </font>
    <font>
      <b/>
      <sz val="11"/>
      <name val="宋体"/>
      <charset val="134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b/>
      <sz val="11"/>
      <name val="宋体"/>
      <charset val="134"/>
    </font>
    <font>
      <b/>
      <sz val="11"/>
      <color rgb="FFFF0000"/>
      <name val="宋体"/>
      <charset val="134"/>
    </font>
    <font>
      <b/>
      <sz val="11"/>
      <color rgb="FFFF0000"/>
      <name val="Times New Roman"/>
      <family val="1"/>
    </font>
    <font>
      <b/>
      <sz val="20"/>
      <name val="宋体"/>
      <charset val="134"/>
    </font>
    <font>
      <sz val="11"/>
      <color rgb="FF000000"/>
      <name val="宋体"/>
      <charset val="134"/>
    </font>
    <font>
      <sz val="11"/>
      <color rgb="FF000000"/>
      <name val="Times New Roman"/>
      <family val="1"/>
    </font>
    <font>
      <sz val="18"/>
      <name val="Times New Roman"/>
      <family val="1"/>
    </font>
    <font>
      <b/>
      <sz val="18"/>
      <name val="宋体"/>
      <charset val="134"/>
    </font>
    <font>
      <sz val="22"/>
      <color rgb="FFFF0000"/>
      <name val="宋体"/>
      <charset val="134"/>
    </font>
    <font>
      <sz val="10.5"/>
      <color rgb="FF000000"/>
      <name val="宋体"/>
      <charset val="134"/>
    </font>
    <font>
      <sz val="10.5"/>
      <color theme="1"/>
      <name val="宋体"/>
      <charset val="134"/>
    </font>
    <font>
      <sz val="10.5"/>
      <color rgb="FF000000"/>
      <name val="Times New Roman"/>
      <family val="1"/>
    </font>
    <font>
      <sz val="10.5"/>
      <name val="Times New Roman"/>
      <family val="1"/>
    </font>
    <font>
      <b/>
      <sz val="14"/>
      <color rgb="FFFF0000"/>
      <name val="宋体"/>
      <charset val="134"/>
      <scheme val="minor"/>
    </font>
    <font>
      <b/>
      <sz val="14"/>
      <color rgb="FFFF0000"/>
      <name val="宋体"/>
      <charset val="134"/>
    </font>
    <font>
      <sz val="14"/>
      <color rgb="FF000000"/>
      <name val="宋体"/>
      <charset val="134"/>
    </font>
    <font>
      <sz val="14"/>
      <color theme="1"/>
      <name val="Times New Roman"/>
      <family val="1"/>
    </font>
    <font>
      <sz val="14"/>
      <color rgb="FF000000"/>
      <name val="Times New Roman"/>
      <family val="1"/>
    </font>
    <font>
      <sz val="14"/>
      <color theme="1"/>
      <name val="宋体"/>
      <charset val="134"/>
    </font>
    <font>
      <b/>
      <sz val="18"/>
      <color theme="1"/>
      <name val="宋体"/>
      <charset val="134"/>
    </font>
    <font>
      <sz val="14"/>
      <color rgb="FF000000"/>
      <name val="Calibri"/>
      <family val="2"/>
    </font>
    <font>
      <sz val="14"/>
      <color rgb="FFFF0000"/>
      <name val="宋体"/>
      <charset val="134"/>
    </font>
    <font>
      <b/>
      <sz val="11"/>
      <color theme="1"/>
      <name val="Times New Roman"/>
      <family val="1"/>
    </font>
    <font>
      <sz val="14"/>
      <color theme="1"/>
      <name val="宋体"/>
      <charset val="134"/>
      <scheme val="minor"/>
    </font>
    <font>
      <b/>
      <i/>
      <sz val="18"/>
      <color rgb="FF5B6B7A"/>
      <name val="微软雅黑"/>
      <charset val="134"/>
    </font>
    <font>
      <b/>
      <sz val="14"/>
      <color rgb="FF17365D"/>
      <name val="宋体"/>
      <charset val="134"/>
    </font>
    <font>
      <b/>
      <sz val="14"/>
      <color rgb="FFFFFFFF"/>
      <name val="宋体"/>
      <charset val="134"/>
    </font>
    <font>
      <sz val="11"/>
      <name val="宋体"/>
      <charset val="134"/>
      <scheme val="minor"/>
    </font>
    <font>
      <sz val="9"/>
      <name val="宋体"/>
      <charset val="134"/>
      <scheme val="minor"/>
    </font>
    <font>
      <b/>
      <sz val="11"/>
      <color rgb="FFFFFFFF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</font>
    <font>
      <b/>
      <sz val="12"/>
      <name val="Times New Roman"/>
      <family val="1"/>
    </font>
    <font>
      <b/>
      <sz val="12"/>
      <name val="宋体"/>
      <family val="3"/>
      <charset val="134"/>
    </font>
    <font>
      <b/>
      <sz val="12"/>
      <color theme="1"/>
      <name val="宋体"/>
      <family val="3"/>
      <charset val="134"/>
    </font>
    <font>
      <b/>
      <sz val="12"/>
      <color rgb="FFFF0000"/>
      <name val="Times New Roman"/>
      <family val="1"/>
    </font>
    <font>
      <b/>
      <sz val="12"/>
      <color rgb="FFFF0000"/>
      <name val="宋体"/>
      <family val="3"/>
      <charset val="134"/>
    </font>
    <font>
      <sz val="12"/>
      <color theme="1"/>
      <name val="Times New Roman"/>
      <family val="1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3CA"/>
        <bgColor indexed="64"/>
      </patternFill>
    </fill>
    <fill>
      <patternFill patternType="solid">
        <fgColor rgb="FF5B9BD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rgb="FFB7C9DD"/>
      </bottom>
      <diagonal/>
    </border>
    <border>
      <left style="thin">
        <color auto="1"/>
      </left>
      <right style="thin">
        <color auto="1"/>
      </right>
      <top style="thin">
        <color rgb="FFB7C9DD"/>
      </top>
      <bottom style="thin">
        <color auto="1"/>
      </bottom>
      <diagonal/>
    </border>
    <border>
      <left/>
      <right/>
      <top style="thin">
        <color rgb="FFB7C9DD"/>
      </top>
      <bottom style="thin">
        <color auto="1"/>
      </bottom>
      <diagonal/>
    </border>
    <border>
      <left/>
      <right style="thin">
        <color auto="1"/>
      </right>
      <top style="thin">
        <color rgb="FFB7C9DD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245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 applyAlignment="1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0" fillId="2" borderId="1" xfId="0" applyNumberFormat="1" applyFill="1" applyBorder="1" applyAlignment="1"/>
    <xf numFmtId="0" fontId="0" fillId="2" borderId="1" xfId="0" applyFill="1" applyBorder="1" applyAlignment="1"/>
    <xf numFmtId="176" fontId="0" fillId="0" borderId="1" xfId="0" applyNumberFormat="1" applyBorder="1" applyAlignment="1"/>
    <xf numFmtId="177" fontId="0" fillId="0" borderId="1" xfId="0" applyNumberFormat="1" applyBorder="1" applyAlignment="1"/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8" fontId="6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78" fontId="8" fillId="2" borderId="1" xfId="0" applyNumberFormat="1" applyFont="1" applyFill="1" applyBorder="1" applyAlignment="1">
      <alignment horizontal="center" vertical="center" wrapText="1"/>
    </xf>
    <xf numFmtId="178" fontId="9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8" fontId="13" fillId="2" borderId="1" xfId="0" applyNumberFormat="1" applyFont="1" applyFill="1" applyBorder="1" applyAlignment="1">
      <alignment horizontal="center" vertical="center"/>
    </xf>
    <xf numFmtId="178" fontId="14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176" fontId="14" fillId="2" borderId="1" xfId="0" applyNumberFormat="1" applyFont="1" applyFill="1" applyBorder="1" applyAlignment="1">
      <alignment horizontal="center" vertical="center" wrapText="1"/>
    </xf>
    <xf numFmtId="178" fontId="7" fillId="0" borderId="1" xfId="0" applyNumberFormat="1" applyFont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178" fontId="15" fillId="0" borderId="1" xfId="0" applyNumberFormat="1" applyFont="1" applyBorder="1" applyAlignment="1">
      <alignment horizontal="center"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8" fontId="15" fillId="2" borderId="1" xfId="0" applyNumberFormat="1" applyFont="1" applyFill="1" applyBorder="1" applyAlignment="1">
      <alignment horizontal="center" vertical="center"/>
    </xf>
    <xf numFmtId="181" fontId="18" fillId="0" borderId="1" xfId="0" applyNumberFormat="1" applyFont="1" applyBorder="1" applyAlignment="1">
      <alignment horizontal="center" vertical="center"/>
    </xf>
    <xf numFmtId="178" fontId="18" fillId="0" borderId="1" xfId="0" applyNumberFormat="1" applyFont="1" applyBorder="1" applyAlignment="1">
      <alignment horizontal="center" vertical="center"/>
    </xf>
    <xf numFmtId="180" fontId="18" fillId="0" borderId="1" xfId="0" applyNumberFormat="1" applyFont="1" applyBorder="1" applyAlignment="1">
      <alignment horizontal="center" vertical="center"/>
    </xf>
    <xf numFmtId="180" fontId="19" fillId="0" borderId="1" xfId="0" applyNumberFormat="1" applyFont="1" applyBorder="1" applyAlignment="1">
      <alignment horizontal="center" vertical="center"/>
    </xf>
    <xf numFmtId="180" fontId="20" fillId="2" borderId="1" xfId="0" applyNumberFormat="1" applyFont="1" applyFill="1" applyBorder="1" applyAlignment="1">
      <alignment horizontal="center" vertical="center"/>
    </xf>
    <xf numFmtId="182" fontId="20" fillId="2" borderId="1" xfId="0" applyNumberFormat="1" applyFont="1" applyFill="1" applyBorder="1" applyAlignment="1">
      <alignment horizontal="center" vertical="center"/>
    </xf>
    <xf numFmtId="183" fontId="20" fillId="2" borderId="1" xfId="0" applyNumberFormat="1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8" fontId="22" fillId="0" borderId="1" xfId="0" applyNumberFormat="1" applyFont="1" applyBorder="1" applyAlignment="1">
      <alignment horizontal="center" vertical="center" wrapText="1"/>
    </xf>
    <xf numFmtId="178" fontId="16" fillId="2" borderId="1" xfId="0" applyNumberFormat="1" applyFont="1" applyFill="1" applyBorder="1" applyAlignment="1">
      <alignment horizontal="center" vertical="center"/>
    </xf>
    <xf numFmtId="178" fontId="23" fillId="0" borderId="1" xfId="0" applyNumberFormat="1" applyFont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80" fontId="28" fillId="0" borderId="1" xfId="0" applyNumberFormat="1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76" fontId="11" fillId="2" borderId="1" xfId="0" applyNumberFormat="1" applyFont="1" applyFill="1" applyBorder="1" applyAlignment="1">
      <alignment horizontal="center" vertical="center"/>
    </xf>
    <xf numFmtId="176" fontId="29" fillId="0" borderId="1" xfId="0" applyNumberFormat="1" applyFont="1" applyBorder="1" applyAlignment="1">
      <alignment horizontal="center" vertical="center"/>
    </xf>
    <xf numFmtId="180" fontId="6" fillId="2" borderId="1" xfId="0" applyNumberFormat="1" applyFont="1" applyFill="1" applyBorder="1" applyAlignment="1">
      <alignment horizontal="center" vertical="center" wrapText="1"/>
    </xf>
    <xf numFmtId="184" fontId="6" fillId="2" borderId="1" xfId="0" applyNumberFormat="1" applyFont="1" applyFill="1" applyBorder="1" applyAlignment="1">
      <alignment horizontal="center" vertical="center" wrapText="1"/>
    </xf>
    <xf numFmtId="176" fontId="6" fillId="2" borderId="1" xfId="0" applyNumberFormat="1" applyFont="1" applyFill="1" applyBorder="1" applyAlignment="1">
      <alignment horizontal="center" vertical="center" wrapText="1"/>
    </xf>
    <xf numFmtId="177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185" fontId="29" fillId="0" borderId="1" xfId="0" applyNumberFormat="1" applyFont="1" applyBorder="1" applyAlignment="1">
      <alignment horizontal="center" vertical="center" wrapText="1"/>
    </xf>
    <xf numFmtId="181" fontId="11" fillId="0" borderId="1" xfId="0" applyNumberFormat="1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180" fontId="11" fillId="0" borderId="1" xfId="0" applyNumberFormat="1" applyFont="1" applyBorder="1" applyAlignment="1">
      <alignment horizontal="center" vertical="center"/>
    </xf>
    <xf numFmtId="177" fontId="14" fillId="0" borderId="1" xfId="0" applyNumberFormat="1" applyFont="1" applyBorder="1">
      <alignment vertical="center"/>
    </xf>
    <xf numFmtId="0" fontId="14" fillId="0" borderId="1" xfId="0" applyFont="1" applyBorder="1">
      <alignment vertical="center"/>
    </xf>
    <xf numFmtId="0" fontId="30" fillId="0" borderId="1" xfId="0" applyFont="1" applyBorder="1" applyAlignment="1">
      <alignment horizontal="center" vertical="center" wrapText="1"/>
    </xf>
    <xf numFmtId="183" fontId="11" fillId="0" borderId="1" xfId="0" applyNumberFormat="1" applyFont="1" applyBorder="1" applyAlignment="1">
      <alignment horizontal="center" vertical="center"/>
    </xf>
    <xf numFmtId="0" fontId="31" fillId="2" borderId="1" xfId="0" applyFont="1" applyFill="1" applyBorder="1" applyAlignment="1" applyProtection="1">
      <alignment horizontal="center" vertical="center"/>
      <protection locked="0"/>
    </xf>
    <xf numFmtId="0" fontId="33" fillId="0" borderId="3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29" fillId="2" borderId="1" xfId="0" applyFont="1" applyFill="1" applyBorder="1" applyAlignment="1" applyProtection="1">
      <alignment horizontal="center" vertical="center"/>
      <protection locked="0"/>
    </xf>
    <xf numFmtId="0" fontId="29" fillId="0" borderId="16" xfId="0" applyFont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 applyProtection="1">
      <alignment horizontal="center" vertical="center" wrapText="1"/>
      <protection locked="0"/>
    </xf>
    <xf numFmtId="0" fontId="32" fillId="3" borderId="1" xfId="0" applyFont="1" applyFill="1" applyBorder="1" applyAlignment="1">
      <alignment horizontal="center" vertical="center" wrapText="1"/>
    </xf>
    <xf numFmtId="176" fontId="38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38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1" fontId="38" fillId="3" borderId="1" xfId="0" applyNumberFormat="1" applyFont="1" applyFill="1" applyBorder="1" applyAlignment="1">
      <alignment horizontal="center" vertical="center" wrapText="1"/>
    </xf>
    <xf numFmtId="176" fontId="29" fillId="2" borderId="1" xfId="0" applyNumberFormat="1" applyFont="1" applyFill="1" applyBorder="1" applyAlignment="1" applyProtection="1">
      <alignment horizontal="center" vertical="center"/>
      <protection locked="0"/>
    </xf>
    <xf numFmtId="184" fontId="29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14" fontId="20" fillId="2" borderId="1" xfId="0" applyNumberFormat="1" applyFont="1" applyFill="1" applyBorder="1" applyAlignment="1"/>
    <xf numFmtId="178" fontId="40" fillId="0" borderId="1" xfId="0" applyNumberFormat="1" applyFont="1" applyBorder="1" applyAlignment="1"/>
    <xf numFmtId="180" fontId="40" fillId="0" borderId="1" xfId="0" applyNumberFormat="1" applyFont="1" applyBorder="1" applyAlignment="1"/>
    <xf numFmtId="0" fontId="40" fillId="2" borderId="1" xfId="0" applyFont="1" applyFill="1" applyBorder="1" applyAlignment="1"/>
    <xf numFmtId="181" fontId="15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/>
    </xf>
    <xf numFmtId="180" fontId="15" fillId="2" borderId="1" xfId="0" applyNumberFormat="1" applyFont="1" applyFill="1" applyBorder="1" applyAlignment="1">
      <alignment horizontal="center" vertical="center"/>
    </xf>
    <xf numFmtId="182" fontId="15" fillId="2" borderId="1" xfId="0" applyNumberFormat="1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181" fontId="41" fillId="2" borderId="1" xfId="0" applyNumberFormat="1" applyFont="1" applyFill="1" applyBorder="1" applyAlignment="1">
      <alignment horizontal="center" vertical="center"/>
    </xf>
    <xf numFmtId="184" fontId="41" fillId="2" borderId="1" xfId="0" applyNumberFormat="1" applyFont="1" applyFill="1" applyBorder="1" applyAlignment="1">
      <alignment horizontal="center" vertical="center"/>
    </xf>
    <xf numFmtId="177" fontId="41" fillId="0" borderId="1" xfId="0" applyNumberFormat="1" applyFont="1" applyBorder="1" applyAlignment="1">
      <alignment horizontal="center" vertical="center"/>
    </xf>
    <xf numFmtId="184" fontId="41" fillId="0" borderId="1" xfId="0" applyNumberFormat="1" applyFont="1" applyBorder="1" applyAlignment="1">
      <alignment horizontal="center" vertical="center"/>
    </xf>
    <xf numFmtId="181" fontId="41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wrapText="1"/>
    </xf>
    <xf numFmtId="0" fontId="28" fillId="2" borderId="1" xfId="0" applyFont="1" applyFill="1" applyBorder="1" applyAlignment="1">
      <alignment horizontal="center" vertical="center" wrapText="1"/>
    </xf>
    <xf numFmtId="0" fontId="43" fillId="5" borderId="18" xfId="0" applyFont="1" applyFill="1" applyBorder="1">
      <alignment vertical="center"/>
    </xf>
    <xf numFmtId="0" fontId="36" fillId="6" borderId="18" xfId="0" applyFont="1" applyFill="1" applyBorder="1">
      <alignment vertical="center"/>
    </xf>
    <xf numFmtId="0" fontId="43" fillId="5" borderId="1" xfId="0" applyFont="1" applyFill="1" applyBorder="1">
      <alignment vertical="center"/>
    </xf>
    <xf numFmtId="0" fontId="36" fillId="6" borderId="1" xfId="0" applyFont="1" applyFill="1" applyBorder="1" applyAlignment="1">
      <alignment horizontal="center" vertical="center"/>
    </xf>
    <xf numFmtId="14" fontId="36" fillId="6" borderId="1" xfId="0" applyNumberFormat="1" applyFont="1" applyFill="1" applyBorder="1" applyAlignment="1">
      <alignment horizontal="center" vertical="center"/>
    </xf>
    <xf numFmtId="0" fontId="36" fillId="4" borderId="17" xfId="0" applyFont="1" applyFill="1" applyBorder="1">
      <alignment vertical="center"/>
    </xf>
    <xf numFmtId="0" fontId="45" fillId="0" borderId="0" xfId="0" applyFont="1" applyAlignment="1"/>
    <xf numFmtId="0" fontId="44" fillId="7" borderId="18" xfId="0" applyFont="1" applyFill="1" applyBorder="1">
      <alignment vertical="center"/>
    </xf>
    <xf numFmtId="0" fontId="36" fillId="5" borderId="1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0" fontId="36" fillId="6" borderId="21" xfId="0" applyFont="1" applyFill="1" applyBorder="1" applyAlignment="1">
      <alignment horizontal="center" vertical="center"/>
    </xf>
    <xf numFmtId="0" fontId="47" fillId="9" borderId="22" xfId="0" applyFont="1" applyFill="1" applyBorder="1" applyAlignment="1">
      <alignment horizontal="center" vertical="center"/>
    </xf>
    <xf numFmtId="0" fontId="49" fillId="8" borderId="1" xfId="0" applyFont="1" applyFill="1" applyBorder="1" applyAlignment="1">
      <alignment horizontal="center" vertical="center"/>
    </xf>
    <xf numFmtId="181" fontId="50" fillId="0" borderId="1" xfId="0" applyNumberFormat="1" applyFont="1" applyBorder="1" applyAlignment="1">
      <alignment horizontal="center" vertical="center"/>
    </xf>
    <xf numFmtId="178" fontId="50" fillId="0" borderId="1" xfId="0" applyNumberFormat="1" applyFont="1" applyBorder="1" applyAlignment="1">
      <alignment horizontal="center" vertical="center"/>
    </xf>
    <xf numFmtId="180" fontId="50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80" fontId="53" fillId="0" borderId="1" xfId="0" applyNumberFormat="1" applyFont="1" applyBorder="1" applyAlignment="1">
      <alignment horizontal="center" vertical="center"/>
    </xf>
    <xf numFmtId="180" fontId="50" fillId="2" borderId="1" xfId="0" applyNumberFormat="1" applyFont="1" applyFill="1" applyBorder="1" applyAlignment="1">
      <alignment horizontal="center" vertical="center"/>
    </xf>
    <xf numFmtId="182" fontId="50" fillId="2" borderId="1" xfId="0" applyNumberFormat="1" applyFont="1" applyFill="1" applyBorder="1" applyAlignment="1">
      <alignment horizontal="center" vertical="center"/>
    </xf>
    <xf numFmtId="183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176" fontId="55" fillId="0" borderId="1" xfId="0" applyNumberFormat="1" applyFont="1" applyBorder="1" applyAlignment="1">
      <alignment horizontal="center" vertical="center"/>
    </xf>
    <xf numFmtId="0" fontId="56" fillId="0" borderId="0" xfId="0" applyFont="1">
      <alignment vertical="center"/>
    </xf>
    <xf numFmtId="0" fontId="56" fillId="0" borderId="0" xfId="0" applyFont="1" applyAlignment="1" applyProtection="1">
      <protection locked="0"/>
    </xf>
    <xf numFmtId="180" fontId="56" fillId="0" borderId="0" xfId="0" applyNumberFormat="1" applyFont="1" applyAlignment="1" applyProtection="1">
      <protection locked="0"/>
    </xf>
    <xf numFmtId="22" fontId="56" fillId="0" borderId="0" xfId="0" applyNumberFormat="1" applyFont="1" applyAlignment="1" applyProtection="1">
      <protection locked="0"/>
    </xf>
    <xf numFmtId="22" fontId="56" fillId="0" borderId="0" xfId="0" applyNumberFormat="1" applyFont="1">
      <alignment vertical="center"/>
    </xf>
    <xf numFmtId="3" fontId="56" fillId="0" borderId="0" xfId="0" applyNumberFormat="1" applyFont="1" applyAlignment="1" applyProtection="1">
      <protection locked="0"/>
    </xf>
    <xf numFmtId="4" fontId="56" fillId="0" borderId="0" xfId="0" applyNumberFormat="1" applyFont="1" applyAlignment="1" applyProtection="1">
      <protection locked="0"/>
    </xf>
    <xf numFmtId="0" fontId="36" fillId="4" borderId="17" xfId="0" applyFont="1" applyFill="1" applyBorder="1" applyAlignment="1">
      <alignment vertical="center" wrapText="1"/>
    </xf>
    <xf numFmtId="0" fontId="0" fillId="0" borderId="17" xfId="0" applyBorder="1" applyAlignment="1"/>
    <xf numFmtId="0" fontId="42" fillId="4" borderId="17" xfId="0" applyFont="1" applyFill="1" applyBorder="1" applyAlignment="1">
      <alignment horizontal="center" vertical="center"/>
    </xf>
    <xf numFmtId="0" fontId="0" fillId="0" borderId="0" xfId="0" applyAlignment="1"/>
    <xf numFmtId="0" fontId="36" fillId="6" borderId="18" xfId="0" applyFont="1" applyFill="1" applyBorder="1">
      <alignment vertical="center"/>
    </xf>
    <xf numFmtId="0" fontId="0" fillId="0" borderId="19" xfId="0" applyBorder="1" applyAlignment="1"/>
    <xf numFmtId="0" fontId="0" fillId="0" borderId="20" xfId="0" applyBorder="1" applyAlignment="1"/>
    <xf numFmtId="0" fontId="36" fillId="6" borderId="1" xfId="0" applyFont="1" applyFill="1" applyBorder="1">
      <alignment vertical="center"/>
    </xf>
    <xf numFmtId="0" fontId="0" fillId="0" borderId="2" xfId="0" applyBorder="1" applyAlignment="1"/>
    <xf numFmtId="0" fontId="0" fillId="0" borderId="3" xfId="0" applyBorder="1" applyAlignment="1"/>
    <xf numFmtId="0" fontId="44" fillId="7" borderId="18" xfId="0" applyFont="1" applyFill="1" applyBorder="1" applyAlignment="1">
      <alignment horizontal="center" vertical="center"/>
    </xf>
    <xf numFmtId="0" fontId="44" fillId="7" borderId="1" xfId="0" applyFont="1" applyFill="1" applyBorder="1">
      <alignment vertical="center"/>
    </xf>
    <xf numFmtId="0" fontId="41" fillId="0" borderId="1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5" xfId="0" applyBorder="1" applyAlignment="1"/>
    <xf numFmtId="0" fontId="37" fillId="0" borderId="12" xfId="0" applyFont="1" applyBorder="1" applyAlignment="1">
      <alignment horizontal="center" vertical="center"/>
    </xf>
    <xf numFmtId="0" fontId="0" fillId="0" borderId="12" xfId="0" applyBorder="1" applyAlignment="1"/>
    <xf numFmtId="0" fontId="33" fillId="3" borderId="1" xfId="0" applyFont="1" applyFill="1" applyBorder="1" applyAlignment="1">
      <alignment horizontal="center" vertical="center" wrapText="1"/>
    </xf>
    <xf numFmtId="184" fontId="38" fillId="3" borderId="1" xfId="0" applyNumberFormat="1" applyFont="1" applyFill="1" applyBorder="1" applyAlignment="1">
      <alignment horizontal="center" vertical="center" wrapText="1"/>
    </xf>
    <xf numFmtId="0" fontId="38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37" fillId="0" borderId="1" xfId="0" applyFont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 wrapText="1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177" fontId="33" fillId="3" borderId="1" xfId="0" applyNumberFormat="1" applyFont="1" applyFill="1" applyBorder="1" applyAlignment="1">
      <alignment horizontal="center" vertical="center" wrapText="1"/>
    </xf>
    <xf numFmtId="186" fontId="38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38" fillId="3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34" fillId="2" borderId="1" xfId="0" applyFont="1" applyFill="1" applyBorder="1" applyAlignment="1" applyProtection="1">
      <alignment horizontal="center" vertic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1" xfId="0" applyFont="1" applyFill="1" applyBorder="1" applyAlignment="1" applyProtection="1">
      <alignment horizontal="center" vertical="center"/>
      <protection locked="0"/>
    </xf>
    <xf numFmtId="180" fontId="32" fillId="0" borderId="3" xfId="0" applyNumberFormat="1" applyFont="1" applyBorder="1" applyAlignment="1">
      <alignment horizontal="center" vertical="center"/>
    </xf>
    <xf numFmtId="0" fontId="0" fillId="0" borderId="9" xfId="0" applyBorder="1" applyAlignment="1"/>
    <xf numFmtId="0" fontId="33" fillId="0" borderId="3" xfId="0" applyFont="1" applyBorder="1" applyAlignment="1">
      <alignment horizontal="center" vertical="center"/>
    </xf>
    <xf numFmtId="0" fontId="0" fillId="0" borderId="7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5" fillId="0" borderId="3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0" borderId="6" xfId="0" applyBorder="1" applyAlignment="1"/>
    <xf numFmtId="0" fontId="0" fillId="0" borderId="11" xfId="0" applyBorder="1" applyAlignment="1"/>
    <xf numFmtId="0" fontId="0" fillId="0" borderId="8" xfId="0" applyBorder="1" applyAlignment="1"/>
    <xf numFmtId="0" fontId="3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78" fontId="9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20" fillId="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8" fontId="10" fillId="0" borderId="1" xfId="0" applyNumberFormat="1" applyFont="1" applyBorder="1" applyAlignment="1">
      <alignment horizontal="center" vertical="center" wrapText="1"/>
    </xf>
    <xf numFmtId="0" fontId="0" fillId="0" borderId="7" xfId="0" applyBorder="1" applyAlignment="1"/>
    <xf numFmtId="0" fontId="0" fillId="0" borderId="10" xfId="0" applyBorder="1" applyAlignment="1"/>
    <xf numFmtId="0" fontId="12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84" fontId="7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177" fontId="14" fillId="0" borderId="1" xfId="0" applyNumberFormat="1" applyFont="1" applyBorder="1" applyAlignment="1">
      <alignment horizontal="center" vertical="center" wrapText="1"/>
    </xf>
    <xf numFmtId="180" fontId="19" fillId="0" borderId="1" xfId="0" applyNumberFormat="1" applyFont="1" applyBorder="1" applyAlignment="1">
      <alignment horizontal="center" vertical="center"/>
    </xf>
    <xf numFmtId="9" fontId="2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6" fontId="7" fillId="2" borderId="1" xfId="0" applyNumberFormat="1" applyFont="1" applyFill="1" applyBorder="1" applyAlignment="1">
      <alignment horizontal="center" vertical="center"/>
    </xf>
    <xf numFmtId="176" fontId="6" fillId="2" borderId="13" xfId="0" applyNumberFormat="1" applyFont="1" applyFill="1" applyBorder="1" applyAlignment="1">
      <alignment horizontal="center" vertical="center"/>
    </xf>
    <xf numFmtId="0" fontId="0" fillId="0" borderId="14" xfId="0" applyBorder="1" applyAlignment="1"/>
    <xf numFmtId="0" fontId="0" fillId="0" borderId="15" xfId="0" applyBorder="1" applyAlignment="1"/>
    <xf numFmtId="184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6" fontId="28" fillId="0" borderId="1" xfId="0" applyNumberFormat="1" applyFont="1" applyBorder="1" applyAlignment="1">
      <alignment horizontal="center" vertical="center" wrapText="1"/>
    </xf>
    <xf numFmtId="0" fontId="57" fillId="0" borderId="0" xfId="0" applyFont="1">
      <alignment vertical="center"/>
    </xf>
    <xf numFmtId="180" fontId="57" fillId="0" borderId="0" xfId="0" applyNumberFormat="1" applyFont="1">
      <alignment vertical="center"/>
    </xf>
    <xf numFmtId="0" fontId="57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protection locked="0"/>
    </xf>
    <xf numFmtId="180" fontId="57" fillId="0" borderId="0" xfId="0" applyNumberFormat="1" applyFont="1" applyAlignment="1" applyProtection="1">
      <protection locked="0"/>
    </xf>
    <xf numFmtId="22" fontId="57" fillId="0" borderId="0" xfId="0" applyNumberFormat="1" applyFont="1" applyAlignment="1" applyProtection="1">
      <protection locked="0"/>
    </xf>
    <xf numFmtId="22" fontId="57" fillId="0" borderId="0" xfId="0" applyNumberFormat="1" applyFont="1">
      <alignment vertical="center"/>
    </xf>
    <xf numFmtId="3" fontId="57" fillId="0" borderId="0" xfId="0" applyNumberFormat="1" applyFont="1" applyAlignment="1" applyProtection="1">
      <protection locked="0"/>
    </xf>
    <xf numFmtId="4" fontId="57" fillId="0" borderId="0" xfId="0" applyNumberFormat="1" applyFont="1" applyAlignment="1" applyProtection="1">
      <protection locked="0"/>
    </xf>
    <xf numFmtId="0" fontId="57" fillId="0" borderId="0" xfId="0" applyFont="1" applyAlignment="1">
      <alignment horizontal="center" vertical="center"/>
    </xf>
    <xf numFmtId="0" fontId="57" fillId="0" borderId="0" xfId="0" applyFont="1" applyAlignment="1"/>
    <xf numFmtId="180" fontId="57" fillId="0" borderId="0" xfId="0" applyNumberFormat="1" applyFont="1" applyAlignment="1"/>
    <xf numFmtId="22" fontId="57" fillId="0" borderId="0" xfId="0" applyNumberFormat="1" applyFont="1" applyAlignment="1"/>
    <xf numFmtId="3" fontId="57" fillId="0" borderId="0" xfId="0" applyNumberFormat="1" applyFont="1" applyAlignment="1"/>
    <xf numFmtId="4" fontId="57" fillId="0" borderId="0" xfId="0" applyNumberFormat="1" applyFont="1" applyAlignment="1"/>
    <xf numFmtId="178" fontId="20" fillId="2" borderId="1" xfId="0" applyNumberFormat="1" applyFont="1" applyFill="1" applyBorder="1" applyAlignment="1">
      <alignment horizontal="center" vertical="center"/>
    </xf>
    <xf numFmtId="178" fontId="20" fillId="2" borderId="21" xfId="0" applyNumberFormat="1" applyFont="1" applyFill="1" applyBorder="1" applyAlignment="1">
      <alignment horizontal="center" vertical="center"/>
    </xf>
    <xf numFmtId="178" fontId="20" fillId="2" borderId="3" xfId="0" applyNumberFormat="1" applyFont="1" applyFill="1" applyBorder="1" applyAlignment="1">
      <alignment horizontal="center" vertical="center"/>
    </xf>
    <xf numFmtId="178" fontId="20" fillId="2" borderId="1" xfId="0" applyNumberFormat="1" applyFont="1" applyFill="1" applyBorder="1" applyAlignment="1">
      <alignment horizontal="center" vertical="center"/>
    </xf>
    <xf numFmtId="178" fontId="0" fillId="0" borderId="3" xfId="0" applyNumberFormat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线性!$C$3:$G$3</c:f>
              <c:numCache>
                <c:formatCode>General</c:formatCode>
                <c:ptCount val="5"/>
                <c:pt idx="0">
                  <c:v>1.5</c:v>
                </c:pt>
                <c:pt idx="1">
                  <c:v>18.809999999999999</c:v>
                </c:pt>
                <c:pt idx="2">
                  <c:v>37.619999999999997</c:v>
                </c:pt>
                <c:pt idx="3">
                  <c:v>56.43</c:v>
                </c:pt>
                <c:pt idx="4">
                  <c:v>75.239999999999995</c:v>
                </c:pt>
              </c:numCache>
            </c:numRef>
          </c:xVal>
          <c:yVal>
            <c:numRef>
              <c:f>线性!$C$9:$G$9</c:f>
              <c:numCache>
                <c:formatCode>General</c:formatCode>
                <c:ptCount val="5"/>
                <c:pt idx="0">
                  <c:v>-211</c:v>
                </c:pt>
                <c:pt idx="1">
                  <c:v>38188</c:v>
                </c:pt>
                <c:pt idx="2">
                  <c:v>36133</c:v>
                </c:pt>
                <c:pt idx="3">
                  <c:v>-22099</c:v>
                </c:pt>
                <c:pt idx="4">
                  <c:v>-184954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167-45F7-868D-1FF2C5CB2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35368"/>
        <c:axId val="784836808"/>
      </c:scatterChart>
      <c:valAx>
        <c:axId val="784835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84836808"/>
        <c:crosses val="autoZero"/>
        <c:crossBetween val="midCat"/>
      </c:valAx>
      <c:valAx>
        <c:axId val="784836808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84835368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线性!$C$15:$G$15</c:f>
              <c:numCache>
                <c:formatCode>General</c:formatCode>
                <c:ptCount val="5"/>
                <c:pt idx="0">
                  <c:v>1.5</c:v>
                </c:pt>
                <c:pt idx="1">
                  <c:v>18.75</c:v>
                </c:pt>
                <c:pt idx="2">
                  <c:v>37.51</c:v>
                </c:pt>
                <c:pt idx="3">
                  <c:v>56.26</c:v>
                </c:pt>
                <c:pt idx="4">
                  <c:v>75.010000000000005</c:v>
                </c:pt>
              </c:numCache>
            </c:numRef>
          </c:xVal>
          <c:yVal>
            <c:numRef>
              <c:f>线性!$C$21:$G$21</c:f>
              <c:numCache>
                <c:formatCode>General</c:formatCode>
                <c:ptCount val="5"/>
                <c:pt idx="0">
                  <c:v>-210</c:v>
                </c:pt>
                <c:pt idx="1">
                  <c:v>41325</c:v>
                </c:pt>
                <c:pt idx="2">
                  <c:v>17342</c:v>
                </c:pt>
                <c:pt idx="3">
                  <c:v>-34604</c:v>
                </c:pt>
                <c:pt idx="4">
                  <c:v>-143357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E8-4426-913E-C86FE815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27440"/>
        <c:axId val="151129240"/>
      </c:scatterChart>
      <c:valAx>
        <c:axId val="15112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51129240"/>
        <c:crosses val="autoZero"/>
        <c:crossBetween val="midCat"/>
      </c:valAx>
      <c:valAx>
        <c:axId val="151129240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51127440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线性!$C$27:$G$27</c:f>
              <c:numCache>
                <c:formatCode>General</c:formatCode>
                <c:ptCount val="5"/>
                <c:pt idx="0">
                  <c:v>1.5</c:v>
                </c:pt>
                <c:pt idx="1">
                  <c:v>18.690000000000001</c:v>
                </c:pt>
                <c:pt idx="2">
                  <c:v>37.380000000000003</c:v>
                </c:pt>
                <c:pt idx="3">
                  <c:v>56.07</c:v>
                </c:pt>
                <c:pt idx="4">
                  <c:v>74.760000000000005</c:v>
                </c:pt>
              </c:numCache>
            </c:numRef>
          </c:xVal>
          <c:yVal>
            <c:numRef>
              <c:f>线性!$C$33:$G$33</c:f>
              <c:numCache>
                <c:formatCode>General</c:formatCode>
                <c:ptCount val="5"/>
                <c:pt idx="0">
                  <c:v>-50</c:v>
                </c:pt>
                <c:pt idx="1">
                  <c:v>8389</c:v>
                </c:pt>
                <c:pt idx="2">
                  <c:v>13097</c:v>
                </c:pt>
                <c:pt idx="3">
                  <c:v>-9859</c:v>
                </c:pt>
                <c:pt idx="4">
                  <c:v>-44097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3D-45AC-9561-58BF74E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26360"/>
        <c:axId val="151127440"/>
      </c:scatterChart>
      <c:valAx>
        <c:axId val="151126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51127440"/>
        <c:crosses val="autoZero"/>
        <c:crossBetween val="midCat"/>
      </c:valAx>
      <c:valAx>
        <c:axId val="151127440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51126360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线性!$C$39:$G$39</c:f>
              <c:numCache>
                <c:formatCode>General</c:formatCode>
                <c:ptCount val="5"/>
                <c:pt idx="0">
                  <c:v>1.52</c:v>
                </c:pt>
                <c:pt idx="1">
                  <c:v>18.95</c:v>
                </c:pt>
                <c:pt idx="2">
                  <c:v>37.9</c:v>
                </c:pt>
                <c:pt idx="3">
                  <c:v>56.86</c:v>
                </c:pt>
                <c:pt idx="4">
                  <c:v>75.81</c:v>
                </c:pt>
              </c:numCache>
            </c:numRef>
          </c:xVal>
          <c:yVal>
            <c:numRef>
              <c:f>线性!$C$45:$G$45</c:f>
              <c:numCache>
                <c:formatCode>General</c:formatCode>
                <c:ptCount val="5"/>
                <c:pt idx="0">
                  <c:v>-122</c:v>
                </c:pt>
                <c:pt idx="1">
                  <c:v>24518</c:v>
                </c:pt>
                <c:pt idx="2">
                  <c:v>7932</c:v>
                </c:pt>
                <c:pt idx="3">
                  <c:v>-31307</c:v>
                </c:pt>
                <c:pt idx="4">
                  <c:v>-66150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12-4B36-B5AC-1A465939C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210656"/>
        <c:axId val="421207056"/>
      </c:scatterChart>
      <c:valAx>
        <c:axId val="421210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421207056"/>
        <c:crosses val="autoZero"/>
        <c:crossBetween val="midCat"/>
      </c:valAx>
      <c:valAx>
        <c:axId val="421207056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421210656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线性!$C$51:$G$51</c:f>
              <c:numCache>
                <c:formatCode>General</c:formatCode>
                <c:ptCount val="5"/>
                <c:pt idx="0">
                  <c:v>1.49</c:v>
                </c:pt>
                <c:pt idx="1">
                  <c:v>18.600000000000001</c:v>
                </c:pt>
                <c:pt idx="2">
                  <c:v>37.200000000000003</c:v>
                </c:pt>
                <c:pt idx="3">
                  <c:v>55.8</c:v>
                </c:pt>
                <c:pt idx="4">
                  <c:v>74.41</c:v>
                </c:pt>
              </c:numCache>
            </c:numRef>
          </c:xVal>
          <c:yVal>
            <c:numRef>
              <c:f>线性!$C$57:$G$57</c:f>
              <c:numCache>
                <c:formatCode>General</c:formatCode>
                <c:ptCount val="5"/>
                <c:pt idx="0">
                  <c:v>-63</c:v>
                </c:pt>
                <c:pt idx="1">
                  <c:v>9969</c:v>
                </c:pt>
                <c:pt idx="2">
                  <c:v>20334</c:v>
                </c:pt>
                <c:pt idx="3">
                  <c:v>-16964</c:v>
                </c:pt>
                <c:pt idx="4">
                  <c:v>-54809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CD-4C58-9599-293C49144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207416"/>
        <c:axId val="421210656"/>
      </c:scatterChart>
      <c:valAx>
        <c:axId val="421207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421210656"/>
        <c:crosses val="autoZero"/>
        <c:crossBetween val="midCat"/>
      </c:valAx>
      <c:valAx>
        <c:axId val="421210656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421207416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Times New Roman"/>
                    <a:ea typeface="Times New Roman"/>
                    <a:cs typeface="Times New Roman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线性!$C$63:$G$63</c:f>
              <c:numCache>
                <c:formatCode>General</c:formatCode>
                <c:ptCount val="5"/>
                <c:pt idx="0">
                  <c:v>1.5</c:v>
                </c:pt>
                <c:pt idx="1">
                  <c:v>18.72</c:v>
                </c:pt>
                <c:pt idx="2">
                  <c:v>37.44</c:v>
                </c:pt>
                <c:pt idx="3">
                  <c:v>56.16</c:v>
                </c:pt>
                <c:pt idx="4">
                  <c:v>74.89</c:v>
                </c:pt>
              </c:numCache>
            </c:numRef>
          </c:xVal>
          <c:yVal>
            <c:numRef>
              <c:f>线性!$C$69:$G$69</c:f>
              <c:numCache>
                <c:formatCode>General</c:formatCode>
                <c:ptCount val="5"/>
                <c:pt idx="0">
                  <c:v>-129</c:v>
                </c:pt>
                <c:pt idx="1">
                  <c:v>27225</c:v>
                </c:pt>
                <c:pt idx="2">
                  <c:v>-411</c:v>
                </c:pt>
                <c:pt idx="3">
                  <c:v>-25121</c:v>
                </c:pt>
                <c:pt idx="4">
                  <c:v>-68162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D8-4AA6-998C-4B4945E94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953736"/>
        <c:axId val="775956616"/>
      </c:scatterChart>
      <c:valAx>
        <c:axId val="775953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浓度（</a:t>
                </a:r>
                <a:r>
                  <a:rPr lang="pt-BR"/>
                  <a:t>ng/ml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75956616"/>
        <c:crosses val="autoZero"/>
        <c:crossBetween val="midCat"/>
      </c:valAx>
      <c:valAx>
        <c:axId val="775956616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rich>
              <a:bodyPr/>
              <a:lstStyle/>
              <a:p>
                <a:pPr>
                  <a:defRPr altLang="en-US" sz="1000" b="1">
                    <a:latin typeface="Times New Roman"/>
                    <a:ea typeface="Times New Roman"/>
                    <a:cs typeface="Times New Roman"/>
                  </a:defRPr>
                </a:pPr>
                <a:r>
                  <a:rPr lang="zh-CN"/>
                  <a:t>残差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75953736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868686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38100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_tpl_linear!$C$3:$G$3</c:f>
              <c:numCache>
                <c:formatCode>General</c:formatCode>
                <c:ptCount val="5"/>
              </c:numCache>
            </c:numRef>
          </c:xVal>
          <c:yVal>
            <c:numRef>
              <c:f>_tpl_linear!$C$6:$G$6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CF-436A-A6A1-5D3D5B120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89408"/>
        <c:axId val="219554560"/>
      </c:scatterChart>
      <c:valAx>
        <c:axId val="217889408"/>
        <c:scaling>
          <c:orientation val="minMax"/>
        </c:scaling>
        <c:delete val="0"/>
        <c:axPos val="b"/>
        <c:majorGridlines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残差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554560"/>
        <c:crosses val="autoZero"/>
        <c:crossBetween val="midCat"/>
      </c:valAx>
      <c:valAx>
        <c:axId val="219554560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浓度（ng/ml）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889408"/>
        <c:crosses val="autoZero"/>
        <c:crossBetween val="midCat"/>
      </c:valAx>
    </c:plotArea>
    <c:plotVisOnly val="1"/>
    <c:dispBlanksAs val="gap"/>
    <c:showDLblsOverMax val="0"/>
    <c:extLst>
      <c:ext uri="{0b15fc19-7d7d-44ad-8c2d-2c3a37ce22c3}">
        <chartProps xmlns="https://web.wps.cn/et/2018/main" chartId="{f47cca53-fd46-4fd3-9f98-2f928832d922}"/>
      </c:ext>
    </c:extLst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317500</xdr:colOff>
      <xdr:row>0</xdr:row>
      <xdr:rowOff>5080</xdr:rowOff>
    </xdr:from>
    <xdr:to>
      <xdr:col>14</xdr:col>
      <xdr:colOff>365760</xdr:colOff>
      <xdr:row>11</xdr:row>
      <xdr:rowOff>74930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9CE37CC2-55D0-C528-3B53-DF73661E7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406400</xdr:colOff>
      <xdr:row>12</xdr:row>
      <xdr:rowOff>57150</xdr:rowOff>
    </xdr:from>
    <xdr:to>
      <xdr:col>14</xdr:col>
      <xdr:colOff>450850</xdr:colOff>
      <xdr:row>23</xdr:row>
      <xdr:rowOff>118110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DABFD7A3-A210-3085-D08B-A6DD1476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317500</xdr:colOff>
      <xdr:row>24</xdr:row>
      <xdr:rowOff>5080</xdr:rowOff>
    </xdr:from>
    <xdr:to>
      <xdr:col>14</xdr:col>
      <xdr:colOff>365760</xdr:colOff>
      <xdr:row>35</xdr:row>
      <xdr:rowOff>74930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82872941-431F-33EB-5DA9-7F0E750A9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406400</xdr:colOff>
      <xdr:row>36</xdr:row>
      <xdr:rowOff>57150</xdr:rowOff>
    </xdr:from>
    <xdr:to>
      <xdr:col>14</xdr:col>
      <xdr:colOff>450850</xdr:colOff>
      <xdr:row>47</xdr:row>
      <xdr:rowOff>118110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2C0DB4A7-5A76-69B7-EC6E-7D32749A9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317500</xdr:colOff>
      <xdr:row>48</xdr:row>
      <xdr:rowOff>5080</xdr:rowOff>
    </xdr:from>
    <xdr:to>
      <xdr:col>14</xdr:col>
      <xdr:colOff>365760</xdr:colOff>
      <xdr:row>59</xdr:row>
      <xdr:rowOff>74930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70CD5CA6-6875-4E30-2F3F-A3482CB47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406400</xdr:colOff>
      <xdr:row>60</xdr:row>
      <xdr:rowOff>57150</xdr:rowOff>
    </xdr:from>
    <xdr:to>
      <xdr:col>14</xdr:col>
      <xdr:colOff>450850</xdr:colOff>
      <xdr:row>71</xdr:row>
      <xdr:rowOff>118110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81620106-EF47-96A9-228B-9D65A84DC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"/>
  <sheetViews>
    <sheetView workbookViewId="0">
      <selection activeCell="G8" sqref="G8"/>
    </sheetView>
  </sheetViews>
  <sheetFormatPr defaultColWidth="9" defaultRowHeight="14" x14ac:dyDescent="0.25"/>
  <cols>
    <col min="1" max="1" width="17.90625" style="1" customWidth="1"/>
    <col min="2" max="2" width="25" style="1" customWidth="1"/>
    <col min="3" max="4" width="8.36328125" style="1" customWidth="1"/>
    <col min="5" max="5" width="19.08984375" style="1" customWidth="1"/>
    <col min="6" max="6" width="27.6328125" style="1" customWidth="1"/>
  </cols>
  <sheetData>
    <row r="1" spans="1:7" x14ac:dyDescent="0.25">
      <c r="A1" s="137" t="s">
        <v>0</v>
      </c>
      <c r="B1" s="138"/>
      <c r="C1" s="138"/>
      <c r="D1" s="138"/>
      <c r="E1" s="138"/>
      <c r="F1" s="138"/>
    </row>
    <row r="2" spans="1:7" x14ac:dyDescent="0.25">
      <c r="A2" s="136"/>
      <c r="B2" s="136"/>
      <c r="C2" s="136"/>
      <c r="D2" s="136"/>
      <c r="E2" s="136"/>
      <c r="F2" s="136"/>
    </row>
    <row r="3" spans="1:7" ht="17.649999999999999" customHeight="1" x14ac:dyDescent="0.25">
      <c r="A3" s="105" t="s">
        <v>1</v>
      </c>
      <c r="B3" s="139"/>
      <c r="C3" s="140"/>
      <c r="D3" s="141"/>
      <c r="E3" s="105" t="s">
        <v>2</v>
      </c>
      <c r="F3" s="106"/>
    </row>
    <row r="4" spans="1:7" ht="17.649999999999999" customHeight="1" x14ac:dyDescent="0.25">
      <c r="A4" s="107" t="s">
        <v>3</v>
      </c>
      <c r="B4" s="142"/>
      <c r="C4" s="143"/>
      <c r="D4" s="144"/>
      <c r="E4" s="107" t="s">
        <v>4</v>
      </c>
      <c r="F4" s="108" t="s">
        <v>5</v>
      </c>
    </row>
    <row r="5" spans="1:7" ht="17.649999999999999" customHeight="1" x14ac:dyDescent="0.25">
      <c r="A5" s="107" t="s">
        <v>6</v>
      </c>
      <c r="B5" s="142"/>
      <c r="C5" s="143"/>
      <c r="D5" s="144"/>
      <c r="E5" s="107" t="s">
        <v>7</v>
      </c>
      <c r="F5" s="109">
        <f ca="1">TODAY()</f>
        <v>46263</v>
      </c>
    </row>
    <row r="6" spans="1:7" ht="17.649999999999999" customHeight="1" x14ac:dyDescent="0.25">
      <c r="A6" s="110"/>
      <c r="B6" s="110"/>
      <c r="C6" s="110"/>
      <c r="D6" s="110"/>
      <c r="E6" s="110"/>
      <c r="F6" s="110"/>
    </row>
    <row r="7" spans="1:7" ht="17.649999999999999" customHeight="1" x14ac:dyDescent="0.25">
      <c r="A7" s="145" t="s">
        <v>8</v>
      </c>
      <c r="B7" s="141"/>
      <c r="C7" s="111"/>
      <c r="D7" s="111"/>
      <c r="E7" s="112"/>
      <c r="F7" s="112"/>
    </row>
    <row r="8" spans="1:7" ht="17.649999999999999" customHeight="1" x14ac:dyDescent="0.25">
      <c r="A8" s="113" t="s">
        <v>8</v>
      </c>
      <c r="B8" s="114">
        <v>3</v>
      </c>
      <c r="C8" s="111"/>
      <c r="D8" s="111"/>
      <c r="E8" s="113"/>
      <c r="F8" s="115"/>
      <c r="G8" s="116" t="s">
        <v>260</v>
      </c>
    </row>
    <row r="9" spans="1:7" ht="17.649999999999999" customHeight="1" x14ac:dyDescent="0.25">
      <c r="A9" s="113" t="s">
        <v>9</v>
      </c>
      <c r="B9" s="117" t="s">
        <v>258</v>
      </c>
      <c r="C9" s="111"/>
      <c r="D9" s="111"/>
      <c r="E9" s="113"/>
      <c r="F9" s="108"/>
    </row>
    <row r="10" spans="1:7" ht="17.649999999999999" customHeight="1" x14ac:dyDescent="0.25">
      <c r="A10" s="113" t="s">
        <v>226</v>
      </c>
      <c r="B10" s="117" t="s">
        <v>230</v>
      </c>
      <c r="C10" s="111"/>
      <c r="D10" s="111"/>
      <c r="E10" s="113"/>
      <c r="F10" s="108"/>
    </row>
    <row r="11" spans="1:7" ht="17.649999999999999" customHeight="1" x14ac:dyDescent="0.25">
      <c r="A11" s="113" t="s">
        <v>227</v>
      </c>
      <c r="B11" s="117" t="s">
        <v>231</v>
      </c>
      <c r="C11" s="111"/>
      <c r="D11" s="111"/>
      <c r="E11" s="113"/>
      <c r="F11" s="108"/>
    </row>
    <row r="12" spans="1:7" ht="17.649999999999999" hidden="1" customHeight="1" x14ac:dyDescent="0.25">
      <c r="A12" s="113"/>
      <c r="B12" s="114"/>
      <c r="C12" s="111"/>
      <c r="D12" s="111"/>
      <c r="E12" s="113"/>
      <c r="F12" s="108"/>
    </row>
    <row r="13" spans="1:7" ht="17.649999999999999" hidden="1" customHeight="1" x14ac:dyDescent="0.25">
      <c r="A13" s="113"/>
      <c r="B13" s="114"/>
      <c r="C13" s="111"/>
      <c r="D13" s="111"/>
      <c r="E13" s="113"/>
      <c r="F13" s="108"/>
    </row>
    <row r="14" spans="1:7" ht="17.649999999999999" hidden="1" customHeight="1" x14ac:dyDescent="0.25">
      <c r="A14" s="113"/>
      <c r="B14" s="114"/>
      <c r="C14" s="111"/>
      <c r="D14" s="111"/>
      <c r="E14" s="113"/>
      <c r="F14" s="108"/>
    </row>
    <row r="15" spans="1:7" ht="17.649999999999999" hidden="1" customHeight="1" x14ac:dyDescent="0.25">
      <c r="A15" s="113" t="s">
        <v>11</v>
      </c>
      <c r="B15" s="114"/>
      <c r="C15" s="111"/>
      <c r="D15" s="111"/>
      <c r="E15" s="113"/>
      <c r="F15" s="108"/>
    </row>
    <row r="16" spans="1:7" ht="17.649999999999999" hidden="1" customHeight="1" x14ac:dyDescent="0.25">
      <c r="A16" s="113" t="s">
        <v>12</v>
      </c>
      <c r="B16" s="114"/>
      <c r="C16" s="111"/>
      <c r="D16" s="111"/>
      <c r="E16" s="113"/>
      <c r="F16" s="108"/>
    </row>
    <row r="17" spans="1:6" ht="17.649999999999999" hidden="1" customHeight="1" x14ac:dyDescent="0.25">
      <c r="A17" s="113" t="s">
        <v>13</v>
      </c>
      <c r="B17" s="114"/>
      <c r="C17" s="111"/>
      <c r="D17" s="111"/>
      <c r="E17" s="113"/>
      <c r="F17" s="108"/>
    </row>
    <row r="18" spans="1:6" ht="17.649999999999999" hidden="1" customHeight="1" x14ac:dyDescent="0.25">
      <c r="A18" s="113" t="s">
        <v>14</v>
      </c>
      <c r="B18" s="114"/>
      <c r="C18" s="111"/>
      <c r="D18" s="111"/>
      <c r="E18" s="113"/>
      <c r="F18" s="108"/>
    </row>
    <row r="19" spans="1:6" ht="17.649999999999999" hidden="1" customHeight="1" x14ac:dyDescent="0.25">
      <c r="A19" s="113" t="s">
        <v>15</v>
      </c>
      <c r="B19" s="114"/>
      <c r="C19" s="111"/>
      <c r="D19" s="111"/>
      <c r="E19" s="113"/>
      <c r="F19" s="108"/>
    </row>
    <row r="20" spans="1:6" ht="17.649999999999999" hidden="1" customHeight="1" x14ac:dyDescent="0.25">
      <c r="A20" s="113" t="s">
        <v>16</v>
      </c>
      <c r="B20" s="114"/>
      <c r="C20" s="111"/>
      <c r="D20" s="111"/>
      <c r="E20" s="113"/>
      <c r="F20" s="108"/>
    </row>
    <row r="21" spans="1:6" ht="17.649999999999999" hidden="1" customHeight="1" x14ac:dyDescent="0.25">
      <c r="A21" s="113" t="s">
        <v>17</v>
      </c>
      <c r="B21" s="114"/>
      <c r="C21" s="111"/>
      <c r="D21" s="111"/>
      <c r="E21" s="113"/>
      <c r="F21" s="108"/>
    </row>
    <row r="22" spans="1:6" ht="17.649999999999999" hidden="1" customHeight="1" x14ac:dyDescent="0.25">
      <c r="A22" s="113" t="s">
        <v>18</v>
      </c>
      <c r="B22" s="114"/>
      <c r="C22" s="111"/>
      <c r="D22" s="111"/>
      <c r="E22" s="113"/>
      <c r="F22" s="108"/>
    </row>
    <row r="23" spans="1:6" ht="17.649999999999999" hidden="1" customHeight="1" x14ac:dyDescent="0.25">
      <c r="A23" s="113" t="s">
        <v>19</v>
      </c>
      <c r="B23" s="114"/>
      <c r="C23" s="111"/>
      <c r="D23" s="111"/>
      <c r="E23" s="113"/>
      <c r="F23" s="108"/>
    </row>
    <row r="24" spans="1:6" ht="17.649999999999999" customHeight="1" x14ac:dyDescent="0.25">
      <c r="A24" s="146" t="s">
        <v>20</v>
      </c>
      <c r="B24" s="143"/>
      <c r="C24" s="143"/>
      <c r="D24" s="143"/>
      <c r="E24" s="143"/>
      <c r="F24" s="144"/>
    </row>
    <row r="25" spans="1:6" ht="17.649999999999999" customHeight="1" x14ac:dyDescent="0.25">
      <c r="A25" s="135" t="s">
        <v>21</v>
      </c>
      <c r="B25" s="136"/>
      <c r="C25" s="136"/>
      <c r="D25" s="136"/>
      <c r="E25" s="136"/>
      <c r="F25" s="136"/>
    </row>
    <row r="26" spans="1:6" ht="17.649999999999999" customHeight="1" x14ac:dyDescent="0.25">
      <c r="A26" s="135" t="s">
        <v>22</v>
      </c>
      <c r="B26" s="136"/>
      <c r="C26" s="136"/>
      <c r="D26" s="136"/>
      <c r="E26" s="136"/>
      <c r="F26" s="136"/>
    </row>
    <row r="27" spans="1:6" ht="17.649999999999999" customHeight="1" x14ac:dyDescent="0.25">
      <c r="A27" s="135" t="s">
        <v>23</v>
      </c>
      <c r="B27" s="136"/>
      <c r="C27" s="136"/>
      <c r="D27" s="136"/>
      <c r="E27" s="136"/>
      <c r="F27" s="136"/>
    </row>
    <row r="28" spans="1:6" ht="17.649999999999999" customHeight="1" x14ac:dyDescent="0.25">
      <c r="A28" s="135" t="s">
        <v>24</v>
      </c>
      <c r="B28" s="136"/>
      <c r="C28" s="136"/>
      <c r="D28" s="136"/>
      <c r="E28" s="136"/>
      <c r="F28" s="136"/>
    </row>
  </sheetData>
  <mergeCells count="10">
    <mergeCell ref="A25:F25"/>
    <mergeCell ref="A26:F26"/>
    <mergeCell ref="A27:F27"/>
    <mergeCell ref="A28:F28"/>
    <mergeCell ref="A1:F2"/>
    <mergeCell ref="B3:D3"/>
    <mergeCell ref="B4:D4"/>
    <mergeCell ref="B5:D5"/>
    <mergeCell ref="A7:B7"/>
    <mergeCell ref="A24:F24"/>
  </mergeCells>
  <phoneticPr fontId="46" type="noConversion"/>
  <dataValidations count="1">
    <dataValidation type="whole" errorTitle="数量无效" error="请输入 1-15 之间的数量。" sqref="B8" xr:uid="{00000000-0002-0000-0000-000000000000}">
      <formula1>1</formula1>
      <formula2>15</formula2>
    </dataValidation>
  </dataValidations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3"/>
  <sheetViews>
    <sheetView workbookViewId="0">
      <selection activeCell="B13" sqref="B13"/>
    </sheetView>
  </sheetViews>
  <sheetFormatPr defaultColWidth="9" defaultRowHeight="14" x14ac:dyDescent="0.25"/>
  <cols>
    <col min="1" max="1" width="24.08984375" customWidth="1"/>
    <col min="2" max="2" width="20.6328125" customWidth="1"/>
    <col min="3" max="3" width="13" customWidth="1"/>
    <col min="4" max="4" width="24.08984375" customWidth="1"/>
    <col min="5" max="5" width="20.6328125" customWidth="1"/>
    <col min="6" max="6" width="13" customWidth="1"/>
    <col min="7" max="7" width="24.08984375" customWidth="1"/>
    <col min="8" max="8" width="20.6328125" customWidth="1"/>
    <col min="9" max="9" width="13" customWidth="1"/>
  </cols>
  <sheetData>
    <row r="1" spans="1:9" ht="21" customHeight="1" x14ac:dyDescent="0.25">
      <c r="A1" s="97" t="s">
        <v>25</v>
      </c>
      <c r="B1" s="147" t="s">
        <v>271</v>
      </c>
      <c r="C1" s="144"/>
      <c r="D1" s="97" t="s">
        <v>25</v>
      </c>
      <c r="E1" s="147" t="s">
        <v>272</v>
      </c>
      <c r="F1" s="144"/>
      <c r="G1" s="97" t="s">
        <v>25</v>
      </c>
      <c r="H1" s="147" t="s">
        <v>273</v>
      </c>
      <c r="I1" s="144"/>
    </row>
    <row r="2" spans="1:9" ht="21" customHeight="1" x14ac:dyDescent="0.25">
      <c r="A2" s="97" t="s">
        <v>26</v>
      </c>
      <c r="B2" s="97" t="s">
        <v>27</v>
      </c>
      <c r="C2" s="97" t="s">
        <v>28</v>
      </c>
      <c r="D2" s="97" t="s">
        <v>26</v>
      </c>
      <c r="E2" s="97" t="s">
        <v>27</v>
      </c>
      <c r="F2" s="97" t="s">
        <v>28</v>
      </c>
      <c r="G2" s="97" t="s">
        <v>26</v>
      </c>
      <c r="H2" s="97" t="s">
        <v>27</v>
      </c>
      <c r="I2" s="97" t="s">
        <v>28</v>
      </c>
    </row>
    <row r="3" spans="1:9" ht="21" customHeight="1" x14ac:dyDescent="0.25">
      <c r="A3" s="97" t="s">
        <v>29</v>
      </c>
      <c r="B3" s="98">
        <v>4.21</v>
      </c>
      <c r="C3" s="99">
        <v>1593245</v>
      </c>
      <c r="D3" s="97" t="s">
        <v>29</v>
      </c>
      <c r="E3" s="98">
        <v>5.3579999999999997</v>
      </c>
      <c r="F3" s="99">
        <v>1248793</v>
      </c>
      <c r="G3" s="97" t="s">
        <v>29</v>
      </c>
      <c r="H3" s="98">
        <v>7.7409999999999997</v>
      </c>
      <c r="I3" s="99">
        <v>2135016</v>
      </c>
    </row>
    <row r="4" spans="1:9" ht="21" customHeight="1" x14ac:dyDescent="0.25">
      <c r="A4" s="97" t="s">
        <v>30</v>
      </c>
      <c r="B4" s="98">
        <v>4.2080000000000002</v>
      </c>
      <c r="C4" s="99">
        <v>1588485</v>
      </c>
      <c r="D4" s="97" t="s">
        <v>30</v>
      </c>
      <c r="E4" s="98">
        <v>5.3550000000000004</v>
      </c>
      <c r="F4" s="99">
        <v>1241227</v>
      </c>
      <c r="G4" s="97" t="s">
        <v>30</v>
      </c>
      <c r="H4" s="98">
        <v>7.734</v>
      </c>
      <c r="I4" s="99">
        <v>2130683</v>
      </c>
    </row>
    <row r="5" spans="1:9" ht="21" customHeight="1" x14ac:dyDescent="0.25">
      <c r="A5" s="97" t="s">
        <v>31</v>
      </c>
      <c r="B5" s="98">
        <v>4.2069999999999999</v>
      </c>
      <c r="C5" s="99">
        <v>1596177</v>
      </c>
      <c r="D5" s="97" t="s">
        <v>31</v>
      </c>
      <c r="E5" s="98">
        <v>5.351</v>
      </c>
      <c r="F5" s="99">
        <v>1244596</v>
      </c>
      <c r="G5" s="97" t="s">
        <v>31</v>
      </c>
      <c r="H5" s="98">
        <v>7.7249999999999996</v>
      </c>
      <c r="I5" s="99">
        <v>2136047</v>
      </c>
    </row>
    <row r="6" spans="1:9" ht="21" customHeight="1" x14ac:dyDescent="0.25">
      <c r="A6" s="97" t="s">
        <v>32</v>
      </c>
      <c r="B6" s="98">
        <v>4.2060000000000004</v>
      </c>
      <c r="C6" s="99">
        <v>1549354</v>
      </c>
      <c r="D6" s="97" t="s">
        <v>32</v>
      </c>
      <c r="E6" s="98">
        <v>5.35</v>
      </c>
      <c r="F6" s="99">
        <v>1245129</v>
      </c>
      <c r="G6" s="97" t="s">
        <v>32</v>
      </c>
      <c r="H6" s="98">
        <v>7.7309999999999999</v>
      </c>
      <c r="I6" s="99">
        <v>2128942</v>
      </c>
    </row>
    <row r="7" spans="1:9" ht="21" customHeight="1" x14ac:dyDescent="0.25">
      <c r="A7" s="97" t="s">
        <v>33</v>
      </c>
      <c r="B7" s="98">
        <v>4.2060000000000004</v>
      </c>
      <c r="C7" s="99">
        <v>1555179</v>
      </c>
      <c r="D7" s="97" t="s">
        <v>33</v>
      </c>
      <c r="E7" s="98">
        <v>5.3529999999999998</v>
      </c>
      <c r="F7" s="99">
        <v>1245640</v>
      </c>
      <c r="G7" s="97" t="s">
        <v>33</v>
      </c>
      <c r="H7" s="98">
        <v>7.7210000000000001</v>
      </c>
      <c r="I7" s="99">
        <v>2119496</v>
      </c>
    </row>
    <row r="8" spans="1:9" ht="21" customHeight="1" x14ac:dyDescent="0.25">
      <c r="A8" s="97" t="s">
        <v>34</v>
      </c>
      <c r="B8" s="98">
        <v>4.2069999999999999</v>
      </c>
      <c r="C8" s="99">
        <v>1557732</v>
      </c>
      <c r="D8" s="97" t="s">
        <v>34</v>
      </c>
      <c r="E8" s="98">
        <v>5.3529999999999998</v>
      </c>
      <c r="F8" s="99">
        <v>1243002</v>
      </c>
      <c r="G8" s="97" t="s">
        <v>34</v>
      </c>
      <c r="H8" s="98">
        <v>7.7359999999999998</v>
      </c>
      <c r="I8" s="99">
        <v>2110202</v>
      </c>
    </row>
    <row r="9" spans="1:9" ht="21" customHeight="1" x14ac:dyDescent="0.25">
      <c r="A9" s="97" t="s">
        <v>35</v>
      </c>
      <c r="B9" s="100">
        <f>IFERROR(ROUNDUP(B13,1),"")</f>
        <v>0.1</v>
      </c>
      <c r="C9" s="100">
        <f>IFERROR(ROUNDUP(C13,1),"")</f>
        <v>1.4000000000000001</v>
      </c>
      <c r="D9" s="97" t="s">
        <v>35</v>
      </c>
      <c r="E9" s="100">
        <f t="shared" ref="E9:I9" si="0">IFERROR(ROUNDUP(E13,1),"")</f>
        <v>0.1</v>
      </c>
      <c r="F9" s="100">
        <f t="shared" si="0"/>
        <v>0.30000000000000004</v>
      </c>
      <c r="G9" s="97" t="s">
        <v>35</v>
      </c>
      <c r="H9" s="100">
        <f t="shared" ref="H9:I9" si="1">IFERROR(ROUNDUP(H13,1),"")</f>
        <v>0.1</v>
      </c>
      <c r="I9" s="100">
        <f t="shared" si="1"/>
        <v>0.5</v>
      </c>
    </row>
    <row r="10" spans="1:9" ht="21" customHeight="1" x14ac:dyDescent="0.25">
      <c r="A10" s="97" t="s">
        <v>36</v>
      </c>
      <c r="B10" s="97"/>
      <c r="C10" s="97"/>
      <c r="D10" s="97" t="s">
        <v>36</v>
      </c>
      <c r="E10" s="97"/>
      <c r="F10" s="97"/>
      <c r="G10" s="97" t="s">
        <v>36</v>
      </c>
      <c r="H10" s="97"/>
      <c r="I10" s="97"/>
    </row>
    <row r="11" spans="1:9" ht="21" customHeight="1" x14ac:dyDescent="0.25">
      <c r="A11" s="97" t="s">
        <v>37</v>
      </c>
      <c r="B11" s="97">
        <f>IFERROR(AVERAGE(B3:B8),"")</f>
        <v>4.2073333333333336</v>
      </c>
      <c r="C11" s="101">
        <f>IFERROR(AVERAGE(C3:C8),"")</f>
        <v>1573362</v>
      </c>
      <c r="D11" s="97" t="s">
        <v>37</v>
      </c>
      <c r="E11" s="97">
        <f t="shared" ref="E11:I11" si="2">IFERROR(AVERAGE(E3:E8),"")</f>
        <v>5.3533333333333344</v>
      </c>
      <c r="F11" s="101">
        <f t="shared" si="2"/>
        <v>1244731.1666666667</v>
      </c>
      <c r="G11" s="97" t="s">
        <v>37</v>
      </c>
      <c r="H11" s="97">
        <f t="shared" ref="H11:I11" si="3">IFERROR(AVERAGE(H3:H8),"")</f>
        <v>7.7313333333333327</v>
      </c>
      <c r="I11" s="101">
        <f t="shared" si="3"/>
        <v>2126731</v>
      </c>
    </row>
    <row r="12" spans="1:9" ht="21" customHeight="1" x14ac:dyDescent="0.25">
      <c r="A12" s="97" t="s">
        <v>38</v>
      </c>
      <c r="B12" s="102">
        <f>IFERROR(STDEV(B3:B8),"")</f>
        <v>1.5055453054180355E-3</v>
      </c>
      <c r="C12" s="102">
        <f>IFERROR(STDEV(C3:C8),"")</f>
        <v>21428.324694198564</v>
      </c>
      <c r="D12" s="97" t="s">
        <v>38</v>
      </c>
      <c r="E12" s="102">
        <f t="shared" ref="E12:I12" si="4">IFERROR(STDEV(E3:E8),"")</f>
        <v>2.8751811537130766E-3</v>
      </c>
      <c r="F12" s="102">
        <f t="shared" si="4"/>
        <v>2560.0863592204596</v>
      </c>
      <c r="G12" s="97" t="s">
        <v>38</v>
      </c>
      <c r="H12" s="102">
        <f t="shared" ref="H12:I12" si="5">IFERROR(STDEV(H3:H8),"")</f>
        <v>7.3393914370787888E-3</v>
      </c>
      <c r="I12" s="102">
        <f t="shared" si="5"/>
        <v>10014.878651286796</v>
      </c>
    </row>
    <row r="13" spans="1:9" ht="21" customHeight="1" x14ac:dyDescent="0.25">
      <c r="A13" s="97" t="s">
        <v>39</v>
      </c>
      <c r="B13" s="97">
        <f>IFERROR(B12/B11*100,"")</f>
        <v>3.5783837080130776E-2</v>
      </c>
      <c r="C13" s="97">
        <f>IFERROR(C12/C11*100,"")</f>
        <v>1.3619449747863852</v>
      </c>
      <c r="D13" s="97" t="s">
        <v>39</v>
      </c>
      <c r="E13" s="97">
        <f t="shared" ref="E13:F13" si="6">IFERROR(E12/E11*100,"")</f>
        <v>5.370824072938498E-2</v>
      </c>
      <c r="F13" s="97">
        <f t="shared" si="6"/>
        <v>0.20567383767502617</v>
      </c>
      <c r="G13" s="97" t="s">
        <v>39</v>
      </c>
      <c r="H13" s="97">
        <f t="shared" ref="H13:I13" si="7">IFERROR(H12/H11*100,"")</f>
        <v>9.4930474740175769E-2</v>
      </c>
      <c r="I13" s="97">
        <f t="shared" si="7"/>
        <v>0.47090481359827807</v>
      </c>
    </row>
  </sheetData>
  <mergeCells count="3">
    <mergeCell ref="B1:C1"/>
    <mergeCell ref="E1:F1"/>
    <mergeCell ref="H1:I1"/>
  </mergeCells>
  <phoneticPr fontId="48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/>
  <dimension ref="A1:L19"/>
  <sheetViews>
    <sheetView topLeftCell="B4" workbookViewId="0">
      <selection activeCell="C12" sqref="C12:D12"/>
    </sheetView>
  </sheetViews>
  <sheetFormatPr defaultColWidth="9" defaultRowHeight="14" x14ac:dyDescent="0.25"/>
  <cols>
    <col min="1" max="1" width="14.36328125" customWidth="1"/>
    <col min="2" max="2" width="23.90625" style="1" customWidth="1"/>
    <col min="3" max="3" width="14.08984375" style="1" customWidth="1"/>
    <col min="4" max="4" width="10.6328125" style="1" customWidth="1"/>
    <col min="5" max="6" width="20.90625" style="1" customWidth="1"/>
    <col min="7" max="7" width="14.453125" style="1" customWidth="1"/>
    <col min="8" max="12" width="12.453125" style="1" customWidth="1"/>
  </cols>
  <sheetData>
    <row r="1" spans="1:12" s="81" customFormat="1" ht="17.149999999999999" customHeight="1" x14ac:dyDescent="0.3">
      <c r="B1" s="89"/>
      <c r="C1" s="90"/>
      <c r="D1" s="91"/>
      <c r="E1" s="90"/>
      <c r="F1" s="92"/>
      <c r="G1" s="92">
        <v>2.5000000000000001E-2</v>
      </c>
      <c r="H1" s="92">
        <v>0.05</v>
      </c>
      <c r="I1" s="92">
        <v>0.5</v>
      </c>
      <c r="J1" s="92">
        <v>1</v>
      </c>
      <c r="K1" s="92">
        <v>1.5</v>
      </c>
      <c r="L1" s="92">
        <v>2</v>
      </c>
    </row>
    <row r="2" spans="1:12" s="81" customFormat="1" ht="17.149999999999999" customHeight="1" x14ac:dyDescent="0.3">
      <c r="A2" s="148" t="s">
        <v>245</v>
      </c>
      <c r="B2" s="118" t="s">
        <v>232</v>
      </c>
      <c r="C2" s="119" t="s">
        <v>233</v>
      </c>
      <c r="D2" s="120" t="s">
        <v>247</v>
      </c>
      <c r="E2" s="119" t="s">
        <v>234</v>
      </c>
      <c r="F2" s="119" t="s">
        <v>235</v>
      </c>
      <c r="G2" s="121" t="s">
        <v>236</v>
      </c>
      <c r="H2" s="121" t="s">
        <v>237</v>
      </c>
      <c r="I2" s="121" t="s">
        <v>238</v>
      </c>
      <c r="J2" s="121" t="s">
        <v>239</v>
      </c>
      <c r="K2" s="121" t="s">
        <v>240</v>
      </c>
      <c r="L2" s="121" t="s">
        <v>241</v>
      </c>
    </row>
    <row r="3" spans="1:12" s="81" customFormat="1" ht="17.149999999999999" customHeight="1" x14ac:dyDescent="0.25">
      <c r="A3" s="149"/>
      <c r="B3" s="122" t="s">
        <v>253</v>
      </c>
      <c r="C3" s="123">
        <v>2.0190000000000001</v>
      </c>
      <c r="D3" s="124">
        <v>0.99670000000000003</v>
      </c>
      <c r="E3" s="125">
        <f>C3*D3/20*1000*1000</f>
        <v>100616.86500000001</v>
      </c>
      <c r="F3" s="125">
        <f>E3*0.75/10*2/20</f>
        <v>754.62648750000005</v>
      </c>
      <c r="G3" s="126">
        <f>ROUND($F$3*G1/20,2)</f>
        <v>0.94</v>
      </c>
      <c r="H3" s="126">
        <f t="shared" ref="H3:L3" si="0">ROUND($F$3*H1/20,2)</f>
        <v>1.89</v>
      </c>
      <c r="I3" s="126">
        <f t="shared" si="0"/>
        <v>18.87</v>
      </c>
      <c r="J3" s="126">
        <f t="shared" si="0"/>
        <v>37.729999999999997</v>
      </c>
      <c r="K3" s="126">
        <f t="shared" si="0"/>
        <v>56.6</v>
      </c>
      <c r="L3" s="126">
        <f t="shared" si="0"/>
        <v>75.459999999999994</v>
      </c>
    </row>
    <row r="4" spans="1:12" s="81" customFormat="1" ht="17.149999999999999" customHeight="1" x14ac:dyDescent="0.25">
      <c r="A4" s="149"/>
      <c r="B4" s="122" t="s">
        <v>243</v>
      </c>
      <c r="C4" s="123">
        <v>2.0139999999999998</v>
      </c>
      <c r="D4" s="124">
        <v>0.99880000000000002</v>
      </c>
      <c r="E4" s="125">
        <f t="shared" ref="E4:E5" si="1">C4*D4/20*1000*1000</f>
        <v>100579.16</v>
      </c>
      <c r="F4" s="125">
        <f t="shared" ref="F4:F5" si="2">E4*0.75/10*2/20</f>
        <v>754.34370000000001</v>
      </c>
      <c r="G4" s="126">
        <f>ROUND($F$4*G1/20,2)</f>
        <v>0.94</v>
      </c>
      <c r="H4" s="126">
        <f t="shared" ref="H4:L4" si="3">ROUND($F$4*H1/20,2)</f>
        <v>1.89</v>
      </c>
      <c r="I4" s="126">
        <f t="shared" si="3"/>
        <v>18.86</v>
      </c>
      <c r="J4" s="126">
        <f t="shared" si="3"/>
        <v>37.72</v>
      </c>
      <c r="K4" s="126">
        <f t="shared" si="3"/>
        <v>56.58</v>
      </c>
      <c r="L4" s="126">
        <f t="shared" si="3"/>
        <v>75.430000000000007</v>
      </c>
    </row>
    <row r="5" spans="1:12" s="81" customFormat="1" ht="17.149999999999999" customHeight="1" x14ac:dyDescent="0.25">
      <c r="A5" s="150"/>
      <c r="B5" s="122" t="s">
        <v>244</v>
      </c>
      <c r="C5" s="123">
        <v>2.0249999999999999</v>
      </c>
      <c r="D5" s="124">
        <v>0.98470000000000002</v>
      </c>
      <c r="E5" s="125">
        <f t="shared" si="1"/>
        <v>99700.875</v>
      </c>
      <c r="F5" s="125">
        <f t="shared" si="2"/>
        <v>747.75656249999997</v>
      </c>
      <c r="G5" s="126">
        <f>ROUND($F$5*G1/20,2)</f>
        <v>0.93</v>
      </c>
      <c r="H5" s="126">
        <f t="shared" ref="H5:L5" si="4">ROUND($F$5*H1/20,2)</f>
        <v>1.87</v>
      </c>
      <c r="I5" s="126">
        <f t="shared" si="4"/>
        <v>18.690000000000001</v>
      </c>
      <c r="J5" s="126">
        <f t="shared" si="4"/>
        <v>37.39</v>
      </c>
      <c r="K5" s="126">
        <f t="shared" si="4"/>
        <v>56.08</v>
      </c>
      <c r="L5" s="126">
        <f t="shared" si="4"/>
        <v>74.78</v>
      </c>
    </row>
    <row r="8" spans="1:12" s="81" customFormat="1" ht="17.149999999999999" customHeight="1" x14ac:dyDescent="0.3">
      <c r="B8" s="89"/>
      <c r="C8" s="90"/>
      <c r="D8" s="91"/>
      <c r="E8" s="90"/>
      <c r="F8" s="92"/>
      <c r="G8" s="92">
        <v>0.02</v>
      </c>
      <c r="H8" s="92">
        <v>0.04</v>
      </c>
      <c r="I8" s="92">
        <v>0.5</v>
      </c>
      <c r="J8" s="92">
        <v>1</v>
      </c>
      <c r="K8" s="92">
        <v>1.5</v>
      </c>
      <c r="L8" s="92">
        <v>2</v>
      </c>
    </row>
    <row r="9" spans="1:12" s="81" customFormat="1" ht="17.149999999999999" customHeight="1" x14ac:dyDescent="0.3">
      <c r="A9" s="148" t="s">
        <v>246</v>
      </c>
      <c r="B9" s="118" t="s">
        <v>232</v>
      </c>
      <c r="C9" s="119" t="s">
        <v>233</v>
      </c>
      <c r="D9" s="120" t="s">
        <v>247</v>
      </c>
      <c r="E9" s="119" t="s">
        <v>234</v>
      </c>
      <c r="F9" s="119" t="s">
        <v>235</v>
      </c>
      <c r="G9" s="121" t="s">
        <v>236</v>
      </c>
      <c r="H9" s="121" t="s">
        <v>237</v>
      </c>
      <c r="I9" s="121" t="s">
        <v>238</v>
      </c>
      <c r="J9" s="121" t="s">
        <v>239</v>
      </c>
      <c r="K9" s="121" t="s">
        <v>240</v>
      </c>
      <c r="L9" s="121" t="s">
        <v>241</v>
      </c>
    </row>
    <row r="10" spans="1:12" s="81" customFormat="1" ht="17.149999999999999" customHeight="1" x14ac:dyDescent="0.25">
      <c r="A10" s="149"/>
      <c r="B10" s="122" t="s">
        <v>242</v>
      </c>
      <c r="C10" s="123">
        <v>2.0129999999999999</v>
      </c>
      <c r="D10" s="124">
        <v>0.99670000000000003</v>
      </c>
      <c r="E10" s="125">
        <f>C10*D10/20*1000*1000</f>
        <v>100317.85499999998</v>
      </c>
      <c r="F10" s="125">
        <f>E10*0.75/10*2/20</f>
        <v>752.38391249999984</v>
      </c>
      <c r="G10" s="126">
        <f>ROUND($F$10*G8/20,2)</f>
        <v>0.75</v>
      </c>
      <c r="H10" s="127">
        <f t="shared" ref="H10:L10" si="5">ROUND($F$10*H8/20,2)</f>
        <v>1.5</v>
      </c>
      <c r="I10" s="127">
        <f t="shared" si="5"/>
        <v>18.809999999999999</v>
      </c>
      <c r="J10" s="127">
        <f t="shared" si="5"/>
        <v>37.619999999999997</v>
      </c>
      <c r="K10" s="127">
        <f t="shared" si="5"/>
        <v>56.43</v>
      </c>
      <c r="L10" s="127">
        <f t="shared" si="5"/>
        <v>75.239999999999995</v>
      </c>
    </row>
    <row r="11" spans="1:12" s="81" customFormat="1" ht="17.149999999999999" customHeight="1" x14ac:dyDescent="0.25">
      <c r="A11" s="149"/>
      <c r="B11" s="122" t="s">
        <v>243</v>
      </c>
      <c r="C11" s="123">
        <v>1.996</v>
      </c>
      <c r="D11" s="124">
        <v>0.99880000000000002</v>
      </c>
      <c r="E11" s="125">
        <f t="shared" ref="E11:E12" si="6">C11*D11/20*1000*1000</f>
        <v>99680.239999999991</v>
      </c>
      <c r="F11" s="125">
        <f t="shared" ref="F11:F12" si="7">E11*0.75/10*2/20</f>
        <v>747.60179999999991</v>
      </c>
      <c r="G11" s="126">
        <f>ROUND($F$11*G8/20,2)</f>
        <v>0.75</v>
      </c>
      <c r="H11" s="127">
        <f t="shared" ref="H11:L11" si="8">ROUND($F$11*H8/20,2)</f>
        <v>1.5</v>
      </c>
      <c r="I11" s="127">
        <f t="shared" si="8"/>
        <v>18.690000000000001</v>
      </c>
      <c r="J11" s="127">
        <f t="shared" si="8"/>
        <v>37.380000000000003</v>
      </c>
      <c r="K11" s="127">
        <f t="shared" si="8"/>
        <v>56.07</v>
      </c>
      <c r="L11" s="127">
        <f t="shared" si="8"/>
        <v>74.760000000000005</v>
      </c>
    </row>
    <row r="12" spans="1:12" s="81" customFormat="1" ht="17.149999999999999" customHeight="1" x14ac:dyDescent="0.25">
      <c r="A12" s="150"/>
      <c r="B12" s="122" t="s">
        <v>244</v>
      </c>
      <c r="C12" s="123">
        <v>2.0150000000000001</v>
      </c>
      <c r="D12" s="124">
        <v>0.98470000000000002</v>
      </c>
      <c r="E12" s="125">
        <f t="shared" si="6"/>
        <v>99208.525000000009</v>
      </c>
      <c r="F12" s="125">
        <f t="shared" si="7"/>
        <v>744.06393750000007</v>
      </c>
      <c r="G12" s="126">
        <f>ROUND($F$12*G8/20,2)</f>
        <v>0.74</v>
      </c>
      <c r="H12" s="127">
        <f t="shared" ref="H12:L12" si="9">ROUND($F$12*H8/20,2)</f>
        <v>1.49</v>
      </c>
      <c r="I12" s="127">
        <f t="shared" si="9"/>
        <v>18.600000000000001</v>
      </c>
      <c r="J12" s="127">
        <f t="shared" si="9"/>
        <v>37.200000000000003</v>
      </c>
      <c r="K12" s="127">
        <f t="shared" si="9"/>
        <v>55.8</v>
      </c>
      <c r="L12" s="127">
        <f t="shared" si="9"/>
        <v>74.41</v>
      </c>
    </row>
    <row r="15" spans="1:12" s="81" customFormat="1" ht="17.149999999999999" customHeight="1" x14ac:dyDescent="0.3">
      <c r="B15" s="89"/>
      <c r="C15" s="90"/>
      <c r="D15" s="91"/>
      <c r="E15" s="90"/>
      <c r="F15" s="92"/>
      <c r="G15" s="92">
        <v>0.02</v>
      </c>
      <c r="H15" s="92">
        <v>0.04</v>
      </c>
      <c r="I15" s="92">
        <v>0.5</v>
      </c>
      <c r="J15" s="92">
        <v>1</v>
      </c>
      <c r="K15" s="92">
        <v>1.5</v>
      </c>
      <c r="L15" s="92">
        <v>2</v>
      </c>
    </row>
    <row r="16" spans="1:12" s="81" customFormat="1" ht="17.149999999999999" customHeight="1" x14ac:dyDescent="0.3">
      <c r="A16" s="148" t="s">
        <v>254</v>
      </c>
      <c r="B16" s="118" t="s">
        <v>232</v>
      </c>
      <c r="C16" s="119" t="s">
        <v>233</v>
      </c>
      <c r="D16" s="120" t="s">
        <v>247</v>
      </c>
      <c r="E16" s="119" t="s">
        <v>234</v>
      </c>
      <c r="F16" s="119" t="s">
        <v>235</v>
      </c>
      <c r="G16" s="121" t="s">
        <v>236</v>
      </c>
      <c r="H16" s="121" t="s">
        <v>237</v>
      </c>
      <c r="I16" s="121" t="s">
        <v>238</v>
      </c>
      <c r="J16" s="121" t="s">
        <v>239</v>
      </c>
      <c r="K16" s="121" t="s">
        <v>240</v>
      </c>
      <c r="L16" s="121" t="s">
        <v>241</v>
      </c>
    </row>
    <row r="17" spans="1:12" s="81" customFormat="1" ht="17.149999999999999" customHeight="1" x14ac:dyDescent="0.25">
      <c r="A17" s="149"/>
      <c r="B17" s="122" t="s">
        <v>242</v>
      </c>
      <c r="C17" s="123">
        <v>2.0070000000000001</v>
      </c>
      <c r="D17" s="124">
        <v>0.99670000000000003</v>
      </c>
      <c r="E17" s="125">
        <f>C17*D17/20*1000*1000</f>
        <v>100018.845</v>
      </c>
      <c r="F17" s="125">
        <f>E17*0.75/10*2/20</f>
        <v>750.14133750000008</v>
      </c>
      <c r="G17" s="126">
        <f>ROUND($F$17*G15/20,2)</f>
        <v>0.75</v>
      </c>
      <c r="H17" s="127">
        <f t="shared" ref="H17:L17" si="10">ROUND($F$17*H15/20,2)</f>
        <v>1.5</v>
      </c>
      <c r="I17" s="127">
        <f t="shared" si="10"/>
        <v>18.75</v>
      </c>
      <c r="J17" s="127">
        <f t="shared" si="10"/>
        <v>37.51</v>
      </c>
      <c r="K17" s="127">
        <f t="shared" si="10"/>
        <v>56.26</v>
      </c>
      <c r="L17" s="127">
        <f t="shared" si="10"/>
        <v>75.010000000000005</v>
      </c>
    </row>
    <row r="18" spans="1:12" s="81" customFormat="1" ht="17.149999999999999" customHeight="1" x14ac:dyDescent="0.25">
      <c r="A18" s="149"/>
      <c r="B18" s="122" t="s">
        <v>243</v>
      </c>
      <c r="C18" s="123">
        <v>2.024</v>
      </c>
      <c r="D18" s="124">
        <v>0.99880000000000002</v>
      </c>
      <c r="E18" s="125">
        <f t="shared" ref="E18:E19" si="11">C18*D18/20*1000*1000</f>
        <v>101078.56</v>
      </c>
      <c r="F18" s="125">
        <f t="shared" ref="F18:F19" si="12">E18*0.75/10*2/20</f>
        <v>758.08920000000001</v>
      </c>
      <c r="G18" s="126">
        <f>ROUND($F$18*G15/20,2)</f>
        <v>0.76</v>
      </c>
      <c r="H18" s="127">
        <f t="shared" ref="H18:L18" si="13">ROUND($F$18*H15/20,2)</f>
        <v>1.52</v>
      </c>
      <c r="I18" s="127">
        <f t="shared" si="13"/>
        <v>18.95</v>
      </c>
      <c r="J18" s="127">
        <f t="shared" si="13"/>
        <v>37.9</v>
      </c>
      <c r="K18" s="127">
        <f t="shared" si="13"/>
        <v>56.86</v>
      </c>
      <c r="L18" s="127">
        <f t="shared" si="13"/>
        <v>75.81</v>
      </c>
    </row>
    <row r="19" spans="1:12" s="81" customFormat="1" ht="17.149999999999999" customHeight="1" x14ac:dyDescent="0.25">
      <c r="A19" s="150"/>
      <c r="B19" s="122" t="s">
        <v>244</v>
      </c>
      <c r="C19" s="123">
        <v>2.028</v>
      </c>
      <c r="D19" s="124">
        <v>0.98470000000000002</v>
      </c>
      <c r="E19" s="125">
        <f t="shared" si="11"/>
        <v>99848.58</v>
      </c>
      <c r="F19" s="125">
        <f t="shared" si="12"/>
        <v>748.86435000000006</v>
      </c>
      <c r="G19" s="126">
        <f>ROUND($F$19*G15/20,2)</f>
        <v>0.75</v>
      </c>
      <c r="H19" s="127">
        <f t="shared" ref="H19:L19" si="14">ROUND($F$19*H15/20,2)</f>
        <v>1.5</v>
      </c>
      <c r="I19" s="127">
        <f t="shared" si="14"/>
        <v>18.72</v>
      </c>
      <c r="J19" s="127">
        <f t="shared" si="14"/>
        <v>37.44</v>
      </c>
      <c r="K19" s="127">
        <f t="shared" si="14"/>
        <v>56.16</v>
      </c>
      <c r="L19" s="127">
        <f t="shared" si="14"/>
        <v>74.89</v>
      </c>
    </row>
  </sheetData>
  <mergeCells count="3">
    <mergeCell ref="A2:A5"/>
    <mergeCell ref="A9:A12"/>
    <mergeCell ref="A16:A19"/>
  </mergeCells>
  <phoneticPr fontId="48" type="noConversion"/>
  <pageMargins left="0.75" right="0.75" top="1" bottom="1" header="0.5" footer="0.5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/>
  <dimension ref="A1:D15"/>
  <sheetViews>
    <sheetView workbookViewId="0">
      <selection activeCell="B17" sqref="B17"/>
    </sheetView>
  </sheetViews>
  <sheetFormatPr defaultColWidth="9" defaultRowHeight="14" x14ac:dyDescent="0.25"/>
  <cols>
    <col min="1" max="1" width="14" customWidth="1"/>
    <col min="2" max="4" width="19.7265625" customWidth="1"/>
    <col min="5" max="5" width="9" customWidth="1"/>
  </cols>
  <sheetData>
    <row r="1" spans="1:4" ht="17.75" customHeight="1" x14ac:dyDescent="0.25">
      <c r="A1" s="86" t="s">
        <v>25</v>
      </c>
      <c r="B1" s="86" t="s">
        <v>26</v>
      </c>
      <c r="C1" s="86" t="s">
        <v>27</v>
      </c>
      <c r="D1" s="86" t="s">
        <v>28</v>
      </c>
    </row>
    <row r="2" spans="1:4" ht="17.75" customHeight="1" x14ac:dyDescent="0.25">
      <c r="A2" s="151" t="s">
        <v>271</v>
      </c>
      <c r="B2" s="87" t="s">
        <v>51</v>
      </c>
      <c r="C2" s="88" t="s">
        <v>89</v>
      </c>
      <c r="D2" s="88" t="s">
        <v>89</v>
      </c>
    </row>
    <row r="3" spans="1:4" ht="17.75" customHeight="1" x14ac:dyDescent="0.25">
      <c r="A3" s="152"/>
      <c r="B3" s="87" t="s">
        <v>52</v>
      </c>
      <c r="C3" s="87">
        <v>4.21</v>
      </c>
      <c r="D3" s="87">
        <v>1500067</v>
      </c>
    </row>
    <row r="4" spans="1:4" ht="17.75" customHeight="1" x14ac:dyDescent="0.25">
      <c r="A4" s="152"/>
      <c r="B4" s="87" t="s">
        <v>53</v>
      </c>
      <c r="C4" s="87" t="s">
        <v>89</v>
      </c>
      <c r="D4" s="87" t="s">
        <v>89</v>
      </c>
    </row>
    <row r="5" spans="1:4" ht="17.75" customHeight="1" x14ac:dyDescent="0.25">
      <c r="A5" s="153"/>
      <c r="B5" s="87" t="s">
        <v>54</v>
      </c>
      <c r="C5" s="87">
        <v>4.2119999999999997</v>
      </c>
      <c r="D5" s="87">
        <v>1415913</v>
      </c>
    </row>
    <row r="6" spans="1:4" ht="17.75" customHeight="1" x14ac:dyDescent="0.25">
      <c r="A6" s="86" t="s">
        <v>25</v>
      </c>
      <c r="B6" s="86" t="s">
        <v>26</v>
      </c>
      <c r="C6" s="86" t="s">
        <v>27</v>
      </c>
      <c r="D6" s="86" t="s">
        <v>28</v>
      </c>
    </row>
    <row r="7" spans="1:4" ht="17.75" customHeight="1" x14ac:dyDescent="0.25">
      <c r="A7" s="151" t="s">
        <v>272</v>
      </c>
      <c r="B7" s="87" t="s">
        <v>51</v>
      </c>
      <c r="C7" s="88" t="s">
        <v>89</v>
      </c>
      <c r="D7" s="88" t="s">
        <v>89</v>
      </c>
    </row>
    <row r="8" spans="1:4" ht="17.75" customHeight="1" x14ac:dyDescent="0.25">
      <c r="A8" s="152"/>
      <c r="B8" s="87" t="s">
        <v>52</v>
      </c>
      <c r="C8" s="87">
        <v>5.359</v>
      </c>
      <c r="D8" s="87">
        <v>1233543</v>
      </c>
    </row>
    <row r="9" spans="1:4" ht="17.75" customHeight="1" x14ac:dyDescent="0.25">
      <c r="A9" s="152"/>
      <c r="B9" s="87" t="s">
        <v>53</v>
      </c>
      <c r="C9" s="87" t="s">
        <v>89</v>
      </c>
      <c r="D9" s="87" t="s">
        <v>89</v>
      </c>
    </row>
    <row r="10" spans="1:4" ht="17.75" customHeight="1" x14ac:dyDescent="0.25">
      <c r="A10" s="153"/>
      <c r="B10" s="87" t="s">
        <v>54</v>
      </c>
      <c r="C10" s="87">
        <v>5.3620000000000001</v>
      </c>
      <c r="D10" s="87">
        <v>1231696</v>
      </c>
    </row>
    <row r="11" spans="1:4" ht="17.75" customHeight="1" x14ac:dyDescent="0.25">
      <c r="A11" s="86" t="s">
        <v>25</v>
      </c>
      <c r="B11" s="86" t="s">
        <v>26</v>
      </c>
      <c r="C11" s="86" t="s">
        <v>27</v>
      </c>
      <c r="D11" s="86" t="s">
        <v>28</v>
      </c>
    </row>
    <row r="12" spans="1:4" ht="17.75" customHeight="1" x14ac:dyDescent="0.25">
      <c r="A12" s="151" t="s">
        <v>273</v>
      </c>
      <c r="B12" s="87" t="s">
        <v>51</v>
      </c>
      <c r="C12" s="88" t="s">
        <v>89</v>
      </c>
      <c r="D12" s="88" t="s">
        <v>89</v>
      </c>
    </row>
    <row r="13" spans="1:4" ht="17.75" customHeight="1" x14ac:dyDescent="0.25">
      <c r="A13" s="152"/>
      <c r="B13" s="87" t="s">
        <v>52</v>
      </c>
      <c r="C13" s="87">
        <v>7.7439999999999998</v>
      </c>
      <c r="D13" s="87">
        <v>2109681</v>
      </c>
    </row>
    <row r="14" spans="1:4" ht="17.75" customHeight="1" x14ac:dyDescent="0.25">
      <c r="A14" s="152"/>
      <c r="B14" s="87" t="s">
        <v>53</v>
      </c>
      <c r="C14" s="87" t="s">
        <v>89</v>
      </c>
      <c r="D14" s="87" t="s">
        <v>89</v>
      </c>
    </row>
    <row r="15" spans="1:4" ht="17.75" customHeight="1" x14ac:dyDescent="0.25">
      <c r="A15" s="153"/>
      <c r="B15" s="87" t="s">
        <v>54</v>
      </c>
      <c r="C15" s="87">
        <v>7.7469999999999999</v>
      </c>
      <c r="D15" s="87">
        <v>2144338</v>
      </c>
    </row>
  </sheetData>
  <mergeCells count="3">
    <mergeCell ref="A2:A5"/>
    <mergeCell ref="A7:A10"/>
    <mergeCell ref="A12:A15"/>
  </mergeCells>
  <phoneticPr fontId="48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31"/>
  <sheetViews>
    <sheetView topLeftCell="D19" workbookViewId="0">
      <selection activeCell="E25" sqref="E25:F30"/>
    </sheetView>
  </sheetViews>
  <sheetFormatPr defaultColWidth="9" defaultRowHeight="14" x14ac:dyDescent="0.25"/>
  <cols>
    <col min="1" max="1" width="9.08984375" customWidth="1"/>
    <col min="2" max="2" width="13.36328125" customWidth="1"/>
    <col min="3" max="3" width="13.90625" customWidth="1"/>
    <col min="4" max="10" width="19.90625" customWidth="1"/>
  </cols>
  <sheetData>
    <row r="1" spans="1:10" ht="23.25" customHeight="1" x14ac:dyDescent="0.25">
      <c r="A1" s="154" t="s">
        <v>55</v>
      </c>
      <c r="B1" s="138"/>
      <c r="C1" s="138"/>
      <c r="D1" s="138"/>
      <c r="E1" s="138"/>
      <c r="F1" s="138"/>
      <c r="G1" s="138"/>
      <c r="H1" s="138"/>
      <c r="I1" s="138"/>
      <c r="J1" s="155"/>
    </row>
    <row r="2" spans="1:10" ht="35.25" customHeight="1" x14ac:dyDescent="0.25">
      <c r="A2" s="76" t="s">
        <v>56</v>
      </c>
      <c r="B2" s="76" t="s">
        <v>57</v>
      </c>
      <c r="C2" s="76" t="s">
        <v>25</v>
      </c>
      <c r="D2" s="76" t="s">
        <v>58</v>
      </c>
      <c r="E2" s="76" t="s">
        <v>59</v>
      </c>
      <c r="F2" s="76" t="s">
        <v>60</v>
      </c>
      <c r="G2" s="76" t="s">
        <v>61</v>
      </c>
      <c r="H2" s="76" t="s">
        <v>62</v>
      </c>
      <c r="I2" s="156" t="s">
        <v>63</v>
      </c>
      <c r="J2" s="144"/>
    </row>
    <row r="3" spans="1:10" ht="18" customHeight="1" x14ac:dyDescent="0.25">
      <c r="A3" s="77">
        <v>75</v>
      </c>
      <c r="B3" s="77">
        <v>0.5</v>
      </c>
      <c r="C3" s="78" t="s">
        <v>271</v>
      </c>
      <c r="D3" s="79">
        <v>68.08</v>
      </c>
      <c r="E3" s="79">
        <v>53.4</v>
      </c>
      <c r="F3" s="79">
        <v>30.6</v>
      </c>
      <c r="G3" s="77">
        <v>0.75</v>
      </c>
      <c r="H3" s="80">
        <f>IF(G3="","",ROUND(G3/B3,1))</f>
        <v>1.5</v>
      </c>
      <c r="I3" s="157">
        <f>IF(H3="","",H3/A3*100)</f>
        <v>2</v>
      </c>
      <c r="J3" s="144"/>
    </row>
    <row r="4" spans="1:10" ht="18" customHeight="1" x14ac:dyDescent="0.25">
      <c r="A4" s="77">
        <v>75</v>
      </c>
      <c r="B4" s="77">
        <v>0.5</v>
      </c>
      <c r="C4" s="78" t="s">
        <v>272</v>
      </c>
      <c r="D4" s="79">
        <v>76.180000000000007</v>
      </c>
      <c r="E4" s="79">
        <v>22.25</v>
      </c>
      <c r="F4" s="79">
        <v>53.7</v>
      </c>
      <c r="G4" s="77">
        <v>0.75</v>
      </c>
      <c r="H4" s="80">
        <f t="shared" ref="H4:H5" si="0">IF(G4="","",ROUND(G4/B4,1))</f>
        <v>1.5</v>
      </c>
      <c r="I4" s="157">
        <f t="shared" ref="I4:I5" si="1">IF(H4="","",H4/A4*100)</f>
        <v>2</v>
      </c>
      <c r="J4" s="144"/>
    </row>
    <row r="5" spans="1:10" ht="18" customHeight="1" x14ac:dyDescent="0.25">
      <c r="A5" s="77">
        <v>75</v>
      </c>
      <c r="B5" s="77">
        <v>0.5</v>
      </c>
      <c r="C5" s="78" t="s">
        <v>273</v>
      </c>
      <c r="D5" s="79">
        <v>58.48</v>
      </c>
      <c r="E5" s="79">
        <v>57.26</v>
      </c>
      <c r="F5" s="79">
        <v>64.83</v>
      </c>
      <c r="G5" s="77">
        <v>0.74</v>
      </c>
      <c r="H5" s="80">
        <f t="shared" si="0"/>
        <v>1.5</v>
      </c>
      <c r="I5" s="157">
        <f t="shared" si="1"/>
        <v>2</v>
      </c>
      <c r="J5" s="144"/>
    </row>
    <row r="6" spans="1:10" ht="18" customHeight="1" x14ac:dyDescent="0.25">
      <c r="A6" s="81"/>
      <c r="B6" s="81"/>
      <c r="C6" s="76" t="s">
        <v>36</v>
      </c>
      <c r="D6" s="158"/>
      <c r="E6" s="159"/>
      <c r="F6" s="159"/>
      <c r="G6" s="159"/>
      <c r="H6" s="159"/>
      <c r="I6" s="159"/>
      <c r="J6" s="160"/>
    </row>
    <row r="7" spans="1:10" ht="23.25" customHeight="1" x14ac:dyDescent="0.25">
      <c r="A7" s="161" t="s">
        <v>64</v>
      </c>
      <c r="B7" s="143"/>
      <c r="C7" s="143"/>
      <c r="D7" s="143"/>
      <c r="E7" s="143"/>
      <c r="F7" s="143"/>
      <c r="G7" s="143"/>
      <c r="H7" s="143"/>
      <c r="I7" s="143"/>
      <c r="J7" s="144"/>
    </row>
    <row r="8" spans="1:10" ht="35.25" customHeight="1" x14ac:dyDescent="0.25">
      <c r="A8" s="76" t="s">
        <v>56</v>
      </c>
      <c r="B8" s="76" t="s">
        <v>57</v>
      </c>
      <c r="C8" s="162" t="s">
        <v>271</v>
      </c>
      <c r="D8" s="76" t="s">
        <v>65</v>
      </c>
      <c r="E8" s="76" t="s">
        <v>66</v>
      </c>
      <c r="F8" s="76" t="s">
        <v>28</v>
      </c>
      <c r="G8" s="76" t="s">
        <v>67</v>
      </c>
      <c r="H8" s="76" t="s">
        <v>68</v>
      </c>
      <c r="I8" s="76" t="s">
        <v>69</v>
      </c>
      <c r="J8" s="76" t="s">
        <v>63</v>
      </c>
    </row>
    <row r="9" spans="1:10" ht="18" customHeight="1" x14ac:dyDescent="0.25">
      <c r="A9" s="158">
        <v>75</v>
      </c>
      <c r="B9" s="158">
        <v>0.5</v>
      </c>
      <c r="C9" s="152"/>
      <c r="D9" s="82">
        <v>1</v>
      </c>
      <c r="E9" s="83">
        <v>83.32</v>
      </c>
      <c r="F9" s="84">
        <v>53923</v>
      </c>
      <c r="G9" s="165">
        <f t="shared" ref="G9" si="2">IFERROR(STDEV(F9:F14)/AVERAGE(F9:F14)*100,"")</f>
        <v>1.6648012658819347</v>
      </c>
      <c r="H9" s="166">
        <v>1.5</v>
      </c>
      <c r="I9" s="167">
        <f t="shared" ref="I9" si="3">IF(H9="","",ROUND(H9/B9,1))</f>
        <v>3</v>
      </c>
      <c r="J9" s="157">
        <f t="shared" ref="J9" si="4">IF(I9="","",I9/A9*100)</f>
        <v>4</v>
      </c>
    </row>
    <row r="10" spans="1:10" ht="18" customHeight="1" x14ac:dyDescent="0.25">
      <c r="A10" s="163"/>
      <c r="B10" s="163"/>
      <c r="C10" s="152"/>
      <c r="D10" s="82">
        <v>2</v>
      </c>
      <c r="E10" s="83">
        <v>113</v>
      </c>
      <c r="F10" s="84">
        <v>52803</v>
      </c>
      <c r="G10" s="152"/>
      <c r="H10" s="163"/>
      <c r="I10" s="152"/>
      <c r="J10" s="152"/>
    </row>
    <row r="11" spans="1:10" ht="18" customHeight="1" x14ac:dyDescent="0.25">
      <c r="A11" s="163"/>
      <c r="B11" s="163"/>
      <c r="C11" s="152"/>
      <c r="D11" s="82">
        <v>3</v>
      </c>
      <c r="E11" s="83">
        <v>129.04</v>
      </c>
      <c r="F11" s="84">
        <v>51719</v>
      </c>
      <c r="G11" s="152"/>
      <c r="H11" s="163"/>
      <c r="I11" s="152"/>
      <c r="J11" s="152"/>
    </row>
    <row r="12" spans="1:10" ht="18" customHeight="1" x14ac:dyDescent="0.25">
      <c r="A12" s="163"/>
      <c r="B12" s="163"/>
      <c r="C12" s="152"/>
      <c r="D12" s="82">
        <v>4</v>
      </c>
      <c r="E12" s="83">
        <v>107.6</v>
      </c>
      <c r="F12" s="84">
        <v>51672</v>
      </c>
      <c r="G12" s="152"/>
      <c r="H12" s="163"/>
      <c r="I12" s="152"/>
      <c r="J12" s="152"/>
    </row>
    <row r="13" spans="1:10" ht="18" customHeight="1" x14ac:dyDescent="0.25">
      <c r="A13" s="163"/>
      <c r="B13" s="163"/>
      <c r="C13" s="152"/>
      <c r="D13" s="82">
        <v>5</v>
      </c>
      <c r="E13" s="83">
        <v>108.39</v>
      </c>
      <c r="F13" s="84">
        <v>52089</v>
      </c>
      <c r="G13" s="152"/>
      <c r="H13" s="163"/>
      <c r="I13" s="152"/>
      <c r="J13" s="152"/>
    </row>
    <row r="14" spans="1:10" ht="18" customHeight="1" x14ac:dyDescent="0.25">
      <c r="A14" s="164"/>
      <c r="B14" s="164"/>
      <c r="C14" s="152"/>
      <c r="D14" s="82">
        <v>6</v>
      </c>
      <c r="E14" s="83">
        <v>107.02</v>
      </c>
      <c r="F14" s="84">
        <v>51911</v>
      </c>
      <c r="G14" s="153"/>
      <c r="H14" s="164"/>
      <c r="I14" s="153"/>
      <c r="J14" s="153"/>
    </row>
    <row r="15" spans="1:10" ht="18" customHeight="1" x14ac:dyDescent="0.25">
      <c r="A15" s="81"/>
      <c r="B15" s="81"/>
      <c r="C15" s="153"/>
      <c r="D15" s="76" t="s">
        <v>36</v>
      </c>
      <c r="E15" s="158"/>
      <c r="F15" s="159"/>
      <c r="G15" s="159"/>
      <c r="H15" s="159"/>
      <c r="I15" s="159"/>
      <c r="J15" s="160"/>
    </row>
    <row r="16" spans="1:10" ht="35.25" customHeight="1" x14ac:dyDescent="0.25">
      <c r="A16" s="76" t="s">
        <v>56</v>
      </c>
      <c r="B16" s="76" t="s">
        <v>57</v>
      </c>
      <c r="C16" s="162" t="s">
        <v>272</v>
      </c>
      <c r="D16" s="76" t="s">
        <v>65</v>
      </c>
      <c r="E16" s="76" t="s">
        <v>66</v>
      </c>
      <c r="F16" s="76" t="s">
        <v>28</v>
      </c>
      <c r="G16" s="76" t="s">
        <v>67</v>
      </c>
      <c r="H16" s="76" t="s">
        <v>68</v>
      </c>
      <c r="I16" s="76" t="s">
        <v>69</v>
      </c>
      <c r="J16" s="76" t="s">
        <v>63</v>
      </c>
    </row>
    <row r="17" spans="1:10" ht="18" customHeight="1" x14ac:dyDescent="0.25">
      <c r="A17" s="158">
        <v>75</v>
      </c>
      <c r="B17" s="158">
        <v>0.5</v>
      </c>
      <c r="C17" s="152"/>
      <c r="D17" s="82">
        <v>1</v>
      </c>
      <c r="E17" s="83">
        <v>117.93</v>
      </c>
      <c r="F17" s="84">
        <v>47849</v>
      </c>
      <c r="G17" s="165">
        <f t="shared" ref="G17" si="5">IFERROR(STDEV(F17:F22)/AVERAGE(F17:F22)*100,"")</f>
        <v>0.76655123406991366</v>
      </c>
      <c r="H17" s="166">
        <v>1.5</v>
      </c>
      <c r="I17" s="167">
        <f t="shared" ref="I17:I31" si="6">IF(H17="","",ROUND(H17/B17,1))</f>
        <v>3</v>
      </c>
      <c r="J17" s="157">
        <f t="shared" ref="J17:J31" si="7">IF(I17="","",I17/A17*100)</f>
        <v>4</v>
      </c>
    </row>
    <row r="18" spans="1:10" ht="18" customHeight="1" x14ac:dyDescent="0.25">
      <c r="A18" s="163"/>
      <c r="B18" s="163"/>
      <c r="C18" s="152"/>
      <c r="D18" s="82">
        <v>2</v>
      </c>
      <c r="E18" s="83">
        <v>134.11000000000001</v>
      </c>
      <c r="F18" s="84">
        <v>47949</v>
      </c>
      <c r="G18" s="152"/>
      <c r="H18" s="163"/>
      <c r="I18" s="152"/>
      <c r="J18" s="152"/>
    </row>
    <row r="19" spans="1:10" ht="18" customHeight="1" x14ac:dyDescent="0.25">
      <c r="A19" s="163"/>
      <c r="B19" s="163"/>
      <c r="C19" s="152"/>
      <c r="D19" s="82">
        <v>3</v>
      </c>
      <c r="E19" s="83">
        <v>106.17</v>
      </c>
      <c r="F19" s="84">
        <v>47928</v>
      </c>
      <c r="G19" s="152"/>
      <c r="H19" s="163"/>
      <c r="I19" s="152"/>
      <c r="J19" s="152"/>
    </row>
    <row r="20" spans="1:10" ht="18" customHeight="1" x14ac:dyDescent="0.25">
      <c r="A20" s="163"/>
      <c r="B20" s="163"/>
      <c r="C20" s="152"/>
      <c r="D20" s="82">
        <v>4</v>
      </c>
      <c r="E20" s="83">
        <v>112.19</v>
      </c>
      <c r="F20" s="84">
        <v>47209</v>
      </c>
      <c r="G20" s="152"/>
      <c r="H20" s="163"/>
      <c r="I20" s="152"/>
      <c r="J20" s="152"/>
    </row>
    <row r="21" spans="1:10" ht="18" customHeight="1" x14ac:dyDescent="0.25">
      <c r="A21" s="163"/>
      <c r="B21" s="163"/>
      <c r="C21" s="152"/>
      <c r="D21" s="82">
        <v>5</v>
      </c>
      <c r="E21" s="83">
        <v>80.239999999999995</v>
      </c>
      <c r="F21" s="84">
        <v>47820</v>
      </c>
      <c r="G21" s="152"/>
      <c r="H21" s="163"/>
      <c r="I21" s="152"/>
      <c r="J21" s="152"/>
    </row>
    <row r="22" spans="1:10" ht="18" customHeight="1" x14ac:dyDescent="0.25">
      <c r="A22" s="164"/>
      <c r="B22" s="164"/>
      <c r="C22" s="152"/>
      <c r="D22" s="82">
        <v>6</v>
      </c>
      <c r="E22" s="83">
        <v>119.46</v>
      </c>
      <c r="F22" s="84">
        <v>48345</v>
      </c>
      <c r="G22" s="153"/>
      <c r="H22" s="164"/>
      <c r="I22" s="153"/>
      <c r="J22" s="153"/>
    </row>
    <row r="23" spans="1:10" ht="18" customHeight="1" x14ac:dyDescent="0.25">
      <c r="A23" s="81"/>
      <c r="B23" s="81"/>
      <c r="C23" s="153"/>
      <c r="D23" s="76" t="s">
        <v>36</v>
      </c>
      <c r="E23" s="158"/>
      <c r="F23" s="159"/>
      <c r="G23" s="159"/>
      <c r="H23" s="159"/>
      <c r="I23" s="159"/>
      <c r="J23" s="160"/>
    </row>
    <row r="24" spans="1:10" ht="35.25" customHeight="1" x14ac:dyDescent="0.25">
      <c r="A24" s="76" t="s">
        <v>56</v>
      </c>
      <c r="B24" s="76" t="s">
        <v>57</v>
      </c>
      <c r="C24" s="162" t="s">
        <v>273</v>
      </c>
      <c r="D24" s="76" t="s">
        <v>65</v>
      </c>
      <c r="E24" s="76" t="s">
        <v>66</v>
      </c>
      <c r="F24" s="76" t="s">
        <v>28</v>
      </c>
      <c r="G24" s="76" t="s">
        <v>67</v>
      </c>
      <c r="H24" s="76" t="s">
        <v>68</v>
      </c>
      <c r="I24" s="76" t="s">
        <v>69</v>
      </c>
      <c r="J24" s="76" t="s">
        <v>63</v>
      </c>
    </row>
    <row r="25" spans="1:10" ht="18" customHeight="1" x14ac:dyDescent="0.25">
      <c r="A25" s="158">
        <v>75</v>
      </c>
      <c r="B25" s="158">
        <v>0.5</v>
      </c>
      <c r="C25" s="152"/>
      <c r="D25" s="82">
        <v>1</v>
      </c>
      <c r="E25" s="83">
        <v>100.16</v>
      </c>
      <c r="F25" s="84">
        <v>86722</v>
      </c>
      <c r="G25" s="165">
        <f t="shared" ref="G25" si="8">IFERROR(STDEV(F25:F30)/AVERAGE(F25:F30)*100,"")</f>
        <v>1.0842715278704866</v>
      </c>
      <c r="H25" s="166">
        <v>1.49</v>
      </c>
      <c r="I25" s="167">
        <f t="shared" ref="I25:I31" si="9">IF(H25="","",ROUND(H25/B25,1))</f>
        <v>3</v>
      </c>
      <c r="J25" s="157">
        <f t="shared" ref="J25:J31" si="10">IF(I25="","",I25/A25*100)</f>
        <v>4</v>
      </c>
    </row>
    <row r="26" spans="1:10" ht="18" customHeight="1" x14ac:dyDescent="0.25">
      <c r="A26" s="163"/>
      <c r="B26" s="163"/>
      <c r="C26" s="152"/>
      <c r="D26" s="82">
        <v>2</v>
      </c>
      <c r="E26" s="83">
        <v>100.88</v>
      </c>
      <c r="F26" s="84">
        <v>84267</v>
      </c>
      <c r="G26" s="152"/>
      <c r="H26" s="163"/>
      <c r="I26" s="152"/>
      <c r="J26" s="152"/>
    </row>
    <row r="27" spans="1:10" ht="18" customHeight="1" x14ac:dyDescent="0.25">
      <c r="A27" s="163"/>
      <c r="B27" s="163"/>
      <c r="C27" s="152"/>
      <c r="D27" s="82">
        <v>3</v>
      </c>
      <c r="E27" s="83">
        <v>116.81</v>
      </c>
      <c r="F27" s="84">
        <v>84680</v>
      </c>
      <c r="G27" s="152"/>
      <c r="H27" s="163"/>
      <c r="I27" s="152"/>
      <c r="J27" s="152"/>
    </row>
    <row r="28" spans="1:10" ht="18" customHeight="1" x14ac:dyDescent="0.25">
      <c r="A28" s="163"/>
      <c r="B28" s="163"/>
      <c r="C28" s="152"/>
      <c r="D28" s="82">
        <v>4</v>
      </c>
      <c r="E28" s="83">
        <v>74.16</v>
      </c>
      <c r="F28" s="84">
        <v>85030</v>
      </c>
      <c r="G28" s="152"/>
      <c r="H28" s="163"/>
      <c r="I28" s="152"/>
      <c r="J28" s="152"/>
    </row>
    <row r="29" spans="1:10" ht="18" customHeight="1" x14ac:dyDescent="0.25">
      <c r="A29" s="163"/>
      <c r="B29" s="163"/>
      <c r="C29" s="152"/>
      <c r="D29" s="82">
        <v>5</v>
      </c>
      <c r="E29" s="83">
        <v>98.42</v>
      </c>
      <c r="F29" s="84">
        <v>86175</v>
      </c>
      <c r="G29" s="152"/>
      <c r="H29" s="163"/>
      <c r="I29" s="152"/>
      <c r="J29" s="152"/>
    </row>
    <row r="30" spans="1:10" ht="18" customHeight="1" x14ac:dyDescent="0.25">
      <c r="A30" s="164"/>
      <c r="B30" s="164"/>
      <c r="C30" s="152"/>
      <c r="D30" s="82">
        <v>6</v>
      </c>
      <c r="E30" s="83">
        <v>98.82</v>
      </c>
      <c r="F30" s="84">
        <v>85360</v>
      </c>
      <c r="G30" s="153"/>
      <c r="H30" s="164"/>
      <c r="I30" s="153"/>
      <c r="J30" s="153"/>
    </row>
    <row r="31" spans="1:10" ht="18" customHeight="1" x14ac:dyDescent="0.25">
      <c r="A31" s="81"/>
      <c r="B31" s="81"/>
      <c r="C31" s="153"/>
      <c r="D31" s="76" t="s">
        <v>36</v>
      </c>
      <c r="E31" s="158"/>
      <c r="F31" s="159"/>
      <c r="G31" s="159"/>
      <c r="H31" s="159"/>
      <c r="I31" s="159"/>
      <c r="J31" s="160"/>
    </row>
  </sheetData>
  <mergeCells count="31">
    <mergeCell ref="E31:J31"/>
    <mergeCell ref="C24:C31"/>
    <mergeCell ref="A25:A30"/>
    <mergeCell ref="B25:B30"/>
    <mergeCell ref="G25:G30"/>
    <mergeCell ref="H25:H30"/>
    <mergeCell ref="I17:I22"/>
    <mergeCell ref="J17:J22"/>
    <mergeCell ref="E23:J23"/>
    <mergeCell ref="I25:I30"/>
    <mergeCell ref="J25:J30"/>
    <mergeCell ref="C16:C23"/>
    <mergeCell ref="A17:A22"/>
    <mergeCell ref="B17:B22"/>
    <mergeCell ref="G17:G22"/>
    <mergeCell ref="H17:H22"/>
    <mergeCell ref="D6:J6"/>
    <mergeCell ref="A7:J7"/>
    <mergeCell ref="C8:C15"/>
    <mergeCell ref="A9:A14"/>
    <mergeCell ref="B9:B14"/>
    <mergeCell ref="G9:G14"/>
    <mergeCell ref="H9:H14"/>
    <mergeCell ref="I9:I14"/>
    <mergeCell ref="J9:J14"/>
    <mergeCell ref="E15:J15"/>
    <mergeCell ref="A1:J1"/>
    <mergeCell ref="I2:J2"/>
    <mergeCell ref="I3:J3"/>
    <mergeCell ref="I4:J4"/>
    <mergeCell ref="I5:J5"/>
  </mergeCells>
  <phoneticPr fontId="48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72"/>
  <sheetViews>
    <sheetView topLeftCell="C61" workbookViewId="0">
      <selection activeCell="H49" sqref="H49"/>
    </sheetView>
  </sheetViews>
  <sheetFormatPr defaultColWidth="9" defaultRowHeight="14" x14ac:dyDescent="0.25"/>
  <cols>
    <col min="1" max="1" width="9.453125" customWidth="1"/>
    <col min="2" max="2" width="23" customWidth="1"/>
    <col min="3" max="7" width="14.6328125" customWidth="1"/>
    <col min="8" max="8" width="9" customWidth="1"/>
  </cols>
  <sheetData>
    <row r="1" spans="1:7" ht="23.25" customHeight="1" x14ac:dyDescent="0.25">
      <c r="A1" s="70"/>
      <c r="B1" s="168" t="s">
        <v>70</v>
      </c>
      <c r="C1" s="143"/>
      <c r="D1" s="143"/>
      <c r="E1" s="143"/>
      <c r="F1" s="143"/>
      <c r="G1" s="144"/>
    </row>
    <row r="2" spans="1:7" ht="22.25" customHeight="1" x14ac:dyDescent="0.25">
      <c r="A2" s="172" t="s">
        <v>271</v>
      </c>
      <c r="B2" s="71" t="s">
        <v>26</v>
      </c>
      <c r="C2" s="72" t="s">
        <v>71</v>
      </c>
      <c r="D2" s="72" t="s">
        <v>72</v>
      </c>
      <c r="E2" s="72" t="s">
        <v>73</v>
      </c>
      <c r="F2" s="72" t="s">
        <v>74</v>
      </c>
      <c r="G2" s="72" t="s">
        <v>75</v>
      </c>
    </row>
    <row r="3" spans="1:7" ht="17.75" customHeight="1" x14ac:dyDescent="0.25">
      <c r="A3" s="155"/>
      <c r="B3" s="71" t="s">
        <v>76</v>
      </c>
      <c r="C3" s="73">
        <v>1.5</v>
      </c>
      <c r="D3" s="73">
        <v>18.809999999999999</v>
      </c>
      <c r="E3" s="73">
        <v>37.619999999999997</v>
      </c>
      <c r="F3" s="73">
        <v>56.43</v>
      </c>
      <c r="G3" s="73">
        <v>75.239999999999995</v>
      </c>
    </row>
    <row r="4" spans="1:7" ht="17.75" customHeight="1" x14ac:dyDescent="0.25">
      <c r="A4" s="155"/>
      <c r="B4" s="71" t="s">
        <v>28</v>
      </c>
      <c r="C4" s="73">
        <v>62109</v>
      </c>
      <c r="D4" s="73">
        <v>766402</v>
      </c>
      <c r="E4" s="73">
        <v>1487943</v>
      </c>
      <c r="F4" s="73">
        <v>2153307</v>
      </c>
      <c r="G4" s="73">
        <v>2714048</v>
      </c>
    </row>
    <row r="5" spans="1:7" ht="17.75" customHeight="1" x14ac:dyDescent="0.25">
      <c r="A5" s="155"/>
      <c r="B5" s="71" t="s">
        <v>77</v>
      </c>
      <c r="C5" s="169"/>
      <c r="D5" s="159"/>
      <c r="E5" s="159"/>
      <c r="F5" s="159"/>
      <c r="G5" s="160"/>
    </row>
    <row r="6" spans="1:7" ht="17.75" customHeight="1" x14ac:dyDescent="0.25">
      <c r="A6" s="155"/>
      <c r="B6" s="71" t="s">
        <v>78</v>
      </c>
      <c r="C6" s="170" t="s">
        <v>265</v>
      </c>
      <c r="D6" s="159"/>
      <c r="E6" s="159"/>
      <c r="F6" s="159"/>
      <c r="G6" s="160"/>
    </row>
    <row r="7" spans="1:7" ht="17.75" customHeight="1" x14ac:dyDescent="0.25">
      <c r="A7" s="155"/>
      <c r="B7" s="71" t="s">
        <v>79</v>
      </c>
      <c r="C7" s="170">
        <v>0.99890000000000001</v>
      </c>
      <c r="D7" s="159"/>
      <c r="E7" s="159"/>
      <c r="F7" s="159"/>
      <c r="G7" s="160"/>
    </row>
    <row r="8" spans="1:7" ht="17.75" customHeight="1" x14ac:dyDescent="0.25">
      <c r="A8" s="155"/>
      <c r="B8" s="71" t="s">
        <v>80</v>
      </c>
      <c r="C8" s="74">
        <v>62320</v>
      </c>
      <c r="D8" s="74">
        <v>728214</v>
      </c>
      <c r="E8" s="74">
        <v>1451810</v>
      </c>
      <c r="F8" s="74">
        <v>2175406</v>
      </c>
      <c r="G8" s="74">
        <v>2899002</v>
      </c>
    </row>
    <row r="9" spans="1:7" ht="18.399999999999999" customHeight="1" thickBot="1" x14ac:dyDescent="0.3">
      <c r="A9" s="155"/>
      <c r="B9" s="71" t="s">
        <v>81</v>
      </c>
      <c r="C9" s="75">
        <f>C4-C8</f>
        <v>-211</v>
      </c>
      <c r="D9" s="75">
        <f>D4-D8</f>
        <v>38188</v>
      </c>
      <c r="E9" s="75">
        <f>E4-E8</f>
        <v>36133</v>
      </c>
      <c r="F9" s="75">
        <f>F4-F8</f>
        <v>-22099</v>
      </c>
      <c r="G9" s="75">
        <f>G4-G8</f>
        <v>-184954</v>
      </c>
    </row>
    <row r="10" spans="1:7" ht="17.75" customHeight="1" x14ac:dyDescent="0.25">
      <c r="A10" s="155"/>
      <c r="B10" s="71" t="s">
        <v>82</v>
      </c>
      <c r="C10" s="171"/>
      <c r="D10" s="159"/>
      <c r="E10" s="159"/>
      <c r="F10" s="159"/>
      <c r="G10" s="160"/>
    </row>
    <row r="11" spans="1:7" ht="13.5" customHeight="1" x14ac:dyDescent="0.25">
      <c r="A11" s="155"/>
      <c r="B11" s="174" t="s">
        <v>36</v>
      </c>
      <c r="C11" s="169"/>
      <c r="D11" s="175"/>
      <c r="E11" s="175"/>
      <c r="F11" s="175"/>
      <c r="G11" s="176"/>
    </row>
    <row r="12" spans="1:7" ht="13.5" customHeight="1" x14ac:dyDescent="0.25">
      <c r="A12" s="155"/>
      <c r="B12" s="173"/>
      <c r="C12" s="177"/>
      <c r="D12" s="178"/>
      <c r="E12" s="178"/>
      <c r="F12" s="178"/>
      <c r="G12" s="179"/>
    </row>
    <row r="13" spans="1:7" ht="23.25" customHeight="1" x14ac:dyDescent="0.25">
      <c r="A13" s="155"/>
      <c r="B13" s="180" t="s">
        <v>83</v>
      </c>
      <c r="C13" s="143"/>
      <c r="D13" s="143"/>
      <c r="E13" s="143"/>
      <c r="F13" s="143"/>
      <c r="G13" s="144"/>
    </row>
    <row r="14" spans="1:7" ht="22.25" customHeight="1" x14ac:dyDescent="0.25">
      <c r="A14" s="155"/>
      <c r="B14" s="71" t="s">
        <v>26</v>
      </c>
      <c r="C14" s="72" t="s">
        <v>71</v>
      </c>
      <c r="D14" s="72" t="s">
        <v>72</v>
      </c>
      <c r="E14" s="72" t="s">
        <v>73</v>
      </c>
      <c r="F14" s="72" t="s">
        <v>74</v>
      </c>
      <c r="G14" s="72" t="s">
        <v>75</v>
      </c>
    </row>
    <row r="15" spans="1:7" ht="17.75" customHeight="1" x14ac:dyDescent="0.25">
      <c r="A15" s="155"/>
      <c r="B15" s="71" t="s">
        <v>76</v>
      </c>
      <c r="C15" s="73">
        <v>1.5</v>
      </c>
      <c r="D15" s="73">
        <v>18.75</v>
      </c>
      <c r="E15" s="73">
        <v>37.51</v>
      </c>
      <c r="F15" s="73">
        <v>56.26</v>
      </c>
      <c r="G15" s="73">
        <v>75.010000000000005</v>
      </c>
    </row>
    <row r="16" spans="1:7" ht="17.75" customHeight="1" x14ac:dyDescent="0.25">
      <c r="A16" s="155"/>
      <c r="B16" s="71" t="s">
        <v>28</v>
      </c>
      <c r="C16" s="73">
        <v>40047</v>
      </c>
      <c r="D16" s="73">
        <v>484573</v>
      </c>
      <c r="E16" s="73">
        <v>898857</v>
      </c>
      <c r="F16" s="73">
        <v>1284945</v>
      </c>
      <c r="G16" s="73">
        <v>1614226</v>
      </c>
    </row>
    <row r="17" spans="1:7" ht="17.75" customHeight="1" x14ac:dyDescent="0.25">
      <c r="A17" s="155"/>
      <c r="B17" s="71" t="s">
        <v>77</v>
      </c>
      <c r="C17" s="169"/>
      <c r="D17" s="159"/>
      <c r="E17" s="159"/>
      <c r="F17" s="159"/>
      <c r="G17" s="160"/>
    </row>
    <row r="18" spans="1:7" ht="17.75" customHeight="1" x14ac:dyDescent="0.25">
      <c r="A18" s="155"/>
      <c r="B18" s="71" t="s">
        <v>78</v>
      </c>
      <c r="C18" s="170" t="s">
        <v>268</v>
      </c>
      <c r="D18" s="159"/>
      <c r="E18" s="159"/>
      <c r="F18" s="159"/>
      <c r="G18" s="160"/>
    </row>
    <row r="19" spans="1:7" ht="17.75" customHeight="1" x14ac:dyDescent="0.25">
      <c r="A19" s="155"/>
      <c r="B19" s="71" t="s">
        <v>79</v>
      </c>
      <c r="C19" s="170">
        <v>0.99770000000000003</v>
      </c>
      <c r="D19" s="159"/>
      <c r="E19" s="159"/>
      <c r="F19" s="159"/>
      <c r="G19" s="160"/>
    </row>
    <row r="20" spans="1:7" ht="17.75" customHeight="1" x14ac:dyDescent="0.25">
      <c r="A20" s="155"/>
      <c r="B20" s="71" t="s">
        <v>80</v>
      </c>
      <c r="C20" s="74">
        <v>40257</v>
      </c>
      <c r="D20" s="74">
        <v>443248</v>
      </c>
      <c r="E20" s="74">
        <v>881515</v>
      </c>
      <c r="F20" s="74">
        <v>1319549</v>
      </c>
      <c r="G20" s="74">
        <v>1757583</v>
      </c>
    </row>
    <row r="21" spans="1:7" ht="18.399999999999999" customHeight="1" thickBot="1" x14ac:dyDescent="0.3">
      <c r="A21" s="155"/>
      <c r="B21" s="71" t="s">
        <v>81</v>
      </c>
      <c r="C21" s="75">
        <f>C16-C20</f>
        <v>-210</v>
      </c>
      <c r="D21" s="75">
        <f>D16-D20</f>
        <v>41325</v>
      </c>
      <c r="E21" s="75">
        <f>E16-E20</f>
        <v>17342</v>
      </c>
      <c r="F21" s="75">
        <f>F16-F20</f>
        <v>-34604</v>
      </c>
      <c r="G21" s="75">
        <f>G16-G20</f>
        <v>-143357</v>
      </c>
    </row>
    <row r="22" spans="1:7" ht="17.75" customHeight="1" x14ac:dyDescent="0.25">
      <c r="A22" s="155"/>
      <c r="B22" s="71" t="s">
        <v>82</v>
      </c>
      <c r="C22" s="171"/>
      <c r="D22" s="159"/>
      <c r="E22" s="159"/>
      <c r="F22" s="159"/>
      <c r="G22" s="160"/>
    </row>
    <row r="23" spans="1:7" ht="13.5" customHeight="1" x14ac:dyDescent="0.25">
      <c r="A23" s="155"/>
      <c r="B23" s="174" t="s">
        <v>36</v>
      </c>
      <c r="C23" s="169"/>
      <c r="D23" s="175"/>
      <c r="E23" s="175"/>
      <c r="F23" s="175"/>
      <c r="G23" s="176"/>
    </row>
    <row r="24" spans="1:7" ht="13.5" customHeight="1" x14ac:dyDescent="0.25">
      <c r="A24" s="173"/>
      <c r="B24" s="173"/>
      <c r="C24" s="177"/>
      <c r="D24" s="178"/>
      <c r="E24" s="178"/>
      <c r="F24" s="178"/>
      <c r="G24" s="179"/>
    </row>
    <row r="25" spans="1:7" ht="23.25" customHeight="1" x14ac:dyDescent="0.25">
      <c r="A25" s="70"/>
      <c r="B25" s="168" t="s">
        <v>70</v>
      </c>
      <c r="C25" s="143"/>
      <c r="D25" s="143"/>
      <c r="E25" s="143"/>
      <c r="F25" s="143"/>
      <c r="G25" s="144"/>
    </row>
    <row r="26" spans="1:7" ht="22.25" customHeight="1" x14ac:dyDescent="0.25">
      <c r="A26" s="172" t="s">
        <v>272</v>
      </c>
      <c r="B26" s="71" t="s">
        <v>26</v>
      </c>
      <c r="C26" s="72" t="s">
        <v>71</v>
      </c>
      <c r="D26" s="72" t="s">
        <v>72</v>
      </c>
      <c r="E26" s="72" t="s">
        <v>73</v>
      </c>
      <c r="F26" s="72" t="s">
        <v>74</v>
      </c>
      <c r="G26" s="72" t="s">
        <v>75</v>
      </c>
    </row>
    <row r="27" spans="1:7" ht="17.75" customHeight="1" x14ac:dyDescent="0.25">
      <c r="A27" s="155"/>
      <c r="B27" s="71" t="s">
        <v>76</v>
      </c>
      <c r="C27" s="73">
        <v>1.5</v>
      </c>
      <c r="D27" s="73">
        <v>18.690000000000001</v>
      </c>
      <c r="E27" s="73">
        <v>37.380000000000003</v>
      </c>
      <c r="F27" s="73">
        <v>56.07</v>
      </c>
      <c r="G27" s="73">
        <v>74.760000000000005</v>
      </c>
    </row>
    <row r="28" spans="1:7" ht="17.75" customHeight="1" x14ac:dyDescent="0.25">
      <c r="A28" s="155"/>
      <c r="B28" s="71" t="s">
        <v>28</v>
      </c>
      <c r="C28" s="73">
        <v>52252</v>
      </c>
      <c r="D28" s="73">
        <v>621728</v>
      </c>
      <c r="E28" s="73">
        <v>1236429</v>
      </c>
      <c r="F28" s="73">
        <v>1823466</v>
      </c>
      <c r="G28" s="73">
        <v>2399221</v>
      </c>
    </row>
    <row r="29" spans="1:7" ht="17.75" customHeight="1" x14ac:dyDescent="0.25">
      <c r="A29" s="155"/>
      <c r="B29" s="71" t="s">
        <v>77</v>
      </c>
      <c r="C29" s="169"/>
      <c r="D29" s="159"/>
      <c r="E29" s="159"/>
      <c r="F29" s="159"/>
      <c r="G29" s="160"/>
    </row>
    <row r="30" spans="1:7" ht="17.75" customHeight="1" x14ac:dyDescent="0.25">
      <c r="A30" s="155"/>
      <c r="B30" s="71" t="s">
        <v>78</v>
      </c>
      <c r="C30" s="170" t="s">
        <v>266</v>
      </c>
      <c r="D30" s="159"/>
      <c r="E30" s="159"/>
      <c r="F30" s="159"/>
      <c r="G30" s="160"/>
    </row>
    <row r="31" spans="1:7" ht="17.75" customHeight="1" x14ac:dyDescent="0.25">
      <c r="A31" s="155"/>
      <c r="B31" s="71" t="s">
        <v>79</v>
      </c>
      <c r="C31" s="170">
        <v>0.99990000000000001</v>
      </c>
      <c r="D31" s="159"/>
      <c r="E31" s="159"/>
      <c r="F31" s="159"/>
      <c r="G31" s="160"/>
    </row>
    <row r="32" spans="1:7" ht="17.75" customHeight="1" x14ac:dyDescent="0.25">
      <c r="A32" s="155"/>
      <c r="B32" s="71" t="s">
        <v>80</v>
      </c>
      <c r="C32" s="74">
        <v>52302</v>
      </c>
      <c r="D32" s="74">
        <v>613339</v>
      </c>
      <c r="E32" s="74">
        <v>1223332</v>
      </c>
      <c r="F32" s="74">
        <v>1833325</v>
      </c>
      <c r="G32" s="74">
        <v>2443318</v>
      </c>
    </row>
    <row r="33" spans="1:7" ht="18.399999999999999" customHeight="1" thickBot="1" x14ac:dyDescent="0.3">
      <c r="A33" s="155"/>
      <c r="B33" s="71" t="s">
        <v>81</v>
      </c>
      <c r="C33" s="75">
        <f t="shared" ref="C33:G33" si="0">C28-C32</f>
        <v>-50</v>
      </c>
      <c r="D33" s="75">
        <f t="shared" si="0"/>
        <v>8389</v>
      </c>
      <c r="E33" s="75">
        <f t="shared" si="0"/>
        <v>13097</v>
      </c>
      <c r="F33" s="75">
        <f t="shared" si="0"/>
        <v>-9859</v>
      </c>
      <c r="G33" s="75">
        <f t="shared" si="0"/>
        <v>-44097</v>
      </c>
    </row>
    <row r="34" spans="1:7" ht="17.75" customHeight="1" x14ac:dyDescent="0.25">
      <c r="A34" s="155"/>
      <c r="B34" s="71" t="s">
        <v>82</v>
      </c>
      <c r="C34" s="171"/>
      <c r="D34" s="159"/>
      <c r="E34" s="159"/>
      <c r="F34" s="159"/>
      <c r="G34" s="160"/>
    </row>
    <row r="35" spans="1:7" ht="13.5" customHeight="1" x14ac:dyDescent="0.25">
      <c r="A35" s="155"/>
      <c r="B35" s="174" t="s">
        <v>36</v>
      </c>
      <c r="C35" s="169"/>
      <c r="D35" s="175"/>
      <c r="E35" s="175"/>
      <c r="F35" s="175"/>
      <c r="G35" s="176"/>
    </row>
    <row r="36" spans="1:7" ht="13.5" customHeight="1" x14ac:dyDescent="0.25">
      <c r="A36" s="155"/>
      <c r="B36" s="173"/>
      <c r="C36" s="177"/>
      <c r="D36" s="178"/>
      <c r="E36" s="178"/>
      <c r="F36" s="178"/>
      <c r="G36" s="179"/>
    </row>
    <row r="37" spans="1:7" ht="23.25" customHeight="1" x14ac:dyDescent="0.25">
      <c r="A37" s="155"/>
      <c r="B37" s="180" t="s">
        <v>83</v>
      </c>
      <c r="C37" s="143"/>
      <c r="D37" s="143"/>
      <c r="E37" s="143"/>
      <c r="F37" s="143"/>
      <c r="G37" s="144"/>
    </row>
    <row r="38" spans="1:7" ht="22.25" customHeight="1" x14ac:dyDescent="0.25">
      <c r="A38" s="155"/>
      <c r="B38" s="71" t="s">
        <v>26</v>
      </c>
      <c r="C38" s="72" t="s">
        <v>71</v>
      </c>
      <c r="D38" s="72" t="s">
        <v>72</v>
      </c>
      <c r="E38" s="72" t="s">
        <v>73</v>
      </c>
      <c r="F38" s="72" t="s">
        <v>74</v>
      </c>
      <c r="G38" s="72" t="s">
        <v>75</v>
      </c>
    </row>
    <row r="39" spans="1:7" ht="17.75" customHeight="1" x14ac:dyDescent="0.25">
      <c r="A39" s="155"/>
      <c r="B39" s="71" t="s">
        <v>76</v>
      </c>
      <c r="C39" s="73">
        <v>1.52</v>
      </c>
      <c r="D39" s="73">
        <v>18.95</v>
      </c>
      <c r="E39" s="73">
        <v>37.9</v>
      </c>
      <c r="F39" s="73">
        <v>56.86</v>
      </c>
      <c r="G39" s="73">
        <v>75.81</v>
      </c>
    </row>
    <row r="40" spans="1:7" ht="17.75" customHeight="1" x14ac:dyDescent="0.25">
      <c r="A40" s="155"/>
      <c r="B40" s="71" t="s">
        <v>28</v>
      </c>
      <c r="C40" s="73">
        <v>41974</v>
      </c>
      <c r="D40" s="73">
        <v>529870</v>
      </c>
      <c r="E40" s="73">
        <v>1016939</v>
      </c>
      <c r="F40" s="73">
        <v>1481621</v>
      </c>
      <c r="G40" s="73">
        <v>1950433</v>
      </c>
    </row>
    <row r="41" spans="1:7" ht="17.75" customHeight="1" x14ac:dyDescent="0.25">
      <c r="A41" s="155"/>
      <c r="B41" s="71" t="s">
        <v>77</v>
      </c>
      <c r="C41" s="169"/>
      <c r="D41" s="159"/>
      <c r="E41" s="159"/>
      <c r="F41" s="159"/>
      <c r="G41" s="160"/>
    </row>
    <row r="42" spans="1:7" ht="17.75" customHeight="1" x14ac:dyDescent="0.25">
      <c r="A42" s="155"/>
      <c r="B42" s="71" t="s">
        <v>78</v>
      </c>
      <c r="C42" s="170" t="s">
        <v>269</v>
      </c>
      <c r="D42" s="159"/>
      <c r="E42" s="159"/>
      <c r="F42" s="159"/>
      <c r="G42" s="160"/>
    </row>
    <row r="43" spans="1:7" ht="17.75" customHeight="1" x14ac:dyDescent="0.25">
      <c r="A43" s="155"/>
      <c r="B43" s="71" t="s">
        <v>79</v>
      </c>
      <c r="C43" s="170">
        <v>0.99939999999999996</v>
      </c>
      <c r="D43" s="159"/>
      <c r="E43" s="159"/>
      <c r="F43" s="159"/>
      <c r="G43" s="160"/>
    </row>
    <row r="44" spans="1:7" ht="17.75" customHeight="1" x14ac:dyDescent="0.25">
      <c r="A44" s="155"/>
      <c r="B44" s="71" t="s">
        <v>80</v>
      </c>
      <c r="C44" s="74">
        <v>42096</v>
      </c>
      <c r="D44" s="74">
        <v>505352</v>
      </c>
      <c r="E44" s="74">
        <v>1009007</v>
      </c>
      <c r="F44" s="74">
        <v>1512928</v>
      </c>
      <c r="G44" s="74">
        <v>2016583</v>
      </c>
    </row>
    <row r="45" spans="1:7" ht="18.399999999999999" customHeight="1" thickBot="1" x14ac:dyDescent="0.3">
      <c r="A45" s="155"/>
      <c r="B45" s="71" t="s">
        <v>81</v>
      </c>
      <c r="C45" s="75">
        <f t="shared" ref="C45:G45" si="1">C40-C44</f>
        <v>-122</v>
      </c>
      <c r="D45" s="75">
        <f t="shared" si="1"/>
        <v>24518</v>
      </c>
      <c r="E45" s="75">
        <f t="shared" si="1"/>
        <v>7932</v>
      </c>
      <c r="F45" s="75">
        <f t="shared" si="1"/>
        <v>-31307</v>
      </c>
      <c r="G45" s="75">
        <f t="shared" si="1"/>
        <v>-66150</v>
      </c>
    </row>
    <row r="46" spans="1:7" ht="17.75" customHeight="1" x14ac:dyDescent="0.25">
      <c r="A46" s="155"/>
      <c r="B46" s="71" t="s">
        <v>82</v>
      </c>
      <c r="C46" s="171"/>
      <c r="D46" s="159"/>
      <c r="E46" s="159"/>
      <c r="F46" s="159"/>
      <c r="G46" s="160"/>
    </row>
    <row r="47" spans="1:7" ht="13.5" customHeight="1" x14ac:dyDescent="0.25">
      <c r="A47" s="155"/>
      <c r="B47" s="174" t="s">
        <v>36</v>
      </c>
      <c r="C47" s="169"/>
      <c r="D47" s="175"/>
      <c r="E47" s="175"/>
      <c r="F47" s="175"/>
      <c r="G47" s="176"/>
    </row>
    <row r="48" spans="1:7" ht="13.5" customHeight="1" x14ac:dyDescent="0.25">
      <c r="A48" s="173"/>
      <c r="B48" s="173"/>
      <c r="C48" s="177"/>
      <c r="D48" s="178"/>
      <c r="E48" s="178"/>
      <c r="F48" s="178"/>
      <c r="G48" s="179"/>
    </row>
    <row r="49" spans="1:7" ht="23.25" customHeight="1" x14ac:dyDescent="0.25">
      <c r="A49" s="70"/>
      <c r="B49" s="168" t="s">
        <v>70</v>
      </c>
      <c r="C49" s="143"/>
      <c r="D49" s="143"/>
      <c r="E49" s="143"/>
      <c r="F49" s="143"/>
      <c r="G49" s="144"/>
    </row>
    <row r="50" spans="1:7" ht="22.25" customHeight="1" x14ac:dyDescent="0.25">
      <c r="A50" s="172" t="s">
        <v>273</v>
      </c>
      <c r="B50" s="71" t="s">
        <v>26</v>
      </c>
      <c r="C50" s="72" t="s">
        <v>71</v>
      </c>
      <c r="D50" s="72" t="s">
        <v>72</v>
      </c>
      <c r="E50" s="72" t="s">
        <v>73</v>
      </c>
      <c r="F50" s="72" t="s">
        <v>74</v>
      </c>
      <c r="G50" s="72" t="s">
        <v>75</v>
      </c>
    </row>
    <row r="51" spans="1:7" ht="17.75" customHeight="1" x14ac:dyDescent="0.25">
      <c r="A51" s="155"/>
      <c r="B51" s="71" t="s">
        <v>76</v>
      </c>
      <c r="C51" s="73">
        <v>1.49</v>
      </c>
      <c r="D51" s="73">
        <v>18.600000000000001</v>
      </c>
      <c r="E51" s="73">
        <v>37.200000000000003</v>
      </c>
      <c r="F51" s="73">
        <v>55.8</v>
      </c>
      <c r="G51" s="73">
        <v>74.41</v>
      </c>
    </row>
    <row r="52" spans="1:7" ht="17.75" customHeight="1" x14ac:dyDescent="0.25">
      <c r="A52" s="155"/>
      <c r="B52" s="71" t="s">
        <v>28</v>
      </c>
      <c r="C52" s="73">
        <v>86126</v>
      </c>
      <c r="D52" s="73">
        <v>1067960</v>
      </c>
      <c r="E52" s="73">
        <v>2134754</v>
      </c>
      <c r="F52" s="73">
        <v>3153886</v>
      </c>
      <c r="G52" s="73">
        <v>4173039</v>
      </c>
    </row>
    <row r="53" spans="1:7" ht="17.75" customHeight="1" x14ac:dyDescent="0.25">
      <c r="A53" s="155"/>
      <c r="B53" s="71" t="s">
        <v>77</v>
      </c>
      <c r="C53" s="169"/>
      <c r="D53" s="159"/>
      <c r="E53" s="159"/>
      <c r="F53" s="159"/>
      <c r="G53" s="160"/>
    </row>
    <row r="54" spans="1:7" ht="17.75" customHeight="1" x14ac:dyDescent="0.25">
      <c r="A54" s="155"/>
      <c r="B54" s="71" t="s">
        <v>78</v>
      </c>
      <c r="C54" s="170" t="s">
        <v>267</v>
      </c>
      <c r="D54" s="159"/>
      <c r="E54" s="159"/>
      <c r="F54" s="159"/>
      <c r="G54" s="160"/>
    </row>
    <row r="55" spans="1:7" ht="17.75" customHeight="1" x14ac:dyDescent="0.25">
      <c r="A55" s="155"/>
      <c r="B55" s="71" t="s">
        <v>79</v>
      </c>
      <c r="C55" s="170">
        <v>0.99990000000000001</v>
      </c>
      <c r="D55" s="159"/>
      <c r="E55" s="159"/>
      <c r="F55" s="159"/>
      <c r="G55" s="160"/>
    </row>
    <row r="56" spans="1:7" ht="17.75" customHeight="1" x14ac:dyDescent="0.25">
      <c r="A56" s="155"/>
      <c r="B56" s="71" t="s">
        <v>80</v>
      </c>
      <c r="C56" s="74">
        <v>86189</v>
      </c>
      <c r="D56" s="74">
        <v>1057991</v>
      </c>
      <c r="E56" s="74">
        <v>2114420</v>
      </c>
      <c r="F56" s="74">
        <v>3170850</v>
      </c>
      <c r="G56" s="74">
        <v>4227848</v>
      </c>
    </row>
    <row r="57" spans="1:7" ht="18.399999999999999" customHeight="1" thickBot="1" x14ac:dyDescent="0.3">
      <c r="A57" s="155"/>
      <c r="B57" s="71" t="s">
        <v>81</v>
      </c>
      <c r="C57" s="75">
        <f t="shared" ref="C57:G57" si="2">C52-C56</f>
        <v>-63</v>
      </c>
      <c r="D57" s="75">
        <f t="shared" si="2"/>
        <v>9969</v>
      </c>
      <c r="E57" s="75">
        <f t="shared" si="2"/>
        <v>20334</v>
      </c>
      <c r="F57" s="75">
        <f t="shared" si="2"/>
        <v>-16964</v>
      </c>
      <c r="G57" s="75">
        <f t="shared" si="2"/>
        <v>-54809</v>
      </c>
    </row>
    <row r="58" spans="1:7" ht="17.75" customHeight="1" x14ac:dyDescent="0.25">
      <c r="A58" s="155"/>
      <c r="B58" s="71" t="s">
        <v>82</v>
      </c>
      <c r="C58" s="171"/>
      <c r="D58" s="159"/>
      <c r="E58" s="159"/>
      <c r="F58" s="159"/>
      <c r="G58" s="160"/>
    </row>
    <row r="59" spans="1:7" ht="13.5" customHeight="1" x14ac:dyDescent="0.25">
      <c r="A59" s="155"/>
      <c r="B59" s="174" t="s">
        <v>36</v>
      </c>
      <c r="C59" s="169"/>
      <c r="D59" s="175"/>
      <c r="E59" s="175"/>
      <c r="F59" s="175"/>
      <c r="G59" s="176"/>
    </row>
    <row r="60" spans="1:7" ht="13.5" customHeight="1" x14ac:dyDescent="0.25">
      <c r="A60" s="155"/>
      <c r="B60" s="173"/>
      <c r="C60" s="177"/>
      <c r="D60" s="178"/>
      <c r="E60" s="178"/>
      <c r="F60" s="178"/>
      <c r="G60" s="179"/>
    </row>
    <row r="61" spans="1:7" ht="23.25" customHeight="1" x14ac:dyDescent="0.25">
      <c r="A61" s="155"/>
      <c r="B61" s="180" t="s">
        <v>83</v>
      </c>
      <c r="C61" s="143"/>
      <c r="D61" s="143"/>
      <c r="E61" s="143"/>
      <c r="F61" s="143"/>
      <c r="G61" s="144"/>
    </row>
    <row r="62" spans="1:7" ht="22.25" customHeight="1" x14ac:dyDescent="0.25">
      <c r="A62" s="155"/>
      <c r="B62" s="71" t="s">
        <v>26</v>
      </c>
      <c r="C62" s="72" t="s">
        <v>71</v>
      </c>
      <c r="D62" s="72" t="s">
        <v>72</v>
      </c>
      <c r="E62" s="72" t="s">
        <v>73</v>
      </c>
      <c r="F62" s="72" t="s">
        <v>74</v>
      </c>
      <c r="G62" s="72" t="s">
        <v>75</v>
      </c>
    </row>
    <row r="63" spans="1:7" ht="17.75" customHeight="1" x14ac:dyDescent="0.25">
      <c r="A63" s="155"/>
      <c r="B63" s="71" t="s">
        <v>76</v>
      </c>
      <c r="C63" s="73">
        <v>1.5</v>
      </c>
      <c r="D63" s="73">
        <v>18.72</v>
      </c>
      <c r="E63" s="73">
        <v>37.44</v>
      </c>
      <c r="F63" s="73">
        <v>56.16</v>
      </c>
      <c r="G63" s="73">
        <v>74.89</v>
      </c>
    </row>
    <row r="64" spans="1:7" ht="17.75" customHeight="1" x14ac:dyDescent="0.25">
      <c r="A64" s="155"/>
      <c r="B64" s="71" t="s">
        <v>28</v>
      </c>
      <c r="C64" s="73">
        <v>80094</v>
      </c>
      <c r="D64" s="73">
        <v>999704</v>
      </c>
      <c r="E64" s="73">
        <v>1942047</v>
      </c>
      <c r="F64" s="73">
        <v>2887316</v>
      </c>
      <c r="G64" s="73">
        <v>3814772</v>
      </c>
    </row>
    <row r="65" spans="1:7" ht="17.75" customHeight="1" x14ac:dyDescent="0.25">
      <c r="A65" s="155"/>
      <c r="B65" s="71" t="s">
        <v>77</v>
      </c>
      <c r="C65" s="169"/>
      <c r="D65" s="159"/>
      <c r="E65" s="159"/>
      <c r="F65" s="159"/>
      <c r="G65" s="160"/>
    </row>
    <row r="66" spans="1:7" ht="17.75" customHeight="1" x14ac:dyDescent="0.25">
      <c r="A66" s="155"/>
      <c r="B66" s="71" t="s">
        <v>78</v>
      </c>
      <c r="C66" s="170" t="s">
        <v>270</v>
      </c>
      <c r="D66" s="159"/>
      <c r="E66" s="159"/>
      <c r="F66" s="159"/>
      <c r="G66" s="160"/>
    </row>
    <row r="67" spans="1:7" ht="17.75" customHeight="1" x14ac:dyDescent="0.25">
      <c r="A67" s="155"/>
      <c r="B67" s="71" t="s">
        <v>79</v>
      </c>
      <c r="C67" s="170">
        <v>0.99980000000000002</v>
      </c>
      <c r="D67" s="159"/>
      <c r="E67" s="159"/>
      <c r="F67" s="159"/>
      <c r="G67" s="160"/>
    </row>
    <row r="68" spans="1:7" ht="17.75" customHeight="1" x14ac:dyDescent="0.25">
      <c r="A68" s="155"/>
      <c r="B68" s="71" t="s">
        <v>80</v>
      </c>
      <c r="C68" s="74">
        <v>80223</v>
      </c>
      <c r="D68" s="74">
        <v>972479</v>
      </c>
      <c r="E68" s="74">
        <v>1942458</v>
      </c>
      <c r="F68" s="74">
        <v>2912437</v>
      </c>
      <c r="G68" s="74">
        <v>3882934</v>
      </c>
    </row>
    <row r="69" spans="1:7" ht="18.399999999999999" customHeight="1" thickBot="1" x14ac:dyDescent="0.3">
      <c r="A69" s="155"/>
      <c r="B69" s="71" t="s">
        <v>81</v>
      </c>
      <c r="C69" s="75">
        <f t="shared" ref="C69:G69" si="3">C64-C68</f>
        <v>-129</v>
      </c>
      <c r="D69" s="75">
        <f t="shared" si="3"/>
        <v>27225</v>
      </c>
      <c r="E69" s="75">
        <f t="shared" si="3"/>
        <v>-411</v>
      </c>
      <c r="F69" s="75">
        <f t="shared" si="3"/>
        <v>-25121</v>
      </c>
      <c r="G69" s="75">
        <f t="shared" si="3"/>
        <v>-68162</v>
      </c>
    </row>
    <row r="70" spans="1:7" ht="17.75" customHeight="1" x14ac:dyDescent="0.25">
      <c r="A70" s="155"/>
      <c r="B70" s="71" t="s">
        <v>82</v>
      </c>
      <c r="C70" s="171"/>
      <c r="D70" s="159"/>
      <c r="E70" s="159"/>
      <c r="F70" s="159"/>
      <c r="G70" s="160"/>
    </row>
    <row r="71" spans="1:7" ht="13.5" customHeight="1" x14ac:dyDescent="0.25">
      <c r="A71" s="155"/>
      <c r="B71" s="174" t="s">
        <v>36</v>
      </c>
      <c r="C71" s="169"/>
      <c r="D71" s="175"/>
      <c r="E71" s="175"/>
      <c r="F71" s="175"/>
      <c r="G71" s="176"/>
    </row>
    <row r="72" spans="1:7" ht="13.5" customHeight="1" x14ac:dyDescent="0.25">
      <c r="A72" s="173"/>
      <c r="B72" s="173"/>
      <c r="C72" s="177"/>
      <c r="D72" s="178"/>
      <c r="E72" s="178"/>
      <c r="F72" s="178"/>
      <c r="G72" s="179"/>
    </row>
  </sheetData>
  <mergeCells count="45">
    <mergeCell ref="B49:G49"/>
    <mergeCell ref="A50:A72"/>
    <mergeCell ref="C53:G53"/>
    <mergeCell ref="C54:G54"/>
    <mergeCell ref="C55:G55"/>
    <mergeCell ref="C58:G58"/>
    <mergeCell ref="B59:B60"/>
    <mergeCell ref="C59:G60"/>
    <mergeCell ref="B61:G61"/>
    <mergeCell ref="C65:G65"/>
    <mergeCell ref="C66:G66"/>
    <mergeCell ref="C67:G67"/>
    <mergeCell ref="C70:G70"/>
    <mergeCell ref="B71:B72"/>
    <mergeCell ref="C71:G72"/>
    <mergeCell ref="B25:G25"/>
    <mergeCell ref="A26:A48"/>
    <mergeCell ref="C29:G29"/>
    <mergeCell ref="C30:G30"/>
    <mergeCell ref="C31:G31"/>
    <mergeCell ref="C34:G34"/>
    <mergeCell ref="B35:B36"/>
    <mergeCell ref="C35:G36"/>
    <mergeCell ref="B37:G37"/>
    <mergeCell ref="C41:G41"/>
    <mergeCell ref="C42:G42"/>
    <mergeCell ref="C43:G43"/>
    <mergeCell ref="C46:G46"/>
    <mergeCell ref="B47:B48"/>
    <mergeCell ref="C47:G48"/>
    <mergeCell ref="A2:A24"/>
    <mergeCell ref="B11:B12"/>
    <mergeCell ref="B23:B24"/>
    <mergeCell ref="C11:G12"/>
    <mergeCell ref="C23:G24"/>
    <mergeCell ref="B13:G13"/>
    <mergeCell ref="C17:G17"/>
    <mergeCell ref="C18:G18"/>
    <mergeCell ref="C19:G19"/>
    <mergeCell ref="C22:G22"/>
    <mergeCell ref="B1:G1"/>
    <mergeCell ref="C5:G5"/>
    <mergeCell ref="C6:G6"/>
    <mergeCell ref="C7:G7"/>
    <mergeCell ref="C10:G10"/>
  </mergeCells>
  <phoneticPr fontId="48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99"/>
  <sheetViews>
    <sheetView topLeftCell="E85" workbookViewId="0">
      <selection activeCell="I96" sqref="I96"/>
    </sheetView>
  </sheetViews>
  <sheetFormatPr defaultColWidth="9" defaultRowHeight="14" x14ac:dyDescent="0.25"/>
  <cols>
    <col min="1" max="1" width="17" customWidth="1"/>
    <col min="2" max="3" width="11.36328125" customWidth="1"/>
    <col min="4" max="4" width="11.6328125" customWidth="1"/>
    <col min="5" max="5" width="14.36328125" customWidth="1"/>
    <col min="6" max="6" width="12" customWidth="1"/>
    <col min="7" max="7" width="13.08984375" customWidth="1"/>
    <col min="8" max="8" width="13.90625" customWidth="1"/>
    <col min="9" max="9" width="10.90625" customWidth="1"/>
    <col min="10" max="10" width="12" customWidth="1"/>
  </cols>
  <sheetData>
    <row r="1" spans="1:10" ht="23.25" customHeight="1" x14ac:dyDescent="0.25">
      <c r="A1" s="51"/>
      <c r="B1" s="181" t="s">
        <v>84</v>
      </c>
      <c r="C1" s="143"/>
      <c r="D1" s="143"/>
      <c r="E1" s="143"/>
      <c r="F1" s="143"/>
      <c r="G1" s="143"/>
      <c r="H1" s="143"/>
      <c r="I1" s="143"/>
      <c r="J1" s="144"/>
    </row>
    <row r="2" spans="1:10" ht="39.75" customHeight="1" x14ac:dyDescent="0.25">
      <c r="A2" s="187" t="s">
        <v>274</v>
      </c>
      <c r="B2" s="18" t="s">
        <v>85</v>
      </c>
      <c r="C2" s="18" t="s">
        <v>85</v>
      </c>
      <c r="D2" s="11" t="s">
        <v>65</v>
      </c>
      <c r="E2" s="52" t="s">
        <v>86</v>
      </c>
      <c r="F2" s="53" t="s">
        <v>27</v>
      </c>
      <c r="G2" s="54" t="s">
        <v>28</v>
      </c>
      <c r="H2" s="54" t="s">
        <v>87</v>
      </c>
      <c r="I2" s="54" t="s">
        <v>62</v>
      </c>
      <c r="J2" s="18" t="s">
        <v>88</v>
      </c>
    </row>
    <row r="3" spans="1:10" ht="13.9" customHeight="1" x14ac:dyDescent="0.25">
      <c r="A3" s="152"/>
      <c r="B3" s="55">
        <v>13.74</v>
      </c>
      <c r="C3" s="55">
        <v>0</v>
      </c>
      <c r="D3" s="11">
        <v>1</v>
      </c>
      <c r="E3" s="56">
        <f t="shared" ref="E3:E8" si="0">B3-C3</f>
        <v>13.74</v>
      </c>
      <c r="F3" s="57">
        <v>4.2080000000000002</v>
      </c>
      <c r="G3" s="58">
        <v>1177629</v>
      </c>
      <c r="H3" s="59">
        <v>30.49</v>
      </c>
      <c r="I3" s="60">
        <f t="shared" ref="I3:I8" si="1">ROUND(H3*20/E3,1)</f>
        <v>44.4</v>
      </c>
      <c r="J3" s="50">
        <f t="shared" ref="J3:J8" si="2">I3/25*100</f>
        <v>177.6</v>
      </c>
    </row>
    <row r="4" spans="1:10" ht="13.9" customHeight="1" x14ac:dyDescent="0.25">
      <c r="A4" s="152"/>
      <c r="B4" s="55">
        <v>13.8</v>
      </c>
      <c r="C4" s="55">
        <v>0</v>
      </c>
      <c r="D4" s="11">
        <v>2</v>
      </c>
      <c r="E4" s="56">
        <f t="shared" si="0"/>
        <v>13.8</v>
      </c>
      <c r="F4" s="57">
        <v>4.2080000000000002</v>
      </c>
      <c r="G4" s="58">
        <v>1190055</v>
      </c>
      <c r="H4" s="59">
        <v>30.82</v>
      </c>
      <c r="I4" s="60">
        <f t="shared" si="1"/>
        <v>44.7</v>
      </c>
      <c r="J4" s="50">
        <f t="shared" si="2"/>
        <v>178.8</v>
      </c>
    </row>
    <row r="5" spans="1:10" ht="13.9" customHeight="1" x14ac:dyDescent="0.25">
      <c r="A5" s="152"/>
      <c r="B5" s="55">
        <v>13.76</v>
      </c>
      <c r="C5" s="55">
        <v>0</v>
      </c>
      <c r="D5" s="11">
        <v>3</v>
      </c>
      <c r="E5" s="56">
        <f t="shared" si="0"/>
        <v>13.76</v>
      </c>
      <c r="F5" s="57">
        <v>4.2089999999999996</v>
      </c>
      <c r="G5" s="58">
        <v>1107621</v>
      </c>
      <c r="H5" s="59">
        <v>28.67</v>
      </c>
      <c r="I5" s="60">
        <f t="shared" si="1"/>
        <v>41.7</v>
      </c>
      <c r="J5" s="50">
        <f t="shared" si="2"/>
        <v>166.8</v>
      </c>
    </row>
    <row r="6" spans="1:10" ht="13.9" customHeight="1" x14ac:dyDescent="0.25">
      <c r="A6" s="152"/>
      <c r="B6" s="55">
        <v>13.8</v>
      </c>
      <c r="C6" s="55">
        <v>0.05</v>
      </c>
      <c r="D6" s="11">
        <v>4</v>
      </c>
      <c r="E6" s="56">
        <f t="shared" si="0"/>
        <v>13.75</v>
      </c>
      <c r="F6" s="57">
        <v>4.2060000000000004</v>
      </c>
      <c r="G6" s="58">
        <v>1196452</v>
      </c>
      <c r="H6" s="59">
        <v>30.98</v>
      </c>
      <c r="I6" s="60">
        <f t="shared" si="1"/>
        <v>45.1</v>
      </c>
      <c r="J6" s="50">
        <f t="shared" si="2"/>
        <v>180.4</v>
      </c>
    </row>
    <row r="7" spans="1:10" ht="13.9" customHeight="1" x14ac:dyDescent="0.25">
      <c r="A7" s="152"/>
      <c r="B7" s="55">
        <v>13.89</v>
      </c>
      <c r="C7" s="55">
        <v>0.05</v>
      </c>
      <c r="D7" s="11">
        <v>5</v>
      </c>
      <c r="E7" s="56">
        <f t="shared" si="0"/>
        <v>13.84</v>
      </c>
      <c r="F7" s="57">
        <v>4.2080000000000002</v>
      </c>
      <c r="G7" s="58">
        <v>1168220</v>
      </c>
      <c r="H7" s="59">
        <v>30.25</v>
      </c>
      <c r="I7" s="60">
        <f t="shared" si="1"/>
        <v>43.7</v>
      </c>
      <c r="J7" s="50">
        <f t="shared" si="2"/>
        <v>174.8</v>
      </c>
    </row>
    <row r="8" spans="1:10" ht="13.9" customHeight="1" x14ac:dyDescent="0.25">
      <c r="A8" s="152"/>
      <c r="B8" s="55">
        <v>13.69</v>
      </c>
      <c r="C8" s="55">
        <v>0</v>
      </c>
      <c r="D8" s="11">
        <v>6</v>
      </c>
      <c r="E8" s="56">
        <f t="shared" si="0"/>
        <v>13.69</v>
      </c>
      <c r="F8" s="57">
        <v>4.2089999999999996</v>
      </c>
      <c r="G8" s="58">
        <v>1180331</v>
      </c>
      <c r="H8" s="59">
        <v>30.56</v>
      </c>
      <c r="I8" s="60">
        <f t="shared" si="1"/>
        <v>44.6</v>
      </c>
      <c r="J8" s="50">
        <f t="shared" si="2"/>
        <v>178.4</v>
      </c>
    </row>
    <row r="9" spans="1:10" ht="27" customHeight="1" x14ac:dyDescent="0.25">
      <c r="A9" s="152"/>
      <c r="B9" s="184"/>
      <c r="C9" s="188"/>
      <c r="D9" s="11" t="s">
        <v>35</v>
      </c>
      <c r="E9" s="61" t="s">
        <v>89</v>
      </c>
      <c r="F9" s="62">
        <f>IFERROR(ROUNDUP(F15,1),"")</f>
        <v>0.1</v>
      </c>
      <c r="G9" s="61" t="s">
        <v>89</v>
      </c>
      <c r="H9" s="61" t="s">
        <v>89</v>
      </c>
      <c r="I9" s="62">
        <f>IFERROR(ROUNDUP(I15,1),"")</f>
        <v>2.8000000000000003</v>
      </c>
      <c r="J9" s="184"/>
    </row>
    <row r="10" spans="1:10" ht="26.75" customHeight="1" x14ac:dyDescent="0.25">
      <c r="A10" s="152"/>
      <c r="B10" s="189"/>
      <c r="C10" s="155"/>
      <c r="D10" s="11" t="s">
        <v>90</v>
      </c>
      <c r="E10" s="182">
        <f>I9*SQRT(5/_xlfn.CHISQ.INV(0.975,5))</f>
        <v>1.7477824063251517</v>
      </c>
      <c r="F10" s="144"/>
      <c r="G10" s="61" t="s">
        <v>91</v>
      </c>
      <c r="H10" s="182">
        <f>I9*SQRT(5/_xlfn.CHISQ.INV(0.025,5))</f>
        <v>6.8673191679352321</v>
      </c>
      <c r="I10" s="144"/>
      <c r="J10" s="152"/>
    </row>
    <row r="11" spans="1:10" ht="13.9" customHeight="1" x14ac:dyDescent="0.25">
      <c r="A11" s="152"/>
      <c r="B11" s="189"/>
      <c r="C11" s="155"/>
      <c r="D11" s="183" t="s">
        <v>92</v>
      </c>
      <c r="E11" s="144"/>
      <c r="F11" s="63">
        <f>ROUND(AVERAGE(I3:I8)-TINV(0.05,6-1)*STDEV(I3:I8)/SQRT(6),1)</f>
        <v>42.7</v>
      </c>
      <c r="G11" s="183" t="s">
        <v>93</v>
      </c>
      <c r="H11" s="144"/>
      <c r="I11" s="63">
        <f>ROUND(AVERAGE(I3:I8)+TINV(0.05,6-1)*STDEV(I3:I8)/SQRT(6),1)</f>
        <v>45.3</v>
      </c>
      <c r="J11" s="152"/>
    </row>
    <row r="12" spans="1:10" ht="13.9" customHeight="1" x14ac:dyDescent="0.25">
      <c r="A12" s="152"/>
      <c r="B12" s="189"/>
      <c r="C12" s="155"/>
      <c r="D12" s="184" t="s">
        <v>94</v>
      </c>
      <c r="E12" s="144"/>
      <c r="F12" s="64">
        <f>F11/25*100</f>
        <v>170.8</v>
      </c>
      <c r="G12" s="184" t="s">
        <v>95</v>
      </c>
      <c r="H12" s="144"/>
      <c r="I12" s="64">
        <f>I11/25*100</f>
        <v>181.2</v>
      </c>
      <c r="J12" s="152"/>
    </row>
    <row r="13" spans="1:10" ht="13.9" customHeight="1" x14ac:dyDescent="0.25">
      <c r="A13" s="152"/>
      <c r="B13" s="189"/>
      <c r="C13" s="155"/>
      <c r="D13" s="185" t="s">
        <v>37</v>
      </c>
      <c r="E13" s="144"/>
      <c r="F13" s="63">
        <f>AVERAGE(F3:F8)</f>
        <v>4.2080000000000002</v>
      </c>
      <c r="G13" s="63">
        <f>AVERAGE(G3:G8)</f>
        <v>1170051.3333333333</v>
      </c>
      <c r="H13" s="63">
        <f>AVERAGE(H3:H8)</f>
        <v>30.295000000000002</v>
      </c>
      <c r="I13" s="63">
        <f>AVERAGE(I3:I8)</f>
        <v>44.033333333333339</v>
      </c>
      <c r="J13" s="152"/>
    </row>
    <row r="14" spans="1:10" ht="13.9" customHeight="1" x14ac:dyDescent="0.25">
      <c r="A14" s="152"/>
      <c r="B14" s="189"/>
      <c r="C14" s="155"/>
      <c r="D14" s="186" t="s">
        <v>38</v>
      </c>
      <c r="E14" s="144"/>
      <c r="F14" s="63">
        <f>STDEV(F3:F8)</f>
        <v>1.0954451150100495E-3</v>
      </c>
      <c r="G14" s="63">
        <f>STDEV(G3:G8)</f>
        <v>32128.288971974009</v>
      </c>
      <c r="H14" s="63">
        <f>STDEV(H3:H8)</f>
        <v>0.83615190007557771</v>
      </c>
      <c r="I14" s="63">
        <f>STDEV(I3:I8)</f>
        <v>1.23234194388841</v>
      </c>
      <c r="J14" s="152"/>
    </row>
    <row r="15" spans="1:10" ht="13.9" customHeight="1" x14ac:dyDescent="0.25">
      <c r="A15" s="152"/>
      <c r="B15" s="190"/>
      <c r="C15" s="173"/>
      <c r="D15" s="186" t="s">
        <v>39</v>
      </c>
      <c r="E15" s="144"/>
      <c r="F15" s="65">
        <f>F14/F13*100</f>
        <v>2.603244094605631E-2</v>
      </c>
      <c r="G15" s="63">
        <f>G14/G13*100</f>
        <v>2.7458871296222909</v>
      </c>
      <c r="H15" s="63">
        <f>H14/H13*100</f>
        <v>2.7600326789093175</v>
      </c>
      <c r="I15" s="63">
        <f>I14/I13*100</f>
        <v>2.7986569505414303</v>
      </c>
      <c r="J15" s="153"/>
    </row>
    <row r="16" spans="1:10" ht="23.25" customHeight="1" x14ac:dyDescent="0.25">
      <c r="A16" s="152"/>
      <c r="B16" s="181" t="s">
        <v>96</v>
      </c>
      <c r="C16" s="143"/>
      <c r="D16" s="143"/>
      <c r="E16" s="143"/>
      <c r="F16" s="143"/>
      <c r="G16" s="143"/>
      <c r="H16" s="143"/>
      <c r="I16" s="143"/>
      <c r="J16" s="144"/>
    </row>
    <row r="17" spans="1:10" ht="39.75" customHeight="1" x14ac:dyDescent="0.25">
      <c r="A17" s="152"/>
      <c r="B17" s="18" t="s">
        <v>85</v>
      </c>
      <c r="C17" s="18" t="s">
        <v>97</v>
      </c>
      <c r="D17" s="11" t="s">
        <v>65</v>
      </c>
      <c r="E17" s="52" t="s">
        <v>86</v>
      </c>
      <c r="F17" s="53" t="s">
        <v>27</v>
      </c>
      <c r="G17" s="54" t="s">
        <v>28</v>
      </c>
      <c r="H17" s="54" t="s">
        <v>87</v>
      </c>
      <c r="I17" s="54" t="s">
        <v>62</v>
      </c>
      <c r="J17" s="50" t="s">
        <v>88</v>
      </c>
    </row>
    <row r="18" spans="1:10" ht="13.9" customHeight="1" x14ac:dyDescent="0.25">
      <c r="A18" s="152"/>
      <c r="B18" s="55">
        <v>13.74</v>
      </c>
      <c r="C18" s="55">
        <v>0</v>
      </c>
      <c r="D18" s="11">
        <v>1</v>
      </c>
      <c r="E18" s="56">
        <f t="shared" ref="E18:E23" si="3">B18-C18</f>
        <v>13.74</v>
      </c>
      <c r="F18" s="57">
        <v>4.2050000000000001</v>
      </c>
      <c r="G18" s="58">
        <v>766489</v>
      </c>
      <c r="H18" s="59">
        <v>32.590000000000003</v>
      </c>
      <c r="I18" s="60">
        <f t="shared" ref="I18:I23" si="4">ROUND(H18*20/E18,1)</f>
        <v>47.4</v>
      </c>
      <c r="J18" s="50">
        <f t="shared" ref="J18:J23" si="5">I18/25*100</f>
        <v>189.6</v>
      </c>
    </row>
    <row r="19" spans="1:10" ht="13.9" customHeight="1" x14ac:dyDescent="0.25">
      <c r="A19" s="152"/>
      <c r="B19" s="55">
        <v>13.71</v>
      </c>
      <c r="C19" s="55">
        <v>0</v>
      </c>
      <c r="D19" s="11">
        <v>2</v>
      </c>
      <c r="E19" s="56">
        <f t="shared" si="3"/>
        <v>13.71</v>
      </c>
      <c r="F19" s="57">
        <v>4.2069999999999999</v>
      </c>
      <c r="G19" s="58">
        <v>774795</v>
      </c>
      <c r="H19" s="59">
        <v>32.94</v>
      </c>
      <c r="I19" s="60">
        <f t="shared" si="4"/>
        <v>48.1</v>
      </c>
      <c r="J19" s="50">
        <f t="shared" si="5"/>
        <v>192.4</v>
      </c>
    </row>
    <row r="20" spans="1:10" ht="13.9" customHeight="1" x14ac:dyDescent="0.25">
      <c r="A20" s="152"/>
      <c r="B20" s="55">
        <v>13.85</v>
      </c>
      <c r="C20" s="55">
        <v>0.06</v>
      </c>
      <c r="D20" s="11">
        <v>3</v>
      </c>
      <c r="E20" s="56">
        <f t="shared" si="3"/>
        <v>13.79</v>
      </c>
      <c r="F20" s="57">
        <v>4.2039999999999997</v>
      </c>
      <c r="G20" s="58">
        <v>782829</v>
      </c>
      <c r="H20" s="59">
        <v>33.29</v>
      </c>
      <c r="I20" s="60">
        <f t="shared" si="4"/>
        <v>48.3</v>
      </c>
      <c r="J20" s="50">
        <f t="shared" si="5"/>
        <v>193.2</v>
      </c>
    </row>
    <row r="21" spans="1:10" ht="13.9" customHeight="1" x14ac:dyDescent="0.25">
      <c r="A21" s="152"/>
      <c r="B21" s="55">
        <v>13.78</v>
      </c>
      <c r="C21" s="55">
        <v>0</v>
      </c>
      <c r="D21" s="11">
        <v>4</v>
      </c>
      <c r="E21" s="56">
        <f t="shared" si="3"/>
        <v>13.78</v>
      </c>
      <c r="F21" s="57">
        <v>4.2050000000000001</v>
      </c>
      <c r="G21" s="58">
        <v>790962</v>
      </c>
      <c r="H21" s="59">
        <v>33.630000000000003</v>
      </c>
      <c r="I21" s="60">
        <f t="shared" si="4"/>
        <v>48.8</v>
      </c>
      <c r="J21" s="50">
        <f t="shared" si="5"/>
        <v>195.2</v>
      </c>
    </row>
    <row r="22" spans="1:10" ht="13.9" customHeight="1" x14ac:dyDescent="0.25">
      <c r="A22" s="152"/>
      <c r="B22" s="55">
        <v>13.77</v>
      </c>
      <c r="C22" s="55">
        <v>0</v>
      </c>
      <c r="D22" s="11">
        <v>5</v>
      </c>
      <c r="E22" s="56">
        <f t="shared" si="3"/>
        <v>13.77</v>
      </c>
      <c r="F22" s="57">
        <v>4.2060000000000004</v>
      </c>
      <c r="G22" s="58">
        <v>775623</v>
      </c>
      <c r="H22" s="59">
        <v>32.979999999999997</v>
      </c>
      <c r="I22" s="60">
        <f t="shared" si="4"/>
        <v>47.9</v>
      </c>
      <c r="J22" s="50">
        <f t="shared" si="5"/>
        <v>191.6</v>
      </c>
    </row>
    <row r="23" spans="1:10" ht="13.9" customHeight="1" x14ac:dyDescent="0.25">
      <c r="A23" s="152"/>
      <c r="B23" s="55">
        <v>13.68</v>
      </c>
      <c r="C23" s="55">
        <v>0</v>
      </c>
      <c r="D23" s="11">
        <v>6</v>
      </c>
      <c r="E23" s="56">
        <f t="shared" si="3"/>
        <v>13.68</v>
      </c>
      <c r="F23" s="57">
        <v>4.2</v>
      </c>
      <c r="G23" s="58">
        <v>765594</v>
      </c>
      <c r="H23" s="59">
        <v>32.549999999999997</v>
      </c>
      <c r="I23" s="60">
        <f t="shared" si="4"/>
        <v>47.6</v>
      </c>
      <c r="J23" s="50">
        <f t="shared" si="5"/>
        <v>190.4</v>
      </c>
    </row>
    <row r="24" spans="1:10" ht="27" customHeight="1" x14ac:dyDescent="0.25">
      <c r="A24" s="152"/>
      <c r="B24" s="184"/>
      <c r="C24" s="188"/>
      <c r="D24" s="11" t="s">
        <v>35</v>
      </c>
      <c r="E24" s="61" t="s">
        <v>89</v>
      </c>
      <c r="F24" s="62">
        <f>IFERROR(ROUNDUP(F30,1),"")</f>
        <v>0.1</v>
      </c>
      <c r="G24" s="61"/>
      <c r="H24" s="61"/>
      <c r="I24" s="62">
        <f>IFERROR(ROUNDUP(I30,1),"")</f>
        <v>1.1000000000000001</v>
      </c>
      <c r="J24" s="184" t="s">
        <v>98</v>
      </c>
    </row>
    <row r="25" spans="1:10" ht="26.75" customHeight="1" x14ac:dyDescent="0.25">
      <c r="A25" s="152"/>
      <c r="B25" s="189"/>
      <c r="C25" s="155"/>
      <c r="D25" s="11" t="s">
        <v>90</v>
      </c>
      <c r="E25" s="182">
        <f>I24*SQRT(5/_xlfn.CHISQ.INV(0.975,5))</f>
        <v>0.68662880248488101</v>
      </c>
      <c r="F25" s="144"/>
      <c r="G25" s="61" t="s">
        <v>91</v>
      </c>
      <c r="H25" s="182">
        <f>I24*SQRT(5/_xlfn.CHISQ.INV(0.025,5))</f>
        <v>2.6978753874031267</v>
      </c>
      <c r="I25" s="144"/>
      <c r="J25" s="152"/>
    </row>
    <row r="26" spans="1:10" ht="13.9" customHeight="1" x14ac:dyDescent="0.25">
      <c r="A26" s="152"/>
      <c r="B26" s="189"/>
      <c r="C26" s="155"/>
      <c r="D26" s="183" t="s">
        <v>92</v>
      </c>
      <c r="E26" s="144"/>
      <c r="F26" s="63">
        <f>ROUND(AVERAGE(I18:I23)-TINV(0.05,6-1)*STDEV(I18:I23)/SQRT(6),1)</f>
        <v>47.5</v>
      </c>
      <c r="G26" s="183" t="s">
        <v>93</v>
      </c>
      <c r="H26" s="144"/>
      <c r="I26" s="63">
        <f>ROUND(AVERAGE(I18:I23)+TINV(0.05,6-1)*STDEV(I18:I23)/SQRT(6),1)</f>
        <v>48.5</v>
      </c>
      <c r="J26" s="152"/>
    </row>
    <row r="27" spans="1:10" ht="13.9" customHeight="1" x14ac:dyDescent="0.25">
      <c r="A27" s="152"/>
      <c r="B27" s="189"/>
      <c r="C27" s="155"/>
      <c r="D27" s="184" t="s">
        <v>94</v>
      </c>
      <c r="E27" s="144"/>
      <c r="F27" s="64">
        <f>F26/25*100</f>
        <v>190</v>
      </c>
      <c r="G27" s="184" t="s">
        <v>95</v>
      </c>
      <c r="H27" s="144"/>
      <c r="I27" s="64">
        <f>I26/25*100</f>
        <v>194</v>
      </c>
      <c r="J27" s="153"/>
    </row>
    <row r="28" spans="1:10" ht="13.9" customHeight="1" x14ac:dyDescent="0.25">
      <c r="A28" s="152"/>
      <c r="B28" s="189"/>
      <c r="C28" s="155"/>
      <c r="D28" s="185" t="s">
        <v>37</v>
      </c>
      <c r="E28" s="144"/>
      <c r="F28" s="63">
        <f>AVERAGE(F18:F23)</f>
        <v>4.2044999999999995</v>
      </c>
      <c r="G28" s="63">
        <f>AVERAGE(G18:G23)</f>
        <v>776048.66666666663</v>
      </c>
      <c r="H28" s="63">
        <f>AVERAGE(H18:H23)</f>
        <v>32.996666666666663</v>
      </c>
      <c r="I28" s="63">
        <f>AVERAGE(I18:I23)</f>
        <v>48.016666666666673</v>
      </c>
      <c r="J28" s="66">
        <f>AVERAGE(I3:I8,I18:I23)</f>
        <v>46.025000000000006</v>
      </c>
    </row>
    <row r="29" spans="1:10" ht="13.9" customHeight="1" x14ac:dyDescent="0.25">
      <c r="A29" s="152"/>
      <c r="B29" s="189"/>
      <c r="C29" s="155"/>
      <c r="D29" s="186" t="s">
        <v>38</v>
      </c>
      <c r="E29" s="144"/>
      <c r="F29" s="63">
        <f>STDEV(F18:F23)</f>
        <v>2.4289915602981938E-3</v>
      </c>
      <c r="G29" s="63">
        <f>STDEV(G18:G23)</f>
        <v>9703.8197152805078</v>
      </c>
      <c r="H29" s="63">
        <f>STDEV(H18:H23)</f>
        <v>0.41365041601171787</v>
      </c>
      <c r="I29" s="63">
        <f>STDEV(I18:I23)</f>
        <v>0.50365331992022611</v>
      </c>
      <c r="J29" s="67">
        <f>STDEV(I3:I8,I18:I23)</f>
        <v>2.2656024685399996</v>
      </c>
    </row>
    <row r="30" spans="1:10" ht="13.9" customHeight="1" x14ac:dyDescent="0.25">
      <c r="A30" s="152"/>
      <c r="B30" s="190"/>
      <c r="C30" s="173"/>
      <c r="D30" s="186" t="s">
        <v>39</v>
      </c>
      <c r="E30" s="144"/>
      <c r="F30" s="65">
        <f>F29/F28*100</f>
        <v>5.7771234636655823E-2</v>
      </c>
      <c r="G30" s="63">
        <f>G29/G28*100</f>
        <v>1.250413811927668</v>
      </c>
      <c r="H30" s="63">
        <f>H29/H28*100</f>
        <v>1.2536127366755772</v>
      </c>
      <c r="I30" s="63">
        <f>I29/I28*100</f>
        <v>1.048913543742227</v>
      </c>
      <c r="J30" s="67">
        <f>IFERROR(ROUNDUP(J29/J28*100,1),"")</f>
        <v>5</v>
      </c>
    </row>
    <row r="31" spans="1:10" ht="26.75" customHeight="1" x14ac:dyDescent="0.25">
      <c r="A31" s="152"/>
      <c r="B31" s="186" t="s">
        <v>99</v>
      </c>
      <c r="C31" s="188"/>
      <c r="D31" s="191" t="s">
        <v>90</v>
      </c>
      <c r="E31" s="144"/>
      <c r="F31" s="68">
        <f>J30*SQRT(11/_xlfn.CHISQ.INV(0.975,11))</f>
        <v>3.5419757543113288</v>
      </c>
      <c r="G31" s="68" t="s">
        <v>91</v>
      </c>
      <c r="H31" s="191">
        <f>J30*SQRT(11/_xlfn.CHISQ.INV(0.025,11))</f>
        <v>8.4893900886200306</v>
      </c>
      <c r="I31" s="144"/>
      <c r="J31" s="19"/>
    </row>
    <row r="32" spans="1:10" ht="13.9" customHeight="1" x14ac:dyDescent="0.25">
      <c r="A32" s="152"/>
      <c r="B32" s="189"/>
      <c r="C32" s="155"/>
      <c r="D32" s="192" t="s">
        <v>92</v>
      </c>
      <c r="E32" s="144"/>
      <c r="F32" s="63">
        <f>AVERAGE(I3:I8,I18:I23)-TINV(0.05,12-1)*STDEV(I3:I8,I18:I23)/SQRT(12)</f>
        <v>44.585504867948224</v>
      </c>
      <c r="G32" s="192" t="s">
        <v>93</v>
      </c>
      <c r="H32" s="144"/>
      <c r="I32" s="69">
        <f>AVERAGE(I3:I8,I18:I23)+TINV(0.05,12-1)*STDEV(I3:I8,I18:I23)/SQRT(12)</f>
        <v>47.464495132051788</v>
      </c>
      <c r="J32" s="19"/>
    </row>
    <row r="33" spans="1:10" ht="13.9" customHeight="1" x14ac:dyDescent="0.25">
      <c r="A33" s="153"/>
      <c r="B33" s="190"/>
      <c r="C33" s="173"/>
      <c r="D33" s="185" t="s">
        <v>94</v>
      </c>
      <c r="E33" s="144"/>
      <c r="F33" s="65">
        <f>F32/25*100</f>
        <v>178.3420194717929</v>
      </c>
      <c r="G33" s="185" t="s">
        <v>95</v>
      </c>
      <c r="H33" s="144"/>
      <c r="I33" s="65">
        <f>I32/25*100</f>
        <v>189.85798052820715</v>
      </c>
      <c r="J33" s="19"/>
    </row>
    <row r="34" spans="1:10" ht="23.25" customHeight="1" x14ac:dyDescent="0.25">
      <c r="A34" s="51"/>
      <c r="B34" s="181" t="s">
        <v>84</v>
      </c>
      <c r="C34" s="143"/>
      <c r="D34" s="143"/>
      <c r="E34" s="143"/>
      <c r="F34" s="143"/>
      <c r="G34" s="143"/>
      <c r="H34" s="143"/>
      <c r="I34" s="143"/>
      <c r="J34" s="144"/>
    </row>
    <row r="35" spans="1:10" ht="39.75" customHeight="1" x14ac:dyDescent="0.25">
      <c r="A35" s="187" t="s">
        <v>275</v>
      </c>
      <c r="B35" s="18" t="s">
        <v>85</v>
      </c>
      <c r="C35" s="18" t="s">
        <v>85</v>
      </c>
      <c r="D35" s="11" t="s">
        <v>65</v>
      </c>
      <c r="E35" s="52" t="s">
        <v>86</v>
      </c>
      <c r="F35" s="53" t="s">
        <v>27</v>
      </c>
      <c r="G35" s="54" t="s">
        <v>28</v>
      </c>
      <c r="H35" s="54" t="s">
        <v>87</v>
      </c>
      <c r="I35" s="54" t="s">
        <v>62</v>
      </c>
      <c r="J35" s="18" t="s">
        <v>88</v>
      </c>
    </row>
    <row r="36" spans="1:10" ht="13.9" customHeight="1" x14ac:dyDescent="0.25">
      <c r="A36" s="152"/>
      <c r="B36" s="55">
        <v>13.74</v>
      </c>
      <c r="C36" s="55">
        <v>0</v>
      </c>
      <c r="D36" s="11">
        <v>1</v>
      </c>
      <c r="E36" s="56">
        <f t="shared" ref="E36:E99" si="6">B36-C36</f>
        <v>13.74</v>
      </c>
      <c r="F36" s="57">
        <v>5.351</v>
      </c>
      <c r="G36" s="58">
        <v>1178655</v>
      </c>
      <c r="H36" s="59">
        <v>36.01</v>
      </c>
      <c r="I36" s="60">
        <f t="shared" ref="I36:I99" si="7">ROUND(H36*20/E36,1)</f>
        <v>52.4</v>
      </c>
      <c r="J36" s="50">
        <f t="shared" ref="J36:J99" si="8">I36/25*100</f>
        <v>209.60000000000002</v>
      </c>
    </row>
    <row r="37" spans="1:10" ht="13.9" customHeight="1" x14ac:dyDescent="0.25">
      <c r="A37" s="152"/>
      <c r="B37" s="55">
        <v>13.8</v>
      </c>
      <c r="C37" s="55">
        <v>0</v>
      </c>
      <c r="D37" s="11">
        <v>2</v>
      </c>
      <c r="E37" s="56">
        <f t="shared" si="6"/>
        <v>13.8</v>
      </c>
      <c r="F37" s="57">
        <v>5.3540000000000001</v>
      </c>
      <c r="G37" s="58">
        <v>1180869</v>
      </c>
      <c r="H37" s="59">
        <v>36.08</v>
      </c>
      <c r="I37" s="60">
        <f t="shared" si="7"/>
        <v>52.3</v>
      </c>
      <c r="J37" s="50">
        <f t="shared" si="8"/>
        <v>209.20000000000002</v>
      </c>
    </row>
    <row r="38" spans="1:10" ht="13.9" customHeight="1" x14ac:dyDescent="0.25">
      <c r="A38" s="152"/>
      <c r="B38" s="55">
        <v>13.76</v>
      </c>
      <c r="C38" s="55">
        <v>0</v>
      </c>
      <c r="D38" s="11">
        <v>3</v>
      </c>
      <c r="E38" s="56">
        <f t="shared" si="6"/>
        <v>13.76</v>
      </c>
      <c r="F38" s="57">
        <v>5.3520000000000003</v>
      </c>
      <c r="G38" s="58">
        <v>1168061</v>
      </c>
      <c r="H38" s="59">
        <v>35.69</v>
      </c>
      <c r="I38" s="60">
        <f t="shared" si="7"/>
        <v>51.9</v>
      </c>
      <c r="J38" s="50">
        <f t="shared" si="8"/>
        <v>207.6</v>
      </c>
    </row>
    <row r="39" spans="1:10" ht="13.9" customHeight="1" x14ac:dyDescent="0.25">
      <c r="A39" s="152"/>
      <c r="B39" s="55">
        <v>13.8</v>
      </c>
      <c r="C39" s="55">
        <v>0.05</v>
      </c>
      <c r="D39" s="11">
        <v>4</v>
      </c>
      <c r="E39" s="56">
        <f t="shared" si="6"/>
        <v>13.75</v>
      </c>
      <c r="F39" s="57">
        <v>5.3529999999999998</v>
      </c>
      <c r="G39" s="58">
        <v>1186593</v>
      </c>
      <c r="H39" s="59">
        <v>36.25</v>
      </c>
      <c r="I39" s="60">
        <f t="shared" si="7"/>
        <v>52.7</v>
      </c>
      <c r="J39" s="50">
        <f t="shared" si="8"/>
        <v>210.8</v>
      </c>
    </row>
    <row r="40" spans="1:10" ht="13.9" customHeight="1" x14ac:dyDescent="0.25">
      <c r="A40" s="152"/>
      <c r="B40" s="55">
        <v>13.89</v>
      </c>
      <c r="C40" s="55">
        <v>0.05</v>
      </c>
      <c r="D40" s="11">
        <v>5</v>
      </c>
      <c r="E40" s="56">
        <f t="shared" si="6"/>
        <v>13.84</v>
      </c>
      <c r="F40" s="57">
        <v>5.3529999999999998</v>
      </c>
      <c r="G40" s="58">
        <v>1169154</v>
      </c>
      <c r="H40" s="59">
        <v>35.72</v>
      </c>
      <c r="I40" s="60">
        <f t="shared" si="7"/>
        <v>51.6</v>
      </c>
      <c r="J40" s="50">
        <f t="shared" si="8"/>
        <v>206.4</v>
      </c>
    </row>
    <row r="41" spans="1:10" ht="13.9" customHeight="1" x14ac:dyDescent="0.25">
      <c r="A41" s="152"/>
      <c r="B41" s="55">
        <v>13.69</v>
      </c>
      <c r="C41" s="55">
        <v>0</v>
      </c>
      <c r="D41" s="11">
        <v>6</v>
      </c>
      <c r="E41" s="56">
        <f t="shared" si="6"/>
        <v>13.69</v>
      </c>
      <c r="F41" s="57">
        <v>5.3540000000000001</v>
      </c>
      <c r="G41" s="58">
        <v>1184180</v>
      </c>
      <c r="H41" s="59">
        <v>36.18</v>
      </c>
      <c r="I41" s="60">
        <f t="shared" si="7"/>
        <v>52.9</v>
      </c>
      <c r="J41" s="50">
        <f t="shared" si="8"/>
        <v>211.60000000000002</v>
      </c>
    </row>
    <row r="42" spans="1:10" ht="27" customHeight="1" x14ac:dyDescent="0.25">
      <c r="A42" s="152"/>
      <c r="B42" s="184"/>
      <c r="C42" s="188"/>
      <c r="D42" s="11" t="s">
        <v>35</v>
      </c>
      <c r="E42" s="61" t="s">
        <v>89</v>
      </c>
      <c r="F42" s="62">
        <f t="shared" ref="F42" si="9">IFERROR(ROUNDUP(F48,1),"")</f>
        <v>0.1</v>
      </c>
      <c r="G42" s="61" t="s">
        <v>89</v>
      </c>
      <c r="H42" s="61" t="s">
        <v>89</v>
      </c>
      <c r="I42" s="62">
        <f t="shared" ref="I42" si="10">IFERROR(ROUNDUP(I48,1),"")</f>
        <v>1</v>
      </c>
      <c r="J42" s="184"/>
    </row>
    <row r="43" spans="1:10" ht="26.75" customHeight="1" x14ac:dyDescent="0.25">
      <c r="A43" s="152"/>
      <c r="B43" s="189"/>
      <c r="C43" s="155"/>
      <c r="D43" s="11" t="s">
        <v>90</v>
      </c>
      <c r="E43" s="182">
        <f t="shared" ref="E43:E74" si="11">I42*SQRT(5/_xlfn.CHISQ.INV(0.975,5))</f>
        <v>0.62420800225898265</v>
      </c>
      <c r="F43" s="144"/>
      <c r="G43" s="61" t="s">
        <v>91</v>
      </c>
      <c r="H43" s="182">
        <f t="shared" ref="H43:H74" si="12">I42*SQRT(5/_xlfn.CHISQ.INV(0.025,5))</f>
        <v>2.4526139885482969</v>
      </c>
      <c r="I43" s="144"/>
      <c r="J43" s="152"/>
    </row>
    <row r="44" spans="1:10" ht="13.9" customHeight="1" x14ac:dyDescent="0.25">
      <c r="A44" s="152"/>
      <c r="B44" s="189"/>
      <c r="C44" s="155"/>
      <c r="D44" s="183" t="s">
        <v>92</v>
      </c>
      <c r="E44" s="144"/>
      <c r="F44" s="63">
        <f t="shared" ref="F44" si="13">ROUND(AVERAGE(I36:I41)-TINV(0.05,6-1)*STDEV(I36:I41)/SQRT(6),1)</f>
        <v>51.8</v>
      </c>
      <c r="G44" s="183" t="s">
        <v>93</v>
      </c>
      <c r="H44" s="144"/>
      <c r="I44" s="63">
        <f t="shared" ref="I44" si="14">ROUND(AVERAGE(I36:I41)+TINV(0.05,6-1)*STDEV(I36:I41)/SQRT(6),1)</f>
        <v>52.8</v>
      </c>
      <c r="J44" s="152"/>
    </row>
    <row r="45" spans="1:10" ht="13.9" customHeight="1" x14ac:dyDescent="0.25">
      <c r="A45" s="152"/>
      <c r="B45" s="189"/>
      <c r="C45" s="155"/>
      <c r="D45" s="184" t="s">
        <v>94</v>
      </c>
      <c r="E45" s="144"/>
      <c r="F45" s="64">
        <f t="shared" ref="F45:F76" si="15">F44/25*100</f>
        <v>207.20000000000002</v>
      </c>
      <c r="G45" s="184" t="s">
        <v>95</v>
      </c>
      <c r="H45" s="144"/>
      <c r="I45" s="64">
        <f t="shared" ref="I45:I76" si="16">I44/25*100</f>
        <v>211.20000000000002</v>
      </c>
      <c r="J45" s="152"/>
    </row>
    <row r="46" spans="1:10" ht="13.9" customHeight="1" x14ac:dyDescent="0.25">
      <c r="A46" s="152"/>
      <c r="B46" s="189"/>
      <c r="C46" s="155"/>
      <c r="D46" s="185" t="s">
        <v>37</v>
      </c>
      <c r="E46" s="144"/>
      <c r="F46" s="63">
        <f t="shared" ref="F46:I46" si="17">AVERAGE(F36:F41)</f>
        <v>5.3528333333333338</v>
      </c>
      <c r="G46" s="63">
        <f t="shared" si="17"/>
        <v>1177918.6666666667</v>
      </c>
      <c r="H46" s="63">
        <f t="shared" si="17"/>
        <v>35.988333333333337</v>
      </c>
      <c r="I46" s="63">
        <f t="shared" si="17"/>
        <v>52.300000000000004</v>
      </c>
      <c r="J46" s="152"/>
    </row>
    <row r="47" spans="1:10" ht="13.9" customHeight="1" x14ac:dyDescent="0.25">
      <c r="A47" s="152"/>
      <c r="B47" s="189"/>
      <c r="C47" s="155"/>
      <c r="D47" s="186" t="s">
        <v>38</v>
      </c>
      <c r="E47" s="144"/>
      <c r="F47" s="63">
        <f t="shared" ref="F47:I47" si="18">STDEV(F36:F41)</f>
        <v>1.1690451944499974E-3</v>
      </c>
      <c r="G47" s="63">
        <f t="shared" si="18"/>
        <v>7716.0609294293854</v>
      </c>
      <c r="H47" s="63">
        <f t="shared" si="18"/>
        <v>0.23455631875237759</v>
      </c>
      <c r="I47" s="63">
        <f t="shared" si="18"/>
        <v>0.48579831205964469</v>
      </c>
      <c r="J47" s="152"/>
    </row>
    <row r="48" spans="1:10" ht="13.9" customHeight="1" x14ac:dyDescent="0.25">
      <c r="A48" s="152"/>
      <c r="B48" s="190"/>
      <c r="C48" s="173"/>
      <c r="D48" s="186" t="s">
        <v>39</v>
      </c>
      <c r="E48" s="144"/>
      <c r="F48" s="65">
        <f t="shared" ref="F48:I48" si="19">F47/F46*100</f>
        <v>2.183974582526383E-2</v>
      </c>
      <c r="G48" s="63">
        <f t="shared" si="19"/>
        <v>0.65505888885050789</v>
      </c>
      <c r="H48" s="63">
        <f t="shared" si="19"/>
        <v>0.65175654726729282</v>
      </c>
      <c r="I48" s="63">
        <f t="shared" si="19"/>
        <v>0.92886866550601266</v>
      </c>
      <c r="J48" s="153"/>
    </row>
    <row r="49" spans="1:10" ht="23.25" customHeight="1" x14ac:dyDescent="0.25">
      <c r="A49" s="152"/>
      <c r="B49" s="181" t="s">
        <v>96</v>
      </c>
      <c r="C49" s="143"/>
      <c r="D49" s="143"/>
      <c r="E49" s="143"/>
      <c r="F49" s="143"/>
      <c r="G49" s="143"/>
      <c r="H49" s="143"/>
      <c r="I49" s="143"/>
      <c r="J49" s="144"/>
    </row>
    <row r="50" spans="1:10" ht="39.75" customHeight="1" x14ac:dyDescent="0.25">
      <c r="A50" s="152"/>
      <c r="B50" s="18" t="s">
        <v>85</v>
      </c>
      <c r="C50" s="18" t="s">
        <v>97</v>
      </c>
      <c r="D50" s="11" t="s">
        <v>65</v>
      </c>
      <c r="E50" s="52" t="s">
        <v>86</v>
      </c>
      <c r="F50" s="53" t="s">
        <v>27</v>
      </c>
      <c r="G50" s="54" t="s">
        <v>28</v>
      </c>
      <c r="H50" s="54" t="s">
        <v>87</v>
      </c>
      <c r="I50" s="54" t="s">
        <v>62</v>
      </c>
      <c r="J50" s="50" t="s">
        <v>88</v>
      </c>
    </row>
    <row r="51" spans="1:10" ht="13.9" customHeight="1" x14ac:dyDescent="0.25">
      <c r="A51" s="152"/>
      <c r="B51" s="55">
        <v>13.74</v>
      </c>
      <c r="C51" s="55">
        <v>0</v>
      </c>
      <c r="D51" s="11">
        <v>1</v>
      </c>
      <c r="E51" s="56">
        <f t="shared" ref="E51:E99" si="20">B51-C51</f>
        <v>13.74</v>
      </c>
      <c r="F51" s="57">
        <v>5.3490000000000002</v>
      </c>
      <c r="G51" s="58">
        <v>990491</v>
      </c>
      <c r="H51" s="59">
        <v>37.200000000000003</v>
      </c>
      <c r="I51" s="60">
        <f t="shared" ref="I51:I99" si="21">ROUND(H51*20/E51,1)</f>
        <v>54.1</v>
      </c>
      <c r="J51" s="50">
        <f t="shared" ref="J51:J99" si="22">I51/25*100</f>
        <v>216.4</v>
      </c>
    </row>
    <row r="52" spans="1:10" ht="13.9" customHeight="1" x14ac:dyDescent="0.25">
      <c r="A52" s="152"/>
      <c r="B52" s="55">
        <v>13.71</v>
      </c>
      <c r="C52" s="55">
        <v>0</v>
      </c>
      <c r="D52" s="11">
        <v>2</v>
      </c>
      <c r="E52" s="56">
        <f t="shared" si="20"/>
        <v>13.71</v>
      </c>
      <c r="F52" s="57">
        <v>5.3520000000000003</v>
      </c>
      <c r="G52" s="58">
        <v>1006678</v>
      </c>
      <c r="H52" s="59">
        <v>37.81</v>
      </c>
      <c r="I52" s="60">
        <f t="shared" si="21"/>
        <v>55.2</v>
      </c>
      <c r="J52" s="50">
        <f t="shared" si="22"/>
        <v>220.8</v>
      </c>
    </row>
    <row r="53" spans="1:10" ht="13.9" customHeight="1" x14ac:dyDescent="0.25">
      <c r="A53" s="152"/>
      <c r="B53" s="55">
        <v>13.85</v>
      </c>
      <c r="C53" s="55">
        <v>0.06</v>
      </c>
      <c r="D53" s="11">
        <v>3</v>
      </c>
      <c r="E53" s="56">
        <f t="shared" si="20"/>
        <v>13.79</v>
      </c>
      <c r="F53" s="57">
        <v>5.3440000000000003</v>
      </c>
      <c r="G53" s="58">
        <v>1001642</v>
      </c>
      <c r="H53" s="59">
        <v>37.619999999999997</v>
      </c>
      <c r="I53" s="60">
        <f t="shared" si="21"/>
        <v>54.6</v>
      </c>
      <c r="J53" s="50">
        <f t="shared" si="22"/>
        <v>218.4</v>
      </c>
    </row>
    <row r="54" spans="1:10" ht="13.9" customHeight="1" x14ac:dyDescent="0.25">
      <c r="A54" s="152"/>
      <c r="B54" s="55">
        <v>13.78</v>
      </c>
      <c r="C54" s="55">
        <v>0</v>
      </c>
      <c r="D54" s="11">
        <v>4</v>
      </c>
      <c r="E54" s="56">
        <f t="shared" si="20"/>
        <v>13.78</v>
      </c>
      <c r="F54" s="57">
        <v>5.3479999999999999</v>
      </c>
      <c r="G54" s="58">
        <v>981588</v>
      </c>
      <c r="H54" s="59">
        <v>36.869999999999997</v>
      </c>
      <c r="I54" s="60">
        <f t="shared" si="21"/>
        <v>53.5</v>
      </c>
      <c r="J54" s="50">
        <f t="shared" si="22"/>
        <v>214</v>
      </c>
    </row>
    <row r="55" spans="1:10" ht="13.9" customHeight="1" x14ac:dyDescent="0.25">
      <c r="A55" s="152"/>
      <c r="B55" s="55">
        <v>13.77</v>
      </c>
      <c r="C55" s="55">
        <v>0</v>
      </c>
      <c r="D55" s="11">
        <v>5</v>
      </c>
      <c r="E55" s="56">
        <f t="shared" si="20"/>
        <v>13.77</v>
      </c>
      <c r="F55" s="57">
        <v>5.3449999999999998</v>
      </c>
      <c r="G55" s="58">
        <v>990061</v>
      </c>
      <c r="H55" s="59">
        <v>37.19</v>
      </c>
      <c r="I55" s="60">
        <f t="shared" si="21"/>
        <v>54</v>
      </c>
      <c r="J55" s="50">
        <f t="shared" si="22"/>
        <v>216</v>
      </c>
    </row>
    <row r="56" spans="1:10" ht="13.9" customHeight="1" x14ac:dyDescent="0.25">
      <c r="A56" s="152"/>
      <c r="B56" s="55">
        <v>13.68</v>
      </c>
      <c r="C56" s="55">
        <v>0</v>
      </c>
      <c r="D56" s="11">
        <v>6</v>
      </c>
      <c r="E56" s="56">
        <f t="shared" si="20"/>
        <v>13.68</v>
      </c>
      <c r="F56" s="57">
        <v>5.34</v>
      </c>
      <c r="G56" s="58">
        <v>999414</v>
      </c>
      <c r="H56" s="59">
        <v>37.54</v>
      </c>
      <c r="I56" s="60">
        <f t="shared" si="21"/>
        <v>54.9</v>
      </c>
      <c r="J56" s="50">
        <f t="shared" si="22"/>
        <v>219.59999999999997</v>
      </c>
    </row>
    <row r="57" spans="1:10" ht="27" customHeight="1" x14ac:dyDescent="0.25">
      <c r="A57" s="152"/>
      <c r="B57" s="184"/>
      <c r="C57" s="188"/>
      <c r="D57" s="11" t="s">
        <v>35</v>
      </c>
      <c r="E57" s="61" t="s">
        <v>89</v>
      </c>
      <c r="F57" s="62">
        <f t="shared" ref="F57" si="23">IFERROR(ROUNDUP(F63,1),"")</f>
        <v>0.1</v>
      </c>
      <c r="G57" s="61"/>
      <c r="H57" s="61"/>
      <c r="I57" s="62">
        <f t="shared" ref="I57" si="24">IFERROR(ROUNDUP(I63,1),"")</f>
        <v>1.2000000000000002</v>
      </c>
      <c r="J57" s="184" t="s">
        <v>98</v>
      </c>
    </row>
    <row r="58" spans="1:10" ht="26.75" customHeight="1" x14ac:dyDescent="0.25">
      <c r="A58" s="152"/>
      <c r="B58" s="189"/>
      <c r="C58" s="155"/>
      <c r="D58" s="11" t="s">
        <v>90</v>
      </c>
      <c r="E58" s="182">
        <f t="shared" ref="E58:E99" si="25">I57*SQRT(5/_xlfn.CHISQ.INV(0.975,5))</f>
        <v>0.74904960271077925</v>
      </c>
      <c r="F58" s="144"/>
      <c r="G58" s="61" t="s">
        <v>91</v>
      </c>
      <c r="H58" s="182">
        <f t="shared" ref="H58:H99" si="26">I57*SQRT(5/_xlfn.CHISQ.INV(0.025,5))</f>
        <v>2.9431367862579569</v>
      </c>
      <c r="I58" s="144"/>
      <c r="J58" s="152"/>
    </row>
    <row r="59" spans="1:10" ht="13.9" customHeight="1" x14ac:dyDescent="0.25">
      <c r="A59" s="152"/>
      <c r="B59" s="189"/>
      <c r="C59" s="155"/>
      <c r="D59" s="183" t="s">
        <v>92</v>
      </c>
      <c r="E59" s="144"/>
      <c r="F59" s="63">
        <f t="shared" ref="F59" si="27">ROUND(AVERAGE(I51:I56)-TINV(0.05,6-1)*STDEV(I51:I56)/SQRT(6),1)</f>
        <v>53.7</v>
      </c>
      <c r="G59" s="183" t="s">
        <v>93</v>
      </c>
      <c r="H59" s="144"/>
      <c r="I59" s="63">
        <f t="shared" ref="I59" si="28">ROUND(AVERAGE(I51:I56)+TINV(0.05,6-1)*STDEV(I51:I56)/SQRT(6),1)</f>
        <v>55</v>
      </c>
      <c r="J59" s="152"/>
    </row>
    <row r="60" spans="1:10" ht="13.9" customHeight="1" x14ac:dyDescent="0.25">
      <c r="A60" s="152"/>
      <c r="B60" s="189"/>
      <c r="C60" s="155"/>
      <c r="D60" s="184" t="s">
        <v>94</v>
      </c>
      <c r="E60" s="144"/>
      <c r="F60" s="64">
        <f t="shared" ref="F60:F99" si="29">F59/25*100</f>
        <v>214.8</v>
      </c>
      <c r="G60" s="184" t="s">
        <v>95</v>
      </c>
      <c r="H60" s="144"/>
      <c r="I60" s="64">
        <f t="shared" ref="I60:I99" si="30">I59/25*100</f>
        <v>220.00000000000003</v>
      </c>
      <c r="J60" s="153"/>
    </row>
    <row r="61" spans="1:10" ht="13.9" customHeight="1" x14ac:dyDescent="0.25">
      <c r="A61" s="152"/>
      <c r="B61" s="189"/>
      <c r="C61" s="155"/>
      <c r="D61" s="185" t="s">
        <v>37</v>
      </c>
      <c r="E61" s="144"/>
      <c r="F61" s="63">
        <f t="shared" ref="F61:I61" si="31">AVERAGE(F51:F56)</f>
        <v>5.3463333333333338</v>
      </c>
      <c r="G61" s="63">
        <f t="shared" si="31"/>
        <v>994979</v>
      </c>
      <c r="H61" s="63">
        <f t="shared" si="31"/>
        <v>37.371666666666663</v>
      </c>
      <c r="I61" s="63">
        <f t="shared" si="31"/>
        <v>54.383333333333326</v>
      </c>
      <c r="J61" s="66">
        <f t="shared" ref="J61" si="32">AVERAGE(I36:I41,I51:I56)</f>
        <v>53.341666666666669</v>
      </c>
    </row>
    <row r="62" spans="1:10" ht="13.9" customHeight="1" x14ac:dyDescent="0.25">
      <c r="A62" s="152"/>
      <c r="B62" s="189"/>
      <c r="C62" s="155"/>
      <c r="D62" s="186" t="s">
        <v>38</v>
      </c>
      <c r="E62" s="144"/>
      <c r="F62" s="63">
        <f t="shared" ref="F62:I62" si="33">STDEV(F51:F56)</f>
        <v>4.2268979957727519E-3</v>
      </c>
      <c r="G62" s="63">
        <f t="shared" si="33"/>
        <v>9214.9785024165958</v>
      </c>
      <c r="H62" s="63">
        <f t="shared" si="33"/>
        <v>0.34533558557824195</v>
      </c>
      <c r="I62" s="63">
        <f t="shared" si="33"/>
        <v>0.63060817205826569</v>
      </c>
      <c r="J62" s="67">
        <f t="shared" ref="J62" si="34">STDEV(I36:I41,I51:I56)</f>
        <v>1.2131539161386018</v>
      </c>
    </row>
    <row r="63" spans="1:10" ht="13.9" customHeight="1" x14ac:dyDescent="0.25">
      <c r="A63" s="152"/>
      <c r="B63" s="190"/>
      <c r="C63" s="173"/>
      <c r="D63" s="186" t="s">
        <v>39</v>
      </c>
      <c r="E63" s="144"/>
      <c r="F63" s="65">
        <f t="shared" ref="F63:I63" si="35">F62/F61*100</f>
        <v>7.906162471050722E-2</v>
      </c>
      <c r="G63" s="63">
        <f t="shared" si="35"/>
        <v>0.92614803954823122</v>
      </c>
      <c r="H63" s="63">
        <f t="shared" si="35"/>
        <v>0.9240572240420335</v>
      </c>
      <c r="I63" s="63">
        <f t="shared" si="35"/>
        <v>1.1595614564356711</v>
      </c>
      <c r="J63" s="67">
        <f t="shared" ref="J63" si="36">IFERROR(ROUNDUP(J62/J61*100,1),"")</f>
        <v>2.3000000000000003</v>
      </c>
    </row>
    <row r="64" spans="1:10" ht="26.75" customHeight="1" x14ac:dyDescent="0.25">
      <c r="A64" s="152"/>
      <c r="B64" s="186" t="s">
        <v>99</v>
      </c>
      <c r="C64" s="188"/>
      <c r="D64" s="191" t="s">
        <v>90</v>
      </c>
      <c r="E64" s="144"/>
      <c r="F64" s="68">
        <f t="shared" ref="F64:F99" si="37">J63*SQRT(11/_xlfn.CHISQ.INV(0.975,11))</f>
        <v>1.6293088469832115</v>
      </c>
      <c r="G64" s="68" t="s">
        <v>91</v>
      </c>
      <c r="H64" s="191">
        <f t="shared" ref="H64:H99" si="38">J63*SQRT(11/_xlfn.CHISQ.INV(0.025,11))</f>
        <v>3.905119440765215</v>
      </c>
      <c r="I64" s="144"/>
      <c r="J64" s="19"/>
    </row>
    <row r="65" spans="1:10" ht="13.9" customHeight="1" x14ac:dyDescent="0.25">
      <c r="A65" s="152"/>
      <c r="B65" s="189"/>
      <c r="C65" s="155"/>
      <c r="D65" s="192" t="s">
        <v>92</v>
      </c>
      <c r="E65" s="144"/>
      <c r="F65" s="63">
        <f t="shared" ref="F65" si="39">AVERAGE(I36:I41,I51:I56)-TINV(0.05,12-1)*STDEV(I36:I41,I51:I56)/SQRT(12)</f>
        <v>52.570865442285744</v>
      </c>
      <c r="G65" s="192" t="s">
        <v>93</v>
      </c>
      <c r="H65" s="144"/>
      <c r="I65" s="69">
        <f t="shared" ref="I65" si="40">AVERAGE(I36:I41,I51:I56)+TINV(0.05,12-1)*STDEV(I36:I41,I51:I56)/SQRT(12)</f>
        <v>54.112467891047594</v>
      </c>
      <c r="J65" s="19"/>
    </row>
    <row r="66" spans="1:10" ht="13.9" customHeight="1" x14ac:dyDescent="0.25">
      <c r="A66" s="153"/>
      <c r="B66" s="190"/>
      <c r="C66" s="173"/>
      <c r="D66" s="185" t="s">
        <v>94</v>
      </c>
      <c r="E66" s="144"/>
      <c r="F66" s="65">
        <f t="shared" ref="F66:F99" si="41">F65/25*100</f>
        <v>210.28346176914297</v>
      </c>
      <c r="G66" s="185" t="s">
        <v>95</v>
      </c>
      <c r="H66" s="144"/>
      <c r="I66" s="65">
        <f t="shared" ref="I66:I99" si="42">I65/25*100</f>
        <v>216.44987156419035</v>
      </c>
      <c r="J66" s="19"/>
    </row>
    <row r="67" spans="1:10" ht="23.25" customHeight="1" x14ac:dyDescent="0.25">
      <c r="A67" s="51"/>
      <c r="B67" s="181" t="s">
        <v>84</v>
      </c>
      <c r="C67" s="143"/>
      <c r="D67" s="143"/>
      <c r="E67" s="143"/>
      <c r="F67" s="143"/>
      <c r="G67" s="143"/>
      <c r="H67" s="143"/>
      <c r="I67" s="143"/>
      <c r="J67" s="144"/>
    </row>
    <row r="68" spans="1:10" ht="39.75" customHeight="1" x14ac:dyDescent="0.25">
      <c r="A68" s="187" t="s">
        <v>276</v>
      </c>
      <c r="B68" s="18" t="s">
        <v>85</v>
      </c>
      <c r="C68" s="18" t="s">
        <v>85</v>
      </c>
      <c r="D68" s="11" t="s">
        <v>65</v>
      </c>
      <c r="E68" s="52" t="s">
        <v>86</v>
      </c>
      <c r="F68" s="53" t="s">
        <v>27</v>
      </c>
      <c r="G68" s="54" t="s">
        <v>28</v>
      </c>
      <c r="H68" s="54" t="s">
        <v>87</v>
      </c>
      <c r="I68" s="54" t="s">
        <v>62</v>
      </c>
      <c r="J68" s="18" t="s">
        <v>88</v>
      </c>
    </row>
    <row r="69" spans="1:10" ht="13.9" customHeight="1" x14ac:dyDescent="0.25">
      <c r="A69" s="152"/>
      <c r="B69" s="55">
        <v>13.74</v>
      </c>
      <c r="C69" s="55">
        <v>0</v>
      </c>
      <c r="D69" s="11">
        <v>1</v>
      </c>
      <c r="E69" s="56">
        <f t="shared" ref="E69:E99" si="43">B69-C69</f>
        <v>13.74</v>
      </c>
      <c r="F69" s="57">
        <v>7.726</v>
      </c>
      <c r="G69" s="58">
        <v>2132887</v>
      </c>
      <c r="H69" s="59">
        <v>37.53</v>
      </c>
      <c r="I69" s="60">
        <f t="shared" ref="I69:I99" si="44">ROUND(H69*20/E69,1)</f>
        <v>54.6</v>
      </c>
      <c r="J69" s="50">
        <f t="shared" ref="J69:J99" si="45">I69/25*100</f>
        <v>218.4</v>
      </c>
    </row>
    <row r="70" spans="1:10" ht="13.9" customHeight="1" x14ac:dyDescent="0.25">
      <c r="A70" s="152"/>
      <c r="B70" s="55">
        <v>13.8</v>
      </c>
      <c r="C70" s="55">
        <v>0</v>
      </c>
      <c r="D70" s="11">
        <v>2</v>
      </c>
      <c r="E70" s="56">
        <f t="shared" si="43"/>
        <v>13.8</v>
      </c>
      <c r="F70" s="57">
        <v>7.73</v>
      </c>
      <c r="G70" s="58">
        <v>2096780</v>
      </c>
      <c r="H70" s="59">
        <v>36.89</v>
      </c>
      <c r="I70" s="60">
        <f t="shared" si="44"/>
        <v>53.5</v>
      </c>
      <c r="J70" s="50">
        <f t="shared" si="45"/>
        <v>214</v>
      </c>
    </row>
    <row r="71" spans="1:10" ht="13.9" customHeight="1" x14ac:dyDescent="0.25">
      <c r="A71" s="152"/>
      <c r="B71" s="55">
        <v>13.76</v>
      </c>
      <c r="C71" s="55">
        <v>0</v>
      </c>
      <c r="D71" s="11">
        <v>3</v>
      </c>
      <c r="E71" s="56">
        <f t="shared" si="43"/>
        <v>13.76</v>
      </c>
      <c r="F71" s="57">
        <v>7.7359999999999998</v>
      </c>
      <c r="G71" s="58">
        <v>2093264</v>
      </c>
      <c r="H71" s="59">
        <v>36.83</v>
      </c>
      <c r="I71" s="60">
        <f t="shared" si="44"/>
        <v>53.5</v>
      </c>
      <c r="J71" s="50">
        <f t="shared" si="45"/>
        <v>214</v>
      </c>
    </row>
    <row r="72" spans="1:10" ht="13.9" customHeight="1" x14ac:dyDescent="0.25">
      <c r="A72" s="152"/>
      <c r="B72" s="55">
        <v>13.8</v>
      </c>
      <c r="C72" s="55">
        <v>0.05</v>
      </c>
      <c r="D72" s="11">
        <v>4</v>
      </c>
      <c r="E72" s="56">
        <f t="shared" si="43"/>
        <v>13.75</v>
      </c>
      <c r="F72" s="57">
        <v>7.7350000000000003</v>
      </c>
      <c r="G72" s="58">
        <v>2101937</v>
      </c>
      <c r="H72" s="59">
        <v>36.979999999999997</v>
      </c>
      <c r="I72" s="60">
        <f t="shared" si="44"/>
        <v>53.8</v>
      </c>
      <c r="J72" s="50">
        <f t="shared" si="45"/>
        <v>215.19999999999996</v>
      </c>
    </row>
    <row r="73" spans="1:10" ht="13.9" customHeight="1" x14ac:dyDescent="0.25">
      <c r="A73" s="152"/>
      <c r="B73" s="55">
        <v>13.89</v>
      </c>
      <c r="C73" s="55">
        <v>0.05</v>
      </c>
      <c r="D73" s="11">
        <v>5</v>
      </c>
      <c r="E73" s="56">
        <f t="shared" si="43"/>
        <v>13.84</v>
      </c>
      <c r="F73" s="57">
        <v>7.7380000000000004</v>
      </c>
      <c r="G73" s="58">
        <v>2118744</v>
      </c>
      <c r="H73" s="59">
        <v>37.28</v>
      </c>
      <c r="I73" s="60">
        <f t="shared" si="44"/>
        <v>53.9</v>
      </c>
      <c r="J73" s="50">
        <f t="shared" si="45"/>
        <v>215.60000000000002</v>
      </c>
    </row>
    <row r="74" spans="1:10" ht="13.9" customHeight="1" x14ac:dyDescent="0.25">
      <c r="A74" s="152"/>
      <c r="B74" s="55">
        <v>13.69</v>
      </c>
      <c r="C74" s="55">
        <v>0</v>
      </c>
      <c r="D74" s="11">
        <v>6</v>
      </c>
      <c r="E74" s="56">
        <f t="shared" si="43"/>
        <v>13.69</v>
      </c>
      <c r="F74" s="57">
        <v>7.7389999999999999</v>
      </c>
      <c r="G74" s="58">
        <v>2093530</v>
      </c>
      <c r="H74" s="59">
        <v>36.83</v>
      </c>
      <c r="I74" s="60">
        <f t="shared" si="44"/>
        <v>53.8</v>
      </c>
      <c r="J74" s="50">
        <f t="shared" si="45"/>
        <v>215.19999999999996</v>
      </c>
    </row>
    <row r="75" spans="1:10" ht="27" customHeight="1" x14ac:dyDescent="0.25">
      <c r="A75" s="152"/>
      <c r="B75" s="184"/>
      <c r="C75" s="188"/>
      <c r="D75" s="11" t="s">
        <v>35</v>
      </c>
      <c r="E75" s="61" t="s">
        <v>89</v>
      </c>
      <c r="F75" s="62">
        <f t="shared" ref="F75" si="46">IFERROR(ROUNDUP(F81,1),"")</f>
        <v>0.1</v>
      </c>
      <c r="G75" s="61" t="s">
        <v>89</v>
      </c>
      <c r="H75" s="61" t="s">
        <v>89</v>
      </c>
      <c r="I75" s="62">
        <f t="shared" ref="I75" si="47">IFERROR(ROUNDUP(I81,1),"")</f>
        <v>0.79999999999999993</v>
      </c>
      <c r="J75" s="184"/>
    </row>
    <row r="76" spans="1:10" ht="26.75" customHeight="1" x14ac:dyDescent="0.25">
      <c r="A76" s="152"/>
      <c r="B76" s="189"/>
      <c r="C76" s="155"/>
      <c r="D76" s="11" t="s">
        <v>90</v>
      </c>
      <c r="E76" s="182">
        <f t="shared" ref="E76:E99" si="48">I75*SQRT(5/_xlfn.CHISQ.INV(0.975,5))</f>
        <v>0.49936640180718606</v>
      </c>
      <c r="F76" s="144"/>
      <c r="G76" s="61" t="s">
        <v>91</v>
      </c>
      <c r="H76" s="182">
        <f t="shared" ref="H76:H99" si="49">I75*SQRT(5/_xlfn.CHISQ.INV(0.025,5))</f>
        <v>1.9620911908386374</v>
      </c>
      <c r="I76" s="144"/>
      <c r="J76" s="152"/>
    </row>
    <row r="77" spans="1:10" ht="13.9" customHeight="1" x14ac:dyDescent="0.25">
      <c r="A77" s="152"/>
      <c r="B77" s="189"/>
      <c r="C77" s="155"/>
      <c r="D77" s="183" t="s">
        <v>92</v>
      </c>
      <c r="E77" s="144"/>
      <c r="F77" s="63">
        <f t="shared" ref="F77" si="50">ROUND(AVERAGE(I69:I74)-TINV(0.05,6-1)*STDEV(I69:I74)/SQRT(6),1)</f>
        <v>53.4</v>
      </c>
      <c r="G77" s="183" t="s">
        <v>93</v>
      </c>
      <c r="H77" s="144"/>
      <c r="I77" s="63">
        <f t="shared" ref="I77" si="51">ROUND(AVERAGE(I69:I74)+TINV(0.05,6-1)*STDEV(I69:I74)/SQRT(6),1)</f>
        <v>54.3</v>
      </c>
      <c r="J77" s="152"/>
    </row>
    <row r="78" spans="1:10" ht="13.9" customHeight="1" x14ac:dyDescent="0.25">
      <c r="A78" s="152"/>
      <c r="B78" s="189"/>
      <c r="C78" s="155"/>
      <c r="D78" s="184" t="s">
        <v>94</v>
      </c>
      <c r="E78" s="144"/>
      <c r="F78" s="64">
        <f t="shared" ref="F78:F99" si="52">F77/25*100</f>
        <v>213.60000000000002</v>
      </c>
      <c r="G78" s="184" t="s">
        <v>95</v>
      </c>
      <c r="H78" s="144"/>
      <c r="I78" s="64">
        <f t="shared" ref="I78:I99" si="53">I77/25*100</f>
        <v>217.19999999999996</v>
      </c>
      <c r="J78" s="152"/>
    </row>
    <row r="79" spans="1:10" ht="13.9" customHeight="1" x14ac:dyDescent="0.25">
      <c r="A79" s="152"/>
      <c r="B79" s="189"/>
      <c r="C79" s="155"/>
      <c r="D79" s="185" t="s">
        <v>37</v>
      </c>
      <c r="E79" s="144"/>
      <c r="F79" s="63">
        <f t="shared" ref="F79:I79" si="54">AVERAGE(F69:F74)</f>
        <v>7.7339999999999991</v>
      </c>
      <c r="G79" s="63">
        <f t="shared" si="54"/>
        <v>2106190.3333333335</v>
      </c>
      <c r="H79" s="63">
        <f t="shared" si="54"/>
        <v>37.056666666666665</v>
      </c>
      <c r="I79" s="63">
        <f t="shared" si="54"/>
        <v>53.849999999999994</v>
      </c>
      <c r="J79" s="152"/>
    </row>
    <row r="80" spans="1:10" ht="13.9" customHeight="1" x14ac:dyDescent="0.25">
      <c r="A80" s="152"/>
      <c r="B80" s="189"/>
      <c r="C80" s="155"/>
      <c r="D80" s="186" t="s">
        <v>38</v>
      </c>
      <c r="E80" s="144"/>
      <c r="F80" s="63">
        <f t="shared" ref="F80:I80" si="55">STDEV(F69:F74)</f>
        <v>5.0199601592044313E-3</v>
      </c>
      <c r="G80" s="63">
        <f t="shared" si="55"/>
        <v>16151.321365964664</v>
      </c>
      <c r="H80" s="63">
        <f t="shared" si="55"/>
        <v>0.28647280266487318</v>
      </c>
      <c r="I80" s="63">
        <f t="shared" si="55"/>
        <v>0.40373258476372764</v>
      </c>
      <c r="J80" s="152"/>
    </row>
    <row r="81" spans="1:10" ht="13.9" customHeight="1" x14ac:dyDescent="0.25">
      <c r="A81" s="152"/>
      <c r="B81" s="190"/>
      <c r="C81" s="173"/>
      <c r="D81" s="186" t="s">
        <v>39</v>
      </c>
      <c r="E81" s="144"/>
      <c r="F81" s="65">
        <f t="shared" ref="F81:I81" si="56">F80/F79*100</f>
        <v>6.4907682430882227E-2</v>
      </c>
      <c r="G81" s="63">
        <f t="shared" si="56"/>
        <v>0.76685003773628546</v>
      </c>
      <c r="H81" s="63">
        <f t="shared" si="56"/>
        <v>0.77306684176902007</v>
      </c>
      <c r="I81" s="63">
        <f t="shared" si="56"/>
        <v>0.74973553345167632</v>
      </c>
      <c r="J81" s="153"/>
    </row>
    <row r="82" spans="1:10" ht="23.25" customHeight="1" x14ac:dyDescent="0.25">
      <c r="A82" s="152"/>
      <c r="B82" s="181" t="s">
        <v>96</v>
      </c>
      <c r="C82" s="143"/>
      <c r="D82" s="143"/>
      <c r="E82" s="143"/>
      <c r="F82" s="143"/>
      <c r="G82" s="143"/>
      <c r="H82" s="143"/>
      <c r="I82" s="143"/>
      <c r="J82" s="144"/>
    </row>
    <row r="83" spans="1:10" ht="39.75" customHeight="1" x14ac:dyDescent="0.25">
      <c r="A83" s="152"/>
      <c r="B83" s="18" t="s">
        <v>85</v>
      </c>
      <c r="C83" s="18" t="s">
        <v>97</v>
      </c>
      <c r="D83" s="11" t="s">
        <v>65</v>
      </c>
      <c r="E83" s="52" t="s">
        <v>86</v>
      </c>
      <c r="F83" s="53" t="s">
        <v>27</v>
      </c>
      <c r="G83" s="54" t="s">
        <v>28</v>
      </c>
      <c r="H83" s="54" t="s">
        <v>87</v>
      </c>
      <c r="I83" s="54" t="s">
        <v>62</v>
      </c>
      <c r="J83" s="50" t="s">
        <v>88</v>
      </c>
    </row>
    <row r="84" spans="1:10" ht="13.9" customHeight="1" x14ac:dyDescent="0.25">
      <c r="A84" s="152"/>
      <c r="B84" s="55">
        <v>13.74</v>
      </c>
      <c r="C84" s="55">
        <v>0</v>
      </c>
      <c r="D84" s="11">
        <v>1</v>
      </c>
      <c r="E84" s="56">
        <f t="shared" ref="E84:E99" si="57">B84-C84</f>
        <v>13.74</v>
      </c>
      <c r="F84" s="57">
        <v>7.7220000000000004</v>
      </c>
      <c r="G84" s="58">
        <v>1922115</v>
      </c>
      <c r="H84" s="59">
        <v>37.049999999999997</v>
      </c>
      <c r="I84" s="60">
        <f t="shared" ref="I84:I99" si="58">ROUND(H84*20/E84,1)</f>
        <v>53.9</v>
      </c>
      <c r="J84" s="50">
        <f t="shared" ref="J84:J99" si="59">I84/25*100</f>
        <v>215.60000000000002</v>
      </c>
    </row>
    <row r="85" spans="1:10" ht="13.9" customHeight="1" x14ac:dyDescent="0.25">
      <c r="A85" s="152"/>
      <c r="B85" s="55">
        <v>13.71</v>
      </c>
      <c r="C85" s="55">
        <v>0</v>
      </c>
      <c r="D85" s="11">
        <v>2</v>
      </c>
      <c r="E85" s="56">
        <f t="shared" si="57"/>
        <v>13.71</v>
      </c>
      <c r="F85" s="57">
        <v>7.7249999999999996</v>
      </c>
      <c r="G85" s="58">
        <v>1927543</v>
      </c>
      <c r="H85" s="59">
        <v>37.15</v>
      </c>
      <c r="I85" s="60">
        <f t="shared" si="58"/>
        <v>54.2</v>
      </c>
      <c r="J85" s="50">
        <f t="shared" si="59"/>
        <v>216.8</v>
      </c>
    </row>
    <row r="86" spans="1:10" ht="13.9" customHeight="1" x14ac:dyDescent="0.25">
      <c r="A86" s="152"/>
      <c r="B86" s="55">
        <v>13.85</v>
      </c>
      <c r="C86" s="55">
        <v>0.06</v>
      </c>
      <c r="D86" s="11">
        <v>3</v>
      </c>
      <c r="E86" s="56">
        <f t="shared" si="57"/>
        <v>13.79</v>
      </c>
      <c r="F86" s="57">
        <v>7.718</v>
      </c>
      <c r="G86" s="58">
        <v>1928373</v>
      </c>
      <c r="H86" s="59">
        <v>37.17</v>
      </c>
      <c r="I86" s="60">
        <f t="shared" si="58"/>
        <v>53.9</v>
      </c>
      <c r="J86" s="50">
        <f t="shared" si="59"/>
        <v>215.60000000000002</v>
      </c>
    </row>
    <row r="87" spans="1:10" ht="13.9" customHeight="1" x14ac:dyDescent="0.25">
      <c r="A87" s="152"/>
      <c r="B87" s="55">
        <v>13.78</v>
      </c>
      <c r="C87" s="55">
        <v>0</v>
      </c>
      <c r="D87" s="11">
        <v>4</v>
      </c>
      <c r="E87" s="56">
        <f t="shared" si="57"/>
        <v>13.78</v>
      </c>
      <c r="F87" s="57">
        <v>7.7270000000000003</v>
      </c>
      <c r="G87" s="58">
        <v>1925272</v>
      </c>
      <c r="H87" s="59">
        <v>37.11</v>
      </c>
      <c r="I87" s="60">
        <f t="shared" si="58"/>
        <v>53.9</v>
      </c>
      <c r="J87" s="50">
        <f t="shared" si="59"/>
        <v>215.60000000000002</v>
      </c>
    </row>
    <row r="88" spans="1:10" ht="13.9" customHeight="1" x14ac:dyDescent="0.25">
      <c r="A88" s="152"/>
      <c r="B88" s="55">
        <v>13.77</v>
      </c>
      <c r="C88" s="55">
        <v>0</v>
      </c>
      <c r="D88" s="11">
        <v>5</v>
      </c>
      <c r="E88" s="56">
        <f t="shared" si="57"/>
        <v>13.77</v>
      </c>
      <c r="F88" s="57">
        <v>7.7140000000000004</v>
      </c>
      <c r="G88" s="58">
        <v>1936682</v>
      </c>
      <c r="H88" s="59">
        <v>37.33</v>
      </c>
      <c r="I88" s="60">
        <f t="shared" si="58"/>
        <v>54.2</v>
      </c>
      <c r="J88" s="50">
        <f t="shared" si="59"/>
        <v>216.8</v>
      </c>
    </row>
    <row r="89" spans="1:10" ht="13.9" customHeight="1" x14ac:dyDescent="0.25">
      <c r="A89" s="152"/>
      <c r="B89" s="55">
        <v>13.68</v>
      </c>
      <c r="C89" s="55">
        <v>0</v>
      </c>
      <c r="D89" s="11">
        <v>6</v>
      </c>
      <c r="E89" s="56">
        <f t="shared" si="57"/>
        <v>13.68</v>
      </c>
      <c r="F89" s="57">
        <v>7.7050000000000001</v>
      </c>
      <c r="G89" s="58">
        <v>1936952</v>
      </c>
      <c r="H89" s="59">
        <v>37.33</v>
      </c>
      <c r="I89" s="60">
        <f t="shared" si="58"/>
        <v>54.6</v>
      </c>
      <c r="J89" s="50">
        <f t="shared" si="59"/>
        <v>218.4</v>
      </c>
    </row>
    <row r="90" spans="1:10" ht="27" customHeight="1" x14ac:dyDescent="0.25">
      <c r="A90" s="152"/>
      <c r="B90" s="184"/>
      <c r="C90" s="188"/>
      <c r="D90" s="11" t="s">
        <v>35</v>
      </c>
      <c r="E90" s="61" t="s">
        <v>89</v>
      </c>
      <c r="F90" s="62">
        <f t="shared" ref="F90" si="60">IFERROR(ROUNDUP(F96,1),"")</f>
        <v>0.2</v>
      </c>
      <c r="G90" s="61"/>
      <c r="H90" s="61"/>
      <c r="I90" s="62">
        <f t="shared" ref="I90" si="61">IFERROR(ROUNDUP(I96,1),"")</f>
        <v>0.6</v>
      </c>
      <c r="J90" s="184" t="s">
        <v>98</v>
      </c>
    </row>
    <row r="91" spans="1:10" ht="26.75" customHeight="1" x14ac:dyDescent="0.25">
      <c r="A91" s="152"/>
      <c r="B91" s="189"/>
      <c r="C91" s="155"/>
      <c r="D91" s="11" t="s">
        <v>90</v>
      </c>
      <c r="E91" s="182">
        <f t="shared" ref="E91:E99" si="62">I90*SQRT(5/_xlfn.CHISQ.INV(0.975,5))</f>
        <v>0.37452480135538957</v>
      </c>
      <c r="F91" s="144"/>
      <c r="G91" s="61" t="s">
        <v>91</v>
      </c>
      <c r="H91" s="182">
        <f t="shared" ref="H91:H99" si="63">I90*SQRT(5/_xlfn.CHISQ.INV(0.025,5))</f>
        <v>1.471568393128978</v>
      </c>
      <c r="I91" s="144"/>
      <c r="J91" s="152"/>
    </row>
    <row r="92" spans="1:10" ht="13.9" customHeight="1" x14ac:dyDescent="0.25">
      <c r="A92" s="152"/>
      <c r="B92" s="189"/>
      <c r="C92" s="155"/>
      <c r="D92" s="183" t="s">
        <v>92</v>
      </c>
      <c r="E92" s="144"/>
      <c r="F92" s="63">
        <f t="shared" ref="F92" si="64">ROUND(AVERAGE(I84:I89)-TINV(0.05,6-1)*STDEV(I84:I89)/SQRT(6),1)</f>
        <v>53.8</v>
      </c>
      <c r="G92" s="183" t="s">
        <v>93</v>
      </c>
      <c r="H92" s="144"/>
      <c r="I92" s="63">
        <f t="shared" ref="I92" si="65">ROUND(AVERAGE(I84:I89)+TINV(0.05,6-1)*STDEV(I84:I89)/SQRT(6),1)</f>
        <v>54.4</v>
      </c>
      <c r="J92" s="152"/>
    </row>
    <row r="93" spans="1:10" ht="13.9" customHeight="1" x14ac:dyDescent="0.25">
      <c r="A93" s="152"/>
      <c r="B93" s="189"/>
      <c r="C93" s="155"/>
      <c r="D93" s="184" t="s">
        <v>94</v>
      </c>
      <c r="E93" s="144"/>
      <c r="F93" s="64">
        <f t="shared" ref="F93:F99" si="66">F92/25*100</f>
        <v>215.19999999999996</v>
      </c>
      <c r="G93" s="184" t="s">
        <v>95</v>
      </c>
      <c r="H93" s="144"/>
      <c r="I93" s="64">
        <f t="shared" ref="I93:I99" si="67">I92/25*100</f>
        <v>217.60000000000002</v>
      </c>
      <c r="J93" s="153"/>
    </row>
    <row r="94" spans="1:10" ht="13.9" customHeight="1" x14ac:dyDescent="0.25">
      <c r="A94" s="152"/>
      <c r="B94" s="189"/>
      <c r="C94" s="155"/>
      <c r="D94" s="185" t="s">
        <v>37</v>
      </c>
      <c r="E94" s="144"/>
      <c r="F94" s="63">
        <f t="shared" ref="F94:I94" si="68">AVERAGE(F84:F89)</f>
        <v>7.7184999999999997</v>
      </c>
      <c r="G94" s="63">
        <f t="shared" si="68"/>
        <v>1929489.5</v>
      </c>
      <c r="H94" s="63">
        <f t="shared" si="68"/>
        <v>37.19</v>
      </c>
      <c r="I94" s="63">
        <f t="shared" si="68"/>
        <v>54.116666666666674</v>
      </c>
      <c r="J94" s="66">
        <f t="shared" ref="J94" si="69">AVERAGE(I69:I74,I84:I89)</f>
        <v>53.983333333333327</v>
      </c>
    </row>
    <row r="95" spans="1:10" ht="13.9" customHeight="1" x14ac:dyDescent="0.25">
      <c r="A95" s="152"/>
      <c r="B95" s="189"/>
      <c r="C95" s="155"/>
      <c r="D95" s="186" t="s">
        <v>38</v>
      </c>
      <c r="E95" s="144"/>
      <c r="F95" s="63">
        <f t="shared" ref="F95:I95" si="70">STDEV(F84:F89)</f>
        <v>8.1178814970409366E-3</v>
      </c>
      <c r="G95" s="63">
        <f t="shared" si="70"/>
        <v>6076.6265888237695</v>
      </c>
      <c r="H95" s="63">
        <f t="shared" si="70"/>
        <v>0.1159310139695155</v>
      </c>
      <c r="I95" s="63">
        <f t="shared" si="70"/>
        <v>0.27868739954771454</v>
      </c>
      <c r="J95" s="67">
        <f t="shared" ref="J95" si="71">STDEV(I69:I74,I84:I89)</f>
        <v>0.35887028128263787</v>
      </c>
    </row>
    <row r="96" spans="1:10" ht="13.9" customHeight="1" x14ac:dyDescent="0.25">
      <c r="A96" s="152"/>
      <c r="B96" s="190"/>
      <c r="C96" s="173"/>
      <c r="D96" s="186" t="s">
        <v>39</v>
      </c>
      <c r="E96" s="144"/>
      <c r="F96" s="65">
        <f t="shared" ref="F96:I96" si="72">F95/F94*100</f>
        <v>0.10517434083100262</v>
      </c>
      <c r="G96" s="63">
        <f t="shared" si="72"/>
        <v>0.31493442119398779</v>
      </c>
      <c r="H96" s="63">
        <f t="shared" si="72"/>
        <v>0.31172630806538182</v>
      </c>
      <c r="I96" s="63">
        <f t="shared" si="72"/>
        <v>0.51497517625078126</v>
      </c>
      <c r="J96" s="67">
        <f t="shared" ref="J96" si="73">IFERROR(ROUNDUP(J95/J94*100,1),"")</f>
        <v>0.7</v>
      </c>
    </row>
    <row r="97" spans="1:10" ht="26.75" customHeight="1" x14ac:dyDescent="0.25">
      <c r="A97" s="152"/>
      <c r="B97" s="186" t="s">
        <v>99</v>
      </c>
      <c r="C97" s="188"/>
      <c r="D97" s="191" t="s">
        <v>90</v>
      </c>
      <c r="E97" s="144"/>
      <c r="F97" s="68">
        <f t="shared" ref="F97:F99" si="74">J96*SQRT(11/_xlfn.CHISQ.INV(0.975,11))</f>
        <v>0.49587660560358604</v>
      </c>
      <c r="G97" s="68" t="s">
        <v>91</v>
      </c>
      <c r="H97" s="191">
        <f t="shared" ref="H97:H99" si="75">J96*SQRT(11/_xlfn.CHISQ.INV(0.025,11))</f>
        <v>1.1885146124068042</v>
      </c>
      <c r="I97" s="144"/>
      <c r="J97" s="19"/>
    </row>
    <row r="98" spans="1:10" ht="13.9" customHeight="1" x14ac:dyDescent="0.25">
      <c r="A98" s="152"/>
      <c r="B98" s="189"/>
      <c r="C98" s="155"/>
      <c r="D98" s="192" t="s">
        <v>92</v>
      </c>
      <c r="E98" s="144"/>
      <c r="F98" s="63">
        <f t="shared" ref="F98" si="76">AVERAGE(I69:I74,I84:I89)-TINV(0.05,12-1)*STDEV(I69:I74,I84:I89)/SQRT(12)</f>
        <v>53.755318034922517</v>
      </c>
      <c r="G98" s="192" t="s">
        <v>93</v>
      </c>
      <c r="H98" s="144"/>
      <c r="I98" s="69">
        <f t="shared" ref="I98" si="77">AVERAGE(I69:I74,I84:I89)+TINV(0.05,12-1)*STDEV(I69:I74,I84:I89)/SQRT(12)</f>
        <v>54.211348631744137</v>
      </c>
      <c r="J98" s="19"/>
    </row>
    <row r="99" spans="1:10" ht="13.9" customHeight="1" x14ac:dyDescent="0.25">
      <c r="A99" s="153"/>
      <c r="B99" s="190"/>
      <c r="C99" s="173"/>
      <c r="D99" s="185" t="s">
        <v>94</v>
      </c>
      <c r="E99" s="144"/>
      <c r="F99" s="65">
        <f t="shared" ref="F99" si="78">F98/25*100</f>
        <v>215.02127213969007</v>
      </c>
      <c r="G99" s="185" t="s">
        <v>95</v>
      </c>
      <c r="H99" s="144"/>
      <c r="I99" s="65">
        <f t="shared" ref="I99" si="79">I98/25*100</f>
        <v>216.84539452697655</v>
      </c>
      <c r="J99" s="19"/>
    </row>
  </sheetData>
  <mergeCells count="96">
    <mergeCell ref="H97:I97"/>
    <mergeCell ref="D98:E98"/>
    <mergeCell ref="G98:H98"/>
    <mergeCell ref="D99:E99"/>
    <mergeCell ref="G99:H99"/>
    <mergeCell ref="D94:E94"/>
    <mergeCell ref="D95:E95"/>
    <mergeCell ref="D96:E96"/>
    <mergeCell ref="B97:C99"/>
    <mergeCell ref="D97:E97"/>
    <mergeCell ref="E91:F91"/>
    <mergeCell ref="H91:I91"/>
    <mergeCell ref="D92:E92"/>
    <mergeCell ref="G92:H92"/>
    <mergeCell ref="D93:E93"/>
    <mergeCell ref="G93:H93"/>
    <mergeCell ref="B67:J67"/>
    <mergeCell ref="A68:A99"/>
    <mergeCell ref="B75:C81"/>
    <mergeCell ref="J75:J81"/>
    <mergeCell ref="E76:F76"/>
    <mergeCell ref="H76:I76"/>
    <mergeCell ref="D77:E77"/>
    <mergeCell ref="G77:H77"/>
    <mergeCell ref="D78:E78"/>
    <mergeCell ref="G78:H78"/>
    <mergeCell ref="D79:E79"/>
    <mergeCell ref="D80:E80"/>
    <mergeCell ref="D81:E81"/>
    <mergeCell ref="B82:J82"/>
    <mergeCell ref="B90:C96"/>
    <mergeCell ref="J90:J93"/>
    <mergeCell ref="H64:I64"/>
    <mergeCell ref="D65:E65"/>
    <mergeCell ref="G65:H65"/>
    <mergeCell ref="D66:E66"/>
    <mergeCell ref="G66:H66"/>
    <mergeCell ref="D61:E61"/>
    <mergeCell ref="D62:E62"/>
    <mergeCell ref="D63:E63"/>
    <mergeCell ref="B64:C66"/>
    <mergeCell ref="D64:E64"/>
    <mergeCell ref="E58:F58"/>
    <mergeCell ref="H58:I58"/>
    <mergeCell ref="D59:E59"/>
    <mergeCell ref="G59:H59"/>
    <mergeCell ref="D60:E60"/>
    <mergeCell ref="G60:H60"/>
    <mergeCell ref="B34:J34"/>
    <mergeCell ref="A35:A66"/>
    <mergeCell ref="B42:C48"/>
    <mergeCell ref="J42:J48"/>
    <mergeCell ref="E43:F43"/>
    <mergeCell ref="H43:I43"/>
    <mergeCell ref="D44:E44"/>
    <mergeCell ref="G44:H44"/>
    <mergeCell ref="D45:E45"/>
    <mergeCell ref="G45:H45"/>
    <mergeCell ref="D46:E46"/>
    <mergeCell ref="D47:E47"/>
    <mergeCell ref="D48:E48"/>
    <mergeCell ref="B49:J49"/>
    <mergeCell ref="B57:C63"/>
    <mergeCell ref="J57:J60"/>
    <mergeCell ref="A2:A33"/>
    <mergeCell ref="J9:J15"/>
    <mergeCell ref="J24:J27"/>
    <mergeCell ref="B9:C15"/>
    <mergeCell ref="B24:C30"/>
    <mergeCell ref="B31:C33"/>
    <mergeCell ref="D31:E31"/>
    <mergeCell ref="H31:I31"/>
    <mergeCell ref="D32:E32"/>
    <mergeCell ref="G32:H32"/>
    <mergeCell ref="D33:E33"/>
    <mergeCell ref="G33:H33"/>
    <mergeCell ref="D27:E27"/>
    <mergeCell ref="G27:H27"/>
    <mergeCell ref="D28:E28"/>
    <mergeCell ref="D29:E29"/>
    <mergeCell ref="D30:E30"/>
    <mergeCell ref="B16:J16"/>
    <mergeCell ref="E25:F25"/>
    <mergeCell ref="H25:I25"/>
    <mergeCell ref="D26:E26"/>
    <mergeCell ref="G26:H26"/>
    <mergeCell ref="D12:E12"/>
    <mergeCell ref="G12:H12"/>
    <mergeCell ref="D13:E13"/>
    <mergeCell ref="D14:E14"/>
    <mergeCell ref="D15:E15"/>
    <mergeCell ref="B1:J1"/>
    <mergeCell ref="E10:F10"/>
    <mergeCell ref="H10:I10"/>
    <mergeCell ref="D11:E11"/>
    <mergeCell ref="G11:H11"/>
  </mergeCells>
  <phoneticPr fontId="48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L84"/>
  <sheetViews>
    <sheetView topLeftCell="G67" workbookViewId="0">
      <selection activeCell="G82" sqref="G82:L82"/>
    </sheetView>
  </sheetViews>
  <sheetFormatPr defaultColWidth="9" defaultRowHeight="14" x14ac:dyDescent="0.25"/>
  <cols>
    <col min="1" max="1" width="21.6328125" customWidth="1"/>
    <col min="2" max="2" width="12.26953125" customWidth="1"/>
    <col min="3" max="3" width="11.36328125" customWidth="1"/>
    <col min="4" max="4" width="18.7265625" customWidth="1"/>
    <col min="5" max="5" width="20.36328125" customWidth="1"/>
    <col min="6" max="6" width="14.6328125" customWidth="1"/>
    <col min="7" max="7" width="16.453125" customWidth="1"/>
    <col min="8" max="8" width="16.6328125" customWidth="1"/>
    <col min="9" max="10" width="16.453125" customWidth="1"/>
    <col min="11" max="11" width="12.08984375" customWidth="1"/>
    <col min="12" max="12" width="9" customWidth="1"/>
  </cols>
  <sheetData>
    <row r="1" spans="1:12" ht="25.25" customHeight="1" x14ac:dyDescent="0.25">
      <c r="A1" s="193" t="s">
        <v>100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4"/>
    </row>
    <row r="2" spans="1:12" ht="13.5" customHeight="1" x14ac:dyDescent="0.25">
      <c r="A2" s="192" t="s">
        <v>25</v>
      </c>
      <c r="B2" s="188"/>
      <c r="C2" s="198" t="s">
        <v>85</v>
      </c>
      <c r="D2" s="198" t="s">
        <v>97</v>
      </c>
      <c r="E2" s="186" t="s">
        <v>65</v>
      </c>
      <c r="F2" s="20" t="s">
        <v>101</v>
      </c>
      <c r="G2" s="192" t="s">
        <v>28</v>
      </c>
      <c r="H2" s="192" t="s">
        <v>87</v>
      </c>
      <c r="I2" s="199" t="s">
        <v>102</v>
      </c>
      <c r="J2" s="192" t="s">
        <v>103</v>
      </c>
      <c r="K2" s="200"/>
      <c r="L2" s="188"/>
    </row>
    <row r="3" spans="1:12" ht="13.9" customHeight="1" x14ac:dyDescent="0.25">
      <c r="A3" s="190"/>
      <c r="B3" s="173"/>
      <c r="C3" s="153"/>
      <c r="D3" s="153"/>
      <c r="E3" s="153"/>
      <c r="F3" s="20" t="s">
        <v>104</v>
      </c>
      <c r="G3" s="153"/>
      <c r="H3" s="153"/>
      <c r="I3" s="153"/>
      <c r="J3" s="190"/>
      <c r="K3" s="201"/>
      <c r="L3" s="173"/>
    </row>
    <row r="4" spans="1:12" ht="13.9" customHeight="1" x14ac:dyDescent="0.25">
      <c r="A4" s="202" t="s">
        <v>274</v>
      </c>
      <c r="B4" s="188"/>
      <c r="C4" s="21">
        <v>13.7</v>
      </c>
      <c r="D4" s="21">
        <v>0</v>
      </c>
      <c r="E4" s="19">
        <v>1</v>
      </c>
      <c r="F4" s="22">
        <f>C4-D4</f>
        <v>13.7</v>
      </c>
      <c r="G4" s="23">
        <v>0</v>
      </c>
      <c r="H4" s="24">
        <v>0</v>
      </c>
      <c r="I4" s="25">
        <f>ROUND(H4*20/F4,1)</f>
        <v>0</v>
      </c>
      <c r="J4" s="203">
        <f t="shared" ref="J4" si="0">SUM(I4:I6)/3</f>
        <v>0</v>
      </c>
      <c r="K4" s="200"/>
      <c r="L4" s="188"/>
    </row>
    <row r="5" spans="1:12" ht="13.9" customHeight="1" x14ac:dyDescent="0.25">
      <c r="A5" s="189"/>
      <c r="B5" s="155"/>
      <c r="C5" s="21">
        <v>13.71</v>
      </c>
      <c r="D5" s="21">
        <v>0</v>
      </c>
      <c r="E5" s="19">
        <v>2</v>
      </c>
      <c r="F5" s="22">
        <f>C5-D5</f>
        <v>13.71</v>
      </c>
      <c r="G5" s="23">
        <v>0</v>
      </c>
      <c r="H5" s="24">
        <v>0</v>
      </c>
      <c r="I5" s="25">
        <f>ROUND(H5*20/F5,1)</f>
        <v>0</v>
      </c>
      <c r="J5" s="189"/>
      <c r="K5" s="138"/>
      <c r="L5" s="155"/>
    </row>
    <row r="6" spans="1:12" ht="13.9" customHeight="1" x14ac:dyDescent="0.25">
      <c r="A6" s="190"/>
      <c r="B6" s="173"/>
      <c r="C6" s="21">
        <v>13.72</v>
      </c>
      <c r="D6" s="21">
        <v>0.04</v>
      </c>
      <c r="E6" s="19">
        <v>3</v>
      </c>
      <c r="F6" s="22">
        <f>C6-D6</f>
        <v>13.680000000000001</v>
      </c>
      <c r="G6" s="23">
        <v>0</v>
      </c>
      <c r="H6" s="24">
        <v>0</v>
      </c>
      <c r="I6" s="25">
        <f>ROUND(H6*20/F6,1)</f>
        <v>0</v>
      </c>
      <c r="J6" s="190"/>
      <c r="K6" s="201"/>
      <c r="L6" s="173"/>
    </row>
    <row r="7" spans="1:12" ht="13.5" customHeight="1" x14ac:dyDescent="0.25">
      <c r="A7" s="193" t="s">
        <v>105</v>
      </c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188"/>
    </row>
    <row r="8" spans="1:12" ht="13.5" customHeight="1" x14ac:dyDescent="0.25">
      <c r="A8" s="190"/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173"/>
    </row>
    <row r="9" spans="1:12" ht="25" customHeight="1" x14ac:dyDescent="0.25">
      <c r="A9" s="26">
        <v>46259</v>
      </c>
      <c r="B9" s="17"/>
      <c r="C9" s="17"/>
      <c r="D9" s="17"/>
      <c r="E9" s="27"/>
      <c r="F9" s="28" t="s">
        <v>106</v>
      </c>
      <c r="G9" s="28" t="s">
        <v>107</v>
      </c>
      <c r="H9" s="28" t="s">
        <v>108</v>
      </c>
      <c r="I9" s="28" t="s">
        <v>109</v>
      </c>
      <c r="J9" s="28" t="s">
        <v>110</v>
      </c>
      <c r="K9" s="194" t="s">
        <v>111</v>
      </c>
      <c r="L9" s="144"/>
    </row>
    <row r="10" spans="1:12" ht="25" customHeight="1" x14ac:dyDescent="0.25">
      <c r="A10" s="26"/>
      <c r="B10" s="29"/>
      <c r="C10" s="30"/>
      <c r="D10" s="29"/>
      <c r="E10" s="31"/>
      <c r="F10" s="32">
        <v>0.02</v>
      </c>
      <c r="G10" s="32">
        <v>0.04</v>
      </c>
      <c r="H10" s="33">
        <v>0.5</v>
      </c>
      <c r="I10" s="32">
        <v>1</v>
      </c>
      <c r="J10" s="32">
        <v>1.5</v>
      </c>
      <c r="K10" s="195">
        <v>2</v>
      </c>
      <c r="L10" s="144"/>
    </row>
    <row r="11" spans="1:12" ht="25" customHeight="1" x14ac:dyDescent="0.25">
      <c r="A11" s="34" t="s">
        <v>40</v>
      </c>
      <c r="B11" s="35" t="s">
        <v>41</v>
      </c>
      <c r="C11" s="36" t="s">
        <v>42</v>
      </c>
      <c r="D11" s="35" t="s">
        <v>43</v>
      </c>
      <c r="E11" s="35" t="s">
        <v>44</v>
      </c>
      <c r="F11" s="31" t="s">
        <v>45</v>
      </c>
      <c r="G11" s="31" t="s">
        <v>46</v>
      </c>
      <c r="H11" s="29" t="s">
        <v>47</v>
      </c>
      <c r="I11" s="31" t="s">
        <v>48</v>
      </c>
      <c r="J11" s="31" t="s">
        <v>49</v>
      </c>
      <c r="K11" s="196" t="s">
        <v>50</v>
      </c>
      <c r="L11" s="144"/>
    </row>
    <row r="12" spans="1:12" ht="20.25" customHeight="1" x14ac:dyDescent="0.25">
      <c r="A12" s="37" t="s">
        <v>274</v>
      </c>
      <c r="B12" s="38">
        <v>2.0129999999999999</v>
      </c>
      <c r="C12" s="39">
        <v>0.99670000000000003</v>
      </c>
      <c r="D12" s="40">
        <f>B12*C12/20*1000*1000</f>
        <v>100317.85499999998</v>
      </c>
      <c r="E12" s="40">
        <f>D12*0.75/10*2/20</f>
        <v>752.38391249999984</v>
      </c>
      <c r="F12" s="240">
        <f>ROUND($E$12*F10/20,2)</f>
        <v>0.75</v>
      </c>
      <c r="G12" s="240">
        <f>ROUND($E$12*G10/20,2)</f>
        <v>1.5</v>
      </c>
      <c r="H12" s="240">
        <f>ROUND($E$12*H10/20,2)</f>
        <v>18.809999999999999</v>
      </c>
      <c r="I12" s="240">
        <f>ROUND($E$12*I10/20,2)</f>
        <v>37.619999999999997</v>
      </c>
      <c r="J12" s="240">
        <f>ROUND($E$12*J10/20,2)</f>
        <v>56.43</v>
      </c>
      <c r="K12" s="241">
        <f t="shared" ref="K12:L12" si="1">ROUND($E$12*K10/20,2)</f>
        <v>75.239999999999995</v>
      </c>
      <c r="L12" s="242"/>
    </row>
    <row r="13" spans="1:12" ht="25.25" customHeight="1" x14ac:dyDescent="0.25">
      <c r="A13" s="204" t="s">
        <v>112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4"/>
    </row>
    <row r="14" spans="1:12" ht="13.5" customHeight="1" x14ac:dyDescent="0.25">
      <c r="A14" s="209" t="s">
        <v>274</v>
      </c>
      <c r="B14" s="198" t="s">
        <v>85</v>
      </c>
      <c r="C14" s="198" t="s">
        <v>97</v>
      </c>
      <c r="D14" s="41" t="s">
        <v>113</v>
      </c>
      <c r="E14" s="207" t="s">
        <v>65</v>
      </c>
      <c r="F14" s="211" t="s">
        <v>114</v>
      </c>
      <c r="G14" s="211" t="s">
        <v>115</v>
      </c>
      <c r="H14" s="44" t="s">
        <v>116</v>
      </c>
      <c r="I14" s="43" t="s">
        <v>117</v>
      </c>
      <c r="J14" s="211" t="s">
        <v>118</v>
      </c>
      <c r="K14" s="43" t="s">
        <v>119</v>
      </c>
      <c r="L14" s="211" t="s">
        <v>120</v>
      </c>
    </row>
    <row r="15" spans="1:12" ht="13.9" customHeight="1" x14ac:dyDescent="0.25">
      <c r="A15" s="152"/>
      <c r="B15" s="153"/>
      <c r="C15" s="153"/>
      <c r="D15" s="41" t="s">
        <v>40</v>
      </c>
      <c r="E15" s="153"/>
      <c r="F15" s="153"/>
      <c r="G15" s="153"/>
      <c r="H15" s="44" t="s">
        <v>121</v>
      </c>
      <c r="I15" s="43" t="s">
        <v>121</v>
      </c>
      <c r="J15" s="153"/>
      <c r="K15" s="43" t="s">
        <v>122</v>
      </c>
      <c r="L15" s="153"/>
    </row>
    <row r="16" spans="1:12" ht="13.9" customHeight="1" x14ac:dyDescent="0.25">
      <c r="A16" s="152"/>
      <c r="B16" s="45">
        <v>13.82</v>
      </c>
      <c r="C16" s="45">
        <v>0</v>
      </c>
      <c r="D16" s="207" t="s">
        <v>123</v>
      </c>
      <c r="E16" s="42">
        <v>1</v>
      </c>
      <c r="F16" s="46">
        <f t="shared" ref="F16:F24" si="2">B16-C16</f>
        <v>13.82</v>
      </c>
      <c r="G16" s="47">
        <v>1.29</v>
      </c>
      <c r="H16" s="47">
        <f>ROUND(G16*20,2)</f>
        <v>25.8</v>
      </c>
      <c r="I16" s="48">
        <v>0</v>
      </c>
      <c r="J16" s="212">
        <f>ROUND(E12*0.04,2)</f>
        <v>30.1</v>
      </c>
      <c r="K16" s="49">
        <f>ROUND((H16-I16)/J16*100,1)</f>
        <v>85.7</v>
      </c>
      <c r="L16" s="216">
        <f>SUM(K16:K18)/3</f>
        <v>83.933333333333323</v>
      </c>
    </row>
    <row r="17" spans="1:12" ht="13.9" customHeight="1" x14ac:dyDescent="0.25">
      <c r="A17" s="152"/>
      <c r="B17" s="45">
        <v>13.66</v>
      </c>
      <c r="C17" s="45">
        <v>0</v>
      </c>
      <c r="D17" s="152"/>
      <c r="E17" s="42">
        <v>2</v>
      </c>
      <c r="F17" s="46">
        <f t="shared" si="2"/>
        <v>13.66</v>
      </c>
      <c r="G17" s="47">
        <v>1.28</v>
      </c>
      <c r="H17" s="47">
        <f t="shared" ref="H17:H24" si="3">ROUND(G17*20,2)</f>
        <v>25.6</v>
      </c>
      <c r="I17" s="48">
        <v>0</v>
      </c>
      <c r="J17" s="152"/>
      <c r="K17" s="49">
        <f>ROUND((H17-I17)/J16*100,1)</f>
        <v>85</v>
      </c>
      <c r="L17" s="152"/>
    </row>
    <row r="18" spans="1:12" ht="14.75" customHeight="1" x14ac:dyDescent="0.25">
      <c r="A18" s="152"/>
      <c r="B18" s="45">
        <v>13.66</v>
      </c>
      <c r="C18" s="45">
        <v>0</v>
      </c>
      <c r="D18" s="153"/>
      <c r="E18" s="42">
        <v>3</v>
      </c>
      <c r="F18" s="46">
        <f t="shared" si="2"/>
        <v>13.66</v>
      </c>
      <c r="G18" s="47">
        <v>1.22</v>
      </c>
      <c r="H18" s="47">
        <f t="shared" si="3"/>
        <v>24.4</v>
      </c>
      <c r="I18" s="48">
        <v>0</v>
      </c>
      <c r="J18" s="153"/>
      <c r="K18" s="49">
        <f>ROUND((H18-I18)/J16*100,1)</f>
        <v>81.099999999999994</v>
      </c>
      <c r="L18" s="153"/>
    </row>
    <row r="19" spans="1:12" ht="13.9" customHeight="1" x14ac:dyDescent="0.25">
      <c r="A19" s="152"/>
      <c r="B19" s="45">
        <v>13.74</v>
      </c>
      <c r="C19" s="45">
        <v>0</v>
      </c>
      <c r="D19" s="210" t="s">
        <v>124</v>
      </c>
      <c r="E19" s="42">
        <v>1</v>
      </c>
      <c r="F19" s="46">
        <f t="shared" si="2"/>
        <v>13.74</v>
      </c>
      <c r="G19" s="47">
        <v>30.49</v>
      </c>
      <c r="H19" s="47">
        <f t="shared" si="3"/>
        <v>609.79999999999995</v>
      </c>
      <c r="I19" s="48">
        <v>0</v>
      </c>
      <c r="J19" s="212">
        <f>ROUND(E12*1,2)</f>
        <v>752.38</v>
      </c>
      <c r="K19" s="49">
        <f>ROUND((H19-I19)/J19*100,1)</f>
        <v>81</v>
      </c>
      <c r="L19" s="216">
        <f>SUM(K19:K21)/3</f>
        <v>79.7</v>
      </c>
    </row>
    <row r="20" spans="1:12" ht="13.9" customHeight="1" x14ac:dyDescent="0.25">
      <c r="A20" s="152"/>
      <c r="B20" s="45">
        <v>13.8</v>
      </c>
      <c r="C20" s="45">
        <v>0</v>
      </c>
      <c r="D20" s="152"/>
      <c r="E20" s="42">
        <v>2</v>
      </c>
      <c r="F20" s="46">
        <f t="shared" si="2"/>
        <v>13.8</v>
      </c>
      <c r="G20" s="47">
        <v>30.82</v>
      </c>
      <c r="H20" s="47">
        <f t="shared" si="3"/>
        <v>616.4</v>
      </c>
      <c r="I20" s="48">
        <v>0</v>
      </c>
      <c r="J20" s="152"/>
      <c r="K20" s="49">
        <f>ROUND((H20-I20)/J19*100,1)</f>
        <v>81.900000000000006</v>
      </c>
      <c r="L20" s="152"/>
    </row>
    <row r="21" spans="1:12" ht="14.75" customHeight="1" x14ac:dyDescent="0.25">
      <c r="A21" s="152"/>
      <c r="B21" s="45">
        <v>13.76</v>
      </c>
      <c r="C21" s="45">
        <v>0</v>
      </c>
      <c r="D21" s="153"/>
      <c r="E21" s="42">
        <v>3</v>
      </c>
      <c r="F21" s="46">
        <f t="shared" si="2"/>
        <v>13.76</v>
      </c>
      <c r="G21" s="47">
        <v>28.67</v>
      </c>
      <c r="H21" s="47">
        <f t="shared" si="3"/>
        <v>573.4</v>
      </c>
      <c r="I21" s="48">
        <v>0</v>
      </c>
      <c r="J21" s="153"/>
      <c r="K21" s="49">
        <f>ROUND((H21-I21)/J19*100,1)</f>
        <v>76.2</v>
      </c>
      <c r="L21" s="153"/>
    </row>
    <row r="22" spans="1:12" ht="13.9" customHeight="1" x14ac:dyDescent="0.25">
      <c r="A22" s="152"/>
      <c r="B22" s="45">
        <v>13.8</v>
      </c>
      <c r="C22" s="45">
        <v>0.04</v>
      </c>
      <c r="D22" s="210" t="s">
        <v>125</v>
      </c>
      <c r="E22" s="42">
        <v>1</v>
      </c>
      <c r="F22" s="46">
        <f t="shared" si="2"/>
        <v>13.760000000000002</v>
      </c>
      <c r="G22" s="47">
        <v>43.54</v>
      </c>
      <c r="H22" s="47">
        <f t="shared" si="3"/>
        <v>870.8</v>
      </c>
      <c r="I22" s="48">
        <v>0</v>
      </c>
      <c r="J22" s="212">
        <f>ROUND(E12*1.5,2)</f>
        <v>1128.58</v>
      </c>
      <c r="K22" s="49">
        <f>ROUND((H22-I22)/J22*100,1)</f>
        <v>77.2</v>
      </c>
      <c r="L22" s="216">
        <f>SUM(K22:K24)/3</f>
        <v>76.466666666666669</v>
      </c>
    </row>
    <row r="23" spans="1:12" ht="13.9" customHeight="1" x14ac:dyDescent="0.25">
      <c r="A23" s="152"/>
      <c r="B23" s="45">
        <v>13.65</v>
      </c>
      <c r="C23" s="45">
        <v>0</v>
      </c>
      <c r="D23" s="152"/>
      <c r="E23" s="42">
        <v>2</v>
      </c>
      <c r="F23" s="46">
        <f t="shared" si="2"/>
        <v>13.65</v>
      </c>
      <c r="G23" s="47">
        <v>43.22</v>
      </c>
      <c r="H23" s="47">
        <f t="shared" si="3"/>
        <v>864.4</v>
      </c>
      <c r="I23" s="48">
        <v>0</v>
      </c>
      <c r="J23" s="152"/>
      <c r="K23" s="49">
        <f>ROUND((H23-I23)/J22*100,1)</f>
        <v>76.599999999999994</v>
      </c>
      <c r="L23" s="152"/>
    </row>
    <row r="24" spans="1:12" ht="14.75" customHeight="1" x14ac:dyDescent="0.25">
      <c r="A24" s="152"/>
      <c r="B24" s="45">
        <v>13.7</v>
      </c>
      <c r="C24" s="45">
        <v>0</v>
      </c>
      <c r="D24" s="153"/>
      <c r="E24" s="42">
        <v>3</v>
      </c>
      <c r="F24" s="46">
        <f t="shared" si="2"/>
        <v>13.7</v>
      </c>
      <c r="G24" s="47">
        <v>42.67</v>
      </c>
      <c r="H24" s="47">
        <f t="shared" si="3"/>
        <v>853.4</v>
      </c>
      <c r="I24" s="48">
        <v>0</v>
      </c>
      <c r="J24" s="153"/>
      <c r="K24" s="49">
        <f>ROUND((H24-I24)/J22*100,1)</f>
        <v>75.599999999999994</v>
      </c>
      <c r="L24" s="153"/>
    </row>
    <row r="25" spans="1:12" ht="17.25" customHeight="1" x14ac:dyDescent="0.25">
      <c r="A25" s="152"/>
      <c r="B25" s="218"/>
      <c r="C25" s="188"/>
      <c r="D25" s="205" t="s">
        <v>126</v>
      </c>
      <c r="E25" s="143"/>
      <c r="F25" s="144"/>
      <c r="G25" s="206">
        <f t="shared" ref="G25" si="4">SUM(K16:K24)/9</f>
        <v>80.033333333333331</v>
      </c>
      <c r="H25" s="143"/>
      <c r="I25" s="143"/>
      <c r="J25" s="143"/>
      <c r="K25" s="143"/>
      <c r="L25" s="144"/>
    </row>
    <row r="26" spans="1:12" ht="17.25" customHeight="1" x14ac:dyDescent="0.25">
      <c r="A26" s="152"/>
      <c r="B26" s="189"/>
      <c r="C26" s="155"/>
      <c r="D26" s="207" t="s">
        <v>127</v>
      </c>
      <c r="E26" s="143"/>
      <c r="F26" s="144"/>
      <c r="G26" s="208">
        <f t="shared" ref="G26" si="5">IFERROR(STDEV(K16:K24)/AVERAGE(K16:K24)*100,"")</f>
        <v>4.7681187596232055</v>
      </c>
      <c r="H26" s="143"/>
      <c r="I26" s="143"/>
      <c r="J26" s="143"/>
      <c r="K26" s="143"/>
      <c r="L26" s="144"/>
    </row>
    <row r="27" spans="1:12" ht="17.25" customHeight="1" x14ac:dyDescent="0.25">
      <c r="A27" s="152"/>
      <c r="B27" s="189"/>
      <c r="C27" s="155"/>
      <c r="D27" s="184" t="s">
        <v>128</v>
      </c>
      <c r="E27" s="144"/>
      <c r="F27" s="217">
        <f>ROUND(AVERAGEA(K16:K24)-TINV(0.05,8)*STDEVA(K16:K24)/SQRT(9),1)</f>
        <v>77.099999999999994</v>
      </c>
      <c r="G27" s="143"/>
      <c r="H27" s="144"/>
      <c r="I27" s="184" t="s">
        <v>129</v>
      </c>
      <c r="J27" s="144"/>
      <c r="K27" s="217">
        <f>ROUND(AVERAGEA(K16:K24)+TINV(0.05,9-1)*STDEVA(K16:K24)/SQRT(9),1)</f>
        <v>83</v>
      </c>
      <c r="L27" s="144"/>
    </row>
    <row r="28" spans="1:12" ht="17.25" customHeight="1" x14ac:dyDescent="0.25">
      <c r="A28" s="153"/>
      <c r="B28" s="190"/>
      <c r="C28" s="173"/>
      <c r="D28" s="205" t="s">
        <v>36</v>
      </c>
      <c r="E28" s="143"/>
      <c r="F28" s="144"/>
      <c r="G28" s="219"/>
      <c r="H28" s="143"/>
      <c r="I28" s="143"/>
      <c r="J28" s="143"/>
      <c r="K28" s="143"/>
      <c r="L28" s="144"/>
    </row>
    <row r="29" spans="1:12" ht="25.25" customHeight="1" x14ac:dyDescent="0.25">
      <c r="A29" s="193" t="s">
        <v>100</v>
      </c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4"/>
    </row>
    <row r="30" spans="1:12" ht="13.5" customHeight="1" x14ac:dyDescent="0.25">
      <c r="A30" s="192" t="s">
        <v>25</v>
      </c>
      <c r="B30" s="188"/>
      <c r="C30" s="198" t="s">
        <v>85</v>
      </c>
      <c r="D30" s="198" t="s">
        <v>97</v>
      </c>
      <c r="E30" s="186" t="s">
        <v>65</v>
      </c>
      <c r="F30" s="20" t="s">
        <v>101</v>
      </c>
      <c r="G30" s="192" t="s">
        <v>28</v>
      </c>
      <c r="H30" s="192" t="s">
        <v>87</v>
      </c>
      <c r="I30" s="199" t="s">
        <v>102</v>
      </c>
      <c r="J30" s="192" t="s">
        <v>103</v>
      </c>
      <c r="K30" s="200"/>
      <c r="L30" s="188"/>
    </row>
    <row r="31" spans="1:12" ht="13.9" customHeight="1" x14ac:dyDescent="0.25">
      <c r="A31" s="190"/>
      <c r="B31" s="173"/>
      <c r="C31" s="153"/>
      <c r="D31" s="153"/>
      <c r="E31" s="153"/>
      <c r="F31" s="20" t="s">
        <v>104</v>
      </c>
      <c r="G31" s="153"/>
      <c r="H31" s="153"/>
      <c r="I31" s="153"/>
      <c r="J31" s="190"/>
      <c r="K31" s="201"/>
      <c r="L31" s="173"/>
    </row>
    <row r="32" spans="1:12" ht="13.9" customHeight="1" x14ac:dyDescent="0.25">
      <c r="A32" s="202" t="s">
        <v>275</v>
      </c>
      <c r="B32" s="188"/>
      <c r="C32" s="21">
        <v>13.7</v>
      </c>
      <c r="D32" s="21">
        <v>0</v>
      </c>
      <c r="E32" s="19">
        <v>1</v>
      </c>
      <c r="F32" s="22">
        <f t="shared" ref="F32:F63" si="6">C32-D32</f>
        <v>13.7</v>
      </c>
      <c r="G32" s="23">
        <v>0</v>
      </c>
      <c r="H32" s="24">
        <v>0</v>
      </c>
      <c r="I32" s="25">
        <f t="shared" ref="I32:I34" si="7">ROUND(H32*20/F32,1)</f>
        <v>0</v>
      </c>
      <c r="J32" s="203">
        <f t="shared" ref="J32" si="8">SUM(I32:I34)/3</f>
        <v>0</v>
      </c>
      <c r="K32" s="200"/>
      <c r="L32" s="188"/>
    </row>
    <row r="33" spans="1:12" ht="13.9" customHeight="1" x14ac:dyDescent="0.25">
      <c r="A33" s="189"/>
      <c r="B33" s="155"/>
      <c r="C33" s="21">
        <v>13.71</v>
      </c>
      <c r="D33" s="21">
        <v>0</v>
      </c>
      <c r="E33" s="19">
        <v>2</v>
      </c>
      <c r="F33" s="22">
        <f t="shared" si="6"/>
        <v>13.71</v>
      </c>
      <c r="G33" s="23">
        <v>0</v>
      </c>
      <c r="H33" s="24">
        <v>0</v>
      </c>
      <c r="I33" s="25">
        <f t="shared" si="7"/>
        <v>0</v>
      </c>
      <c r="J33" s="189"/>
      <c r="K33" s="138"/>
      <c r="L33" s="155"/>
    </row>
    <row r="34" spans="1:12" ht="13.9" customHeight="1" x14ac:dyDescent="0.25">
      <c r="A34" s="190"/>
      <c r="B34" s="173"/>
      <c r="C34" s="21">
        <v>13.72</v>
      </c>
      <c r="D34" s="21">
        <v>0.04</v>
      </c>
      <c r="E34" s="19">
        <v>3</v>
      </c>
      <c r="F34" s="22">
        <f t="shared" si="6"/>
        <v>13.680000000000001</v>
      </c>
      <c r="G34" s="23">
        <v>0</v>
      </c>
      <c r="H34" s="24">
        <v>0</v>
      </c>
      <c r="I34" s="25">
        <f t="shared" si="7"/>
        <v>0</v>
      </c>
      <c r="J34" s="190"/>
      <c r="K34" s="201"/>
      <c r="L34" s="173"/>
    </row>
    <row r="35" spans="1:12" ht="13.5" customHeight="1" x14ac:dyDescent="0.25">
      <c r="A35" s="193" t="s">
        <v>105</v>
      </c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188"/>
    </row>
    <row r="36" spans="1:12" ht="13.5" customHeight="1" x14ac:dyDescent="0.25">
      <c r="A36" s="190"/>
      <c r="B36" s="201"/>
      <c r="C36" s="201"/>
      <c r="D36" s="201"/>
      <c r="E36" s="201"/>
      <c r="F36" s="201"/>
      <c r="G36" s="201"/>
      <c r="H36" s="201"/>
      <c r="I36" s="201"/>
      <c r="J36" s="201"/>
      <c r="K36" s="201"/>
      <c r="L36" s="173"/>
    </row>
    <row r="37" spans="1:12" ht="25" customHeight="1" x14ac:dyDescent="0.25">
      <c r="A37" s="26">
        <v>46259</v>
      </c>
      <c r="B37" s="17"/>
      <c r="C37" s="17"/>
      <c r="D37" s="17"/>
      <c r="E37" s="27"/>
      <c r="F37" s="28" t="s">
        <v>106</v>
      </c>
      <c r="G37" s="28" t="s">
        <v>107</v>
      </c>
      <c r="H37" s="28" t="s">
        <v>108</v>
      </c>
      <c r="I37" s="28" t="s">
        <v>109</v>
      </c>
      <c r="J37" s="28" t="s">
        <v>110</v>
      </c>
      <c r="K37" s="194" t="s">
        <v>111</v>
      </c>
      <c r="L37" s="144"/>
    </row>
    <row r="38" spans="1:12" ht="25" customHeight="1" x14ac:dyDescent="0.25">
      <c r="A38" s="26"/>
      <c r="B38" s="29"/>
      <c r="C38" s="30"/>
      <c r="D38" s="29"/>
      <c r="E38" s="31"/>
      <c r="F38" s="32">
        <v>0.02</v>
      </c>
      <c r="G38" s="32">
        <v>0.04</v>
      </c>
      <c r="H38" s="33">
        <v>0.5</v>
      </c>
      <c r="I38" s="32">
        <v>1</v>
      </c>
      <c r="J38" s="32">
        <v>1.5</v>
      </c>
      <c r="K38" s="195">
        <v>2</v>
      </c>
      <c r="L38" s="144"/>
    </row>
    <row r="39" spans="1:12" ht="25" customHeight="1" x14ac:dyDescent="0.25">
      <c r="A39" s="34" t="s">
        <v>40</v>
      </c>
      <c r="B39" s="35" t="s">
        <v>41</v>
      </c>
      <c r="C39" s="36" t="s">
        <v>42</v>
      </c>
      <c r="D39" s="35" t="s">
        <v>43</v>
      </c>
      <c r="E39" s="35" t="s">
        <v>44</v>
      </c>
      <c r="F39" s="31" t="s">
        <v>45</v>
      </c>
      <c r="G39" s="31" t="s">
        <v>46</v>
      </c>
      <c r="H39" s="29" t="s">
        <v>47</v>
      </c>
      <c r="I39" s="31" t="s">
        <v>48</v>
      </c>
      <c r="J39" s="31" t="s">
        <v>49</v>
      </c>
      <c r="K39" s="196" t="s">
        <v>50</v>
      </c>
      <c r="L39" s="144"/>
    </row>
    <row r="40" spans="1:12" ht="20.25" customHeight="1" x14ac:dyDescent="0.25">
      <c r="A40" s="37" t="s">
        <v>275</v>
      </c>
      <c r="B40" s="38">
        <v>1.996</v>
      </c>
      <c r="C40" s="39">
        <v>0.99880000000000002</v>
      </c>
      <c r="D40" s="40">
        <f>B40*C40/20*1000*1000</f>
        <v>99680.239999999991</v>
      </c>
      <c r="E40" s="40">
        <f>D40*0.75/10*2/20</f>
        <v>747.60179999999991</v>
      </c>
      <c r="F40" s="240">
        <f>ROUND($E$40*F38/20,2)</f>
        <v>0.75</v>
      </c>
      <c r="G40" s="240">
        <f>ROUND($E$40*G38/20,2)</f>
        <v>1.5</v>
      </c>
      <c r="H40" s="240">
        <f>ROUND($E$40*H38/20,2)</f>
        <v>18.690000000000001</v>
      </c>
      <c r="I40" s="240">
        <f t="shared" ref="I40:J40" si="9">ROUND($E$40*I38/20,2)</f>
        <v>37.380000000000003</v>
      </c>
      <c r="J40" s="240">
        <f t="shared" si="9"/>
        <v>56.07</v>
      </c>
      <c r="K40" s="243">
        <f>ROUND($E$40*K38/20,2)</f>
        <v>74.760000000000005</v>
      </c>
      <c r="L40" s="244"/>
    </row>
    <row r="41" spans="1:12" ht="25.25" customHeight="1" x14ac:dyDescent="0.25">
      <c r="A41" s="204" t="s">
        <v>112</v>
      </c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4"/>
    </row>
    <row r="42" spans="1:12" ht="13.5" customHeight="1" x14ac:dyDescent="0.25">
      <c r="A42" s="209" t="s">
        <v>275</v>
      </c>
      <c r="B42" s="198" t="s">
        <v>85</v>
      </c>
      <c r="C42" s="198" t="s">
        <v>97</v>
      </c>
      <c r="D42" s="41" t="s">
        <v>113</v>
      </c>
      <c r="E42" s="207" t="s">
        <v>65</v>
      </c>
      <c r="F42" s="211" t="s">
        <v>114</v>
      </c>
      <c r="G42" s="211" t="s">
        <v>115</v>
      </c>
      <c r="H42" s="44" t="s">
        <v>116</v>
      </c>
      <c r="I42" s="43" t="s">
        <v>117</v>
      </c>
      <c r="J42" s="211" t="s">
        <v>118</v>
      </c>
      <c r="K42" s="43" t="s">
        <v>119</v>
      </c>
      <c r="L42" s="211" t="s">
        <v>120</v>
      </c>
    </row>
    <row r="43" spans="1:12" ht="13.9" customHeight="1" x14ac:dyDescent="0.25">
      <c r="A43" s="152"/>
      <c r="B43" s="153"/>
      <c r="C43" s="153"/>
      <c r="D43" s="41" t="s">
        <v>40</v>
      </c>
      <c r="E43" s="153"/>
      <c r="F43" s="153"/>
      <c r="G43" s="153"/>
      <c r="H43" s="44" t="s">
        <v>121</v>
      </c>
      <c r="I43" s="43" t="s">
        <v>121</v>
      </c>
      <c r="J43" s="153"/>
      <c r="K43" s="43" t="s">
        <v>122</v>
      </c>
      <c r="L43" s="153"/>
    </row>
    <row r="44" spans="1:12" ht="13.9" customHeight="1" x14ac:dyDescent="0.25">
      <c r="A44" s="152"/>
      <c r="B44" s="45">
        <v>13.82</v>
      </c>
      <c r="C44" s="45">
        <v>0</v>
      </c>
      <c r="D44" s="207" t="s">
        <v>123</v>
      </c>
      <c r="E44" s="42">
        <v>1</v>
      </c>
      <c r="F44" s="46">
        <f t="shared" ref="F44:F84" si="10">B44-C44</f>
        <v>13.82</v>
      </c>
      <c r="G44" s="47">
        <v>1.43</v>
      </c>
      <c r="H44" s="47">
        <f>ROUND(G44*20,2)</f>
        <v>28.6</v>
      </c>
      <c r="I44" s="48">
        <v>0</v>
      </c>
      <c r="J44" s="212">
        <f>ROUND(E40*0.04,2)</f>
        <v>29.9</v>
      </c>
      <c r="K44" s="49">
        <f t="shared" ref="K44" si="11">ROUND((H44-I44)/J44*100,1)</f>
        <v>95.7</v>
      </c>
      <c r="L44" s="216">
        <f t="shared" ref="L44" si="12">SUM(K44:K46)/3</f>
        <v>94.766666666666666</v>
      </c>
    </row>
    <row r="45" spans="1:12" ht="13.9" customHeight="1" x14ac:dyDescent="0.25">
      <c r="A45" s="152"/>
      <c r="B45" s="45">
        <v>13.66</v>
      </c>
      <c r="C45" s="45">
        <v>0</v>
      </c>
      <c r="D45" s="152"/>
      <c r="E45" s="42">
        <v>2</v>
      </c>
      <c r="F45" s="46">
        <f t="shared" si="10"/>
        <v>13.66</v>
      </c>
      <c r="G45" s="47">
        <v>1.44</v>
      </c>
      <c r="H45" s="47">
        <f t="shared" ref="H45:H52" si="13">ROUND(G45*20,2)</f>
        <v>28.8</v>
      </c>
      <c r="I45" s="48">
        <v>0</v>
      </c>
      <c r="J45" s="152"/>
      <c r="K45" s="49">
        <f t="shared" ref="K45:K84" si="14">ROUND((H45-I45)/J44*100,1)</f>
        <v>96.3</v>
      </c>
      <c r="L45" s="152"/>
    </row>
    <row r="46" spans="1:12" ht="14.75" customHeight="1" x14ac:dyDescent="0.25">
      <c r="A46" s="152"/>
      <c r="B46" s="45">
        <v>13.66</v>
      </c>
      <c r="C46" s="45">
        <v>0</v>
      </c>
      <c r="D46" s="153"/>
      <c r="E46" s="42">
        <v>3</v>
      </c>
      <c r="F46" s="46">
        <f t="shared" si="10"/>
        <v>13.66</v>
      </c>
      <c r="G46" s="47">
        <v>1.38</v>
      </c>
      <c r="H46" s="47">
        <f t="shared" si="13"/>
        <v>27.6</v>
      </c>
      <c r="I46" s="48">
        <v>0</v>
      </c>
      <c r="J46" s="153"/>
      <c r="K46" s="49">
        <f t="shared" ref="K46" si="15">ROUND((H46-I46)/J44*100,1)</f>
        <v>92.3</v>
      </c>
      <c r="L46" s="153"/>
    </row>
    <row r="47" spans="1:12" ht="13.9" customHeight="1" x14ac:dyDescent="0.25">
      <c r="A47" s="152"/>
      <c r="B47" s="45">
        <v>13.74</v>
      </c>
      <c r="C47" s="45">
        <v>0</v>
      </c>
      <c r="D47" s="210" t="s">
        <v>124</v>
      </c>
      <c r="E47" s="42">
        <v>1</v>
      </c>
      <c r="F47" s="46">
        <f t="shared" si="10"/>
        <v>13.74</v>
      </c>
      <c r="G47" s="47">
        <v>36.01</v>
      </c>
      <c r="H47" s="47">
        <f t="shared" si="13"/>
        <v>720.2</v>
      </c>
      <c r="I47" s="48">
        <v>0</v>
      </c>
      <c r="J47" s="212">
        <f>ROUND(E40*1,2)</f>
        <v>747.6</v>
      </c>
      <c r="K47" s="49">
        <f t="shared" ref="K47" si="16">ROUND((H47-I47)/J47*100,1)</f>
        <v>96.3</v>
      </c>
      <c r="L47" s="216">
        <f t="shared" ref="L47" si="17">SUM(K47:K49)/3</f>
        <v>96.100000000000009</v>
      </c>
    </row>
    <row r="48" spans="1:12" ht="13.9" customHeight="1" x14ac:dyDescent="0.25">
      <c r="A48" s="152"/>
      <c r="B48" s="45">
        <v>13.8</v>
      </c>
      <c r="C48" s="45">
        <v>0</v>
      </c>
      <c r="D48" s="152"/>
      <c r="E48" s="42">
        <v>2</v>
      </c>
      <c r="F48" s="46">
        <f t="shared" si="10"/>
        <v>13.8</v>
      </c>
      <c r="G48" s="47">
        <v>36.08</v>
      </c>
      <c r="H48" s="47">
        <f t="shared" si="13"/>
        <v>721.6</v>
      </c>
      <c r="I48" s="48">
        <v>0</v>
      </c>
      <c r="J48" s="152"/>
      <c r="K48" s="49">
        <f t="shared" ref="K48:K84" si="18">ROUND((H48-I48)/J47*100,1)</f>
        <v>96.5</v>
      </c>
      <c r="L48" s="152"/>
    </row>
    <row r="49" spans="1:12" ht="14.75" customHeight="1" x14ac:dyDescent="0.25">
      <c r="A49" s="152"/>
      <c r="B49" s="45">
        <v>13.76</v>
      </c>
      <c r="C49" s="45">
        <v>0</v>
      </c>
      <c r="D49" s="153"/>
      <c r="E49" s="42">
        <v>3</v>
      </c>
      <c r="F49" s="46">
        <f t="shared" si="10"/>
        <v>13.76</v>
      </c>
      <c r="G49" s="47">
        <v>35.69</v>
      </c>
      <c r="H49" s="47">
        <f t="shared" si="13"/>
        <v>713.8</v>
      </c>
      <c r="I49" s="48">
        <v>0</v>
      </c>
      <c r="J49" s="153"/>
      <c r="K49" s="49">
        <f t="shared" ref="K49" si="19">ROUND((H49-I49)/J47*100,1)</f>
        <v>95.5</v>
      </c>
      <c r="L49" s="153"/>
    </row>
    <row r="50" spans="1:12" ht="13.9" customHeight="1" x14ac:dyDescent="0.25">
      <c r="A50" s="152"/>
      <c r="B50" s="45">
        <v>13.8</v>
      </c>
      <c r="C50" s="45">
        <v>0.04</v>
      </c>
      <c r="D50" s="210" t="s">
        <v>125</v>
      </c>
      <c r="E50" s="42">
        <v>1</v>
      </c>
      <c r="F50" s="46">
        <f t="shared" si="10"/>
        <v>13.760000000000002</v>
      </c>
      <c r="G50" s="47">
        <v>52.65</v>
      </c>
      <c r="H50" s="47">
        <f t="shared" si="13"/>
        <v>1053</v>
      </c>
      <c r="I50" s="48">
        <v>0</v>
      </c>
      <c r="J50" s="212">
        <f>ROUND(E40*1.5,2)</f>
        <v>1121.4000000000001</v>
      </c>
      <c r="K50" s="49">
        <f t="shared" ref="K50" si="20">ROUND((H50-I50)/J50*100,1)</f>
        <v>93.9</v>
      </c>
      <c r="L50" s="216">
        <f t="shared" ref="L50" si="21">SUM(K50:K52)/3</f>
        <v>93.533333333333346</v>
      </c>
    </row>
    <row r="51" spans="1:12" ht="13.9" customHeight="1" x14ac:dyDescent="0.25">
      <c r="A51" s="152"/>
      <c r="B51" s="45">
        <v>13.65</v>
      </c>
      <c r="C51" s="45">
        <v>0</v>
      </c>
      <c r="D51" s="152"/>
      <c r="E51" s="42">
        <v>2</v>
      </c>
      <c r="F51" s="46">
        <f t="shared" si="10"/>
        <v>13.65</v>
      </c>
      <c r="G51" s="47">
        <v>52.73</v>
      </c>
      <c r="H51" s="47">
        <f t="shared" si="13"/>
        <v>1054.5999999999999</v>
      </c>
      <c r="I51" s="48">
        <v>0</v>
      </c>
      <c r="J51" s="152"/>
      <c r="K51" s="49">
        <f t="shared" ref="K51:K84" si="22">ROUND((H51-I51)/J50*100,1)</f>
        <v>94</v>
      </c>
      <c r="L51" s="152"/>
    </row>
    <row r="52" spans="1:12" ht="14.75" customHeight="1" x14ac:dyDescent="0.25">
      <c r="A52" s="152"/>
      <c r="B52" s="45">
        <v>13.7</v>
      </c>
      <c r="C52" s="45">
        <v>0</v>
      </c>
      <c r="D52" s="153"/>
      <c r="E52" s="42">
        <v>3</v>
      </c>
      <c r="F52" s="46">
        <f t="shared" si="10"/>
        <v>13.7</v>
      </c>
      <c r="G52" s="47">
        <v>51.96</v>
      </c>
      <c r="H52" s="47">
        <f t="shared" si="13"/>
        <v>1039.2</v>
      </c>
      <c r="I52" s="48">
        <v>0</v>
      </c>
      <c r="J52" s="153"/>
      <c r="K52" s="49">
        <f t="shared" ref="K52" si="23">ROUND((H52-I52)/J50*100,1)</f>
        <v>92.7</v>
      </c>
      <c r="L52" s="153"/>
    </row>
    <row r="53" spans="1:12" ht="17.25" customHeight="1" x14ac:dyDescent="0.25">
      <c r="A53" s="152"/>
      <c r="B53" s="218"/>
      <c r="C53" s="188"/>
      <c r="D53" s="205" t="s">
        <v>126</v>
      </c>
      <c r="E53" s="143"/>
      <c r="F53" s="144"/>
      <c r="G53" s="206">
        <f t="shared" ref="G53" si="24">SUM(K44:K52)/9</f>
        <v>94.800000000000011</v>
      </c>
      <c r="H53" s="143"/>
      <c r="I53" s="143"/>
      <c r="J53" s="143"/>
      <c r="K53" s="143"/>
      <c r="L53" s="144"/>
    </row>
    <row r="54" spans="1:12" ht="17.25" customHeight="1" x14ac:dyDescent="0.25">
      <c r="A54" s="152"/>
      <c r="B54" s="189"/>
      <c r="C54" s="155"/>
      <c r="D54" s="207" t="s">
        <v>127</v>
      </c>
      <c r="E54" s="143"/>
      <c r="F54" s="144"/>
      <c r="G54" s="208">
        <f t="shared" ref="G54" si="25">IFERROR(STDEV(K44:K52)/AVERAGE(K44:K52)*100,"")</f>
        <v>1.7008982591347139</v>
      </c>
      <c r="H54" s="143"/>
      <c r="I54" s="143"/>
      <c r="J54" s="143"/>
      <c r="K54" s="143"/>
      <c r="L54" s="144"/>
    </row>
    <row r="55" spans="1:12" ht="17.25" customHeight="1" x14ac:dyDescent="0.25">
      <c r="A55" s="152"/>
      <c r="B55" s="189"/>
      <c r="C55" s="155"/>
      <c r="D55" s="184" t="s">
        <v>128</v>
      </c>
      <c r="E55" s="144"/>
      <c r="F55" s="217">
        <f t="shared" ref="F55" si="26">ROUND(AVERAGEA(K44:K52)-TINV(0.05,8)*STDEVA(K44:K52)/SQRT(9),1)</f>
        <v>93.6</v>
      </c>
      <c r="G55" s="143"/>
      <c r="H55" s="144"/>
      <c r="I55" s="184" t="s">
        <v>129</v>
      </c>
      <c r="J55" s="144"/>
      <c r="K55" s="217">
        <f t="shared" ref="K55" si="27">ROUND(AVERAGEA(K44:K52)+TINV(0.05,9-1)*STDEVA(K44:K52)/SQRT(9),1)</f>
        <v>96</v>
      </c>
      <c r="L55" s="144"/>
    </row>
    <row r="56" spans="1:12" ht="17.25" customHeight="1" x14ac:dyDescent="0.25">
      <c r="A56" s="153"/>
      <c r="B56" s="190"/>
      <c r="C56" s="173"/>
      <c r="D56" s="205" t="s">
        <v>36</v>
      </c>
      <c r="E56" s="143"/>
      <c r="F56" s="144"/>
      <c r="G56" s="219"/>
      <c r="H56" s="143"/>
      <c r="I56" s="143"/>
      <c r="J56" s="143"/>
      <c r="K56" s="143"/>
      <c r="L56" s="144"/>
    </row>
    <row r="57" spans="1:12" ht="25.25" customHeight="1" x14ac:dyDescent="0.25">
      <c r="A57" s="193" t="s">
        <v>100</v>
      </c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4"/>
    </row>
    <row r="58" spans="1:12" ht="13.5" customHeight="1" x14ac:dyDescent="0.25">
      <c r="A58" s="192" t="s">
        <v>25</v>
      </c>
      <c r="B58" s="188"/>
      <c r="C58" s="198" t="s">
        <v>85</v>
      </c>
      <c r="D58" s="198" t="s">
        <v>97</v>
      </c>
      <c r="E58" s="186" t="s">
        <v>65</v>
      </c>
      <c r="F58" s="20" t="s">
        <v>101</v>
      </c>
      <c r="G58" s="192" t="s">
        <v>28</v>
      </c>
      <c r="H58" s="192" t="s">
        <v>87</v>
      </c>
      <c r="I58" s="199" t="s">
        <v>102</v>
      </c>
      <c r="J58" s="192" t="s">
        <v>103</v>
      </c>
      <c r="K58" s="200"/>
      <c r="L58" s="188"/>
    </row>
    <row r="59" spans="1:12" ht="13.9" customHeight="1" x14ac:dyDescent="0.25">
      <c r="A59" s="190"/>
      <c r="B59" s="173"/>
      <c r="C59" s="153"/>
      <c r="D59" s="153"/>
      <c r="E59" s="153"/>
      <c r="F59" s="20" t="s">
        <v>104</v>
      </c>
      <c r="G59" s="153"/>
      <c r="H59" s="153"/>
      <c r="I59" s="153"/>
      <c r="J59" s="190"/>
      <c r="K59" s="201"/>
      <c r="L59" s="173"/>
    </row>
    <row r="60" spans="1:12" ht="13.9" customHeight="1" x14ac:dyDescent="0.25">
      <c r="A60" s="202" t="s">
        <v>276</v>
      </c>
      <c r="B60" s="188"/>
      <c r="C60" s="21">
        <v>13.7</v>
      </c>
      <c r="D60" s="21">
        <v>0</v>
      </c>
      <c r="E60" s="19">
        <v>1</v>
      </c>
      <c r="F60" s="22">
        <f t="shared" ref="F60:F84" si="28">C60-D60</f>
        <v>13.7</v>
      </c>
      <c r="G60" s="23">
        <v>0</v>
      </c>
      <c r="H60" s="24">
        <v>0</v>
      </c>
      <c r="I60" s="25">
        <f t="shared" ref="I60:I62" si="29">ROUND(H60*20/F60,1)</f>
        <v>0</v>
      </c>
      <c r="J60" s="203">
        <f t="shared" ref="J60" si="30">SUM(I60:I62)/3</f>
        <v>0</v>
      </c>
      <c r="K60" s="200"/>
      <c r="L60" s="188"/>
    </row>
    <row r="61" spans="1:12" ht="13.9" customHeight="1" x14ac:dyDescent="0.25">
      <c r="A61" s="189"/>
      <c r="B61" s="155"/>
      <c r="C61" s="21">
        <v>13.71</v>
      </c>
      <c r="D61" s="21">
        <v>0</v>
      </c>
      <c r="E61" s="19">
        <v>2</v>
      </c>
      <c r="F61" s="22">
        <f t="shared" si="28"/>
        <v>13.71</v>
      </c>
      <c r="G61" s="23">
        <v>0</v>
      </c>
      <c r="H61" s="24">
        <v>0</v>
      </c>
      <c r="I61" s="25">
        <f t="shared" si="29"/>
        <v>0</v>
      </c>
      <c r="J61" s="189"/>
      <c r="K61" s="138"/>
      <c r="L61" s="155"/>
    </row>
    <row r="62" spans="1:12" ht="13.9" customHeight="1" x14ac:dyDescent="0.25">
      <c r="A62" s="190"/>
      <c r="B62" s="173"/>
      <c r="C62" s="21">
        <v>13.72</v>
      </c>
      <c r="D62" s="21">
        <v>0.04</v>
      </c>
      <c r="E62" s="19">
        <v>3</v>
      </c>
      <c r="F62" s="22">
        <f t="shared" si="28"/>
        <v>13.680000000000001</v>
      </c>
      <c r="G62" s="23">
        <v>0</v>
      </c>
      <c r="H62" s="24">
        <v>0</v>
      </c>
      <c r="I62" s="25">
        <f t="shared" si="29"/>
        <v>0</v>
      </c>
      <c r="J62" s="190"/>
      <c r="K62" s="201"/>
      <c r="L62" s="173"/>
    </row>
    <row r="63" spans="1:12" ht="13.5" customHeight="1" x14ac:dyDescent="0.25">
      <c r="A63" s="193" t="s">
        <v>105</v>
      </c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188"/>
    </row>
    <row r="64" spans="1:12" ht="13.5" customHeight="1" x14ac:dyDescent="0.25">
      <c r="A64" s="190"/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173"/>
    </row>
    <row r="65" spans="1:12" ht="25" customHeight="1" x14ac:dyDescent="0.25">
      <c r="A65" s="26">
        <v>46162</v>
      </c>
      <c r="B65" s="17"/>
      <c r="C65" s="17"/>
      <c r="D65" s="17"/>
      <c r="E65" s="27"/>
      <c r="F65" s="28" t="s">
        <v>106</v>
      </c>
      <c r="G65" s="28" t="s">
        <v>107</v>
      </c>
      <c r="H65" s="28" t="s">
        <v>108</v>
      </c>
      <c r="I65" s="28" t="s">
        <v>109</v>
      </c>
      <c r="J65" s="28" t="s">
        <v>110</v>
      </c>
      <c r="K65" s="194" t="s">
        <v>111</v>
      </c>
      <c r="L65" s="144"/>
    </row>
    <row r="66" spans="1:12" ht="25" customHeight="1" x14ac:dyDescent="0.25">
      <c r="A66" s="26"/>
      <c r="B66" s="29"/>
      <c r="C66" s="30"/>
      <c r="D66" s="29"/>
      <c r="E66" s="31"/>
      <c r="F66" s="32">
        <v>0.02</v>
      </c>
      <c r="G66" s="32">
        <v>0.04</v>
      </c>
      <c r="H66" s="33">
        <v>0.5</v>
      </c>
      <c r="I66" s="32">
        <v>1</v>
      </c>
      <c r="J66" s="32">
        <v>1.5</v>
      </c>
      <c r="K66" s="195">
        <v>2</v>
      </c>
      <c r="L66" s="144"/>
    </row>
    <row r="67" spans="1:12" ht="25" customHeight="1" x14ac:dyDescent="0.25">
      <c r="A67" s="34" t="s">
        <v>40</v>
      </c>
      <c r="B67" s="35" t="s">
        <v>41</v>
      </c>
      <c r="C67" s="36" t="s">
        <v>42</v>
      </c>
      <c r="D67" s="35" t="s">
        <v>43</v>
      </c>
      <c r="E67" s="35" t="s">
        <v>44</v>
      </c>
      <c r="F67" s="31" t="s">
        <v>45</v>
      </c>
      <c r="G67" s="31" t="s">
        <v>46</v>
      </c>
      <c r="H67" s="29" t="s">
        <v>47</v>
      </c>
      <c r="I67" s="31" t="s">
        <v>48</v>
      </c>
      <c r="J67" s="31" t="s">
        <v>49</v>
      </c>
      <c r="K67" s="196" t="s">
        <v>50</v>
      </c>
      <c r="L67" s="144"/>
    </row>
    <row r="68" spans="1:12" ht="20.25" customHeight="1" x14ac:dyDescent="0.25">
      <c r="A68" s="37" t="s">
        <v>276</v>
      </c>
      <c r="B68" s="38">
        <v>2.0150000000000001</v>
      </c>
      <c r="C68" s="39">
        <v>0.98470000000000002</v>
      </c>
      <c r="D68" s="40">
        <f>B68*C68/20*1000*1000</f>
        <v>99208.525000000009</v>
      </c>
      <c r="E68" s="40">
        <f>D68*0.75/10*2/20</f>
        <v>744.06393750000007</v>
      </c>
      <c r="F68" s="240">
        <f>ROUND($E$68*F66/20,2)</f>
        <v>0.74</v>
      </c>
      <c r="G68" s="240">
        <f t="shared" ref="G68:J68" si="31">ROUND($E$68*G66/20,2)</f>
        <v>1.49</v>
      </c>
      <c r="H68" s="240">
        <f t="shared" si="31"/>
        <v>18.600000000000001</v>
      </c>
      <c r="I68" s="240">
        <f t="shared" si="31"/>
        <v>37.200000000000003</v>
      </c>
      <c r="J68" s="240">
        <f t="shared" si="31"/>
        <v>55.8</v>
      </c>
      <c r="K68" s="243">
        <f>ROUND($E$68*K66/20,2)</f>
        <v>74.41</v>
      </c>
      <c r="L68" s="244"/>
    </row>
    <row r="69" spans="1:12" ht="25.25" customHeight="1" x14ac:dyDescent="0.25">
      <c r="A69" s="204" t="s">
        <v>112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4"/>
    </row>
    <row r="70" spans="1:12" ht="13.5" customHeight="1" x14ac:dyDescent="0.25">
      <c r="A70" s="209" t="s">
        <v>276</v>
      </c>
      <c r="B70" s="198" t="s">
        <v>85</v>
      </c>
      <c r="C70" s="198" t="s">
        <v>97</v>
      </c>
      <c r="D70" s="41" t="s">
        <v>113</v>
      </c>
      <c r="E70" s="207" t="s">
        <v>65</v>
      </c>
      <c r="F70" s="211" t="s">
        <v>114</v>
      </c>
      <c r="G70" s="211" t="s">
        <v>115</v>
      </c>
      <c r="H70" s="44" t="s">
        <v>116</v>
      </c>
      <c r="I70" s="43" t="s">
        <v>117</v>
      </c>
      <c r="J70" s="211" t="s">
        <v>118</v>
      </c>
      <c r="K70" s="43" t="s">
        <v>119</v>
      </c>
      <c r="L70" s="211" t="s">
        <v>120</v>
      </c>
    </row>
    <row r="71" spans="1:12" ht="13.9" customHeight="1" x14ac:dyDescent="0.25">
      <c r="A71" s="152"/>
      <c r="B71" s="153"/>
      <c r="C71" s="153"/>
      <c r="D71" s="41" t="s">
        <v>40</v>
      </c>
      <c r="E71" s="153"/>
      <c r="F71" s="153"/>
      <c r="G71" s="153"/>
      <c r="H71" s="44" t="s">
        <v>121</v>
      </c>
      <c r="I71" s="43" t="s">
        <v>121</v>
      </c>
      <c r="J71" s="153"/>
      <c r="K71" s="43" t="s">
        <v>122</v>
      </c>
      <c r="L71" s="153"/>
    </row>
    <row r="72" spans="1:12" ht="13.9" customHeight="1" x14ac:dyDescent="0.25">
      <c r="A72" s="152"/>
      <c r="B72" s="45">
        <v>13.82</v>
      </c>
      <c r="C72" s="45">
        <v>0</v>
      </c>
      <c r="D72" s="207" t="s">
        <v>123</v>
      </c>
      <c r="E72" s="42">
        <v>1</v>
      </c>
      <c r="F72" s="46">
        <f t="shared" ref="F72:F84" si="32">B72-C72</f>
        <v>13.82</v>
      </c>
      <c r="G72" s="47">
        <v>1.51</v>
      </c>
      <c r="H72" s="47">
        <f>ROUND(G72*20,2)</f>
        <v>30.2</v>
      </c>
      <c r="I72" s="48">
        <v>0</v>
      </c>
      <c r="J72" s="212">
        <f>ROUND(E68*0.04,2)</f>
        <v>29.76</v>
      </c>
      <c r="K72" s="49">
        <f t="shared" ref="K72" si="33">ROUND((H72-I72)/J72*100,1)</f>
        <v>101.5</v>
      </c>
      <c r="L72" s="216">
        <f t="shared" ref="L72" si="34">SUM(K72:K74)/3</f>
        <v>101.5</v>
      </c>
    </row>
    <row r="73" spans="1:12" ht="13.9" customHeight="1" x14ac:dyDescent="0.25">
      <c r="A73" s="152"/>
      <c r="B73" s="45">
        <v>13.66</v>
      </c>
      <c r="C73" s="45">
        <v>0</v>
      </c>
      <c r="D73" s="152"/>
      <c r="E73" s="42">
        <v>2</v>
      </c>
      <c r="F73" s="46">
        <f t="shared" si="32"/>
        <v>13.66</v>
      </c>
      <c r="G73" s="47">
        <v>1.5</v>
      </c>
      <c r="H73" s="47">
        <f t="shared" ref="H73:H80" si="35">ROUND(G73*20,2)</f>
        <v>30</v>
      </c>
      <c r="I73" s="48">
        <v>0</v>
      </c>
      <c r="J73" s="152"/>
      <c r="K73" s="49">
        <f t="shared" ref="K73:K84" si="36">ROUND((H73-I73)/J72*100,1)</f>
        <v>100.8</v>
      </c>
      <c r="L73" s="152"/>
    </row>
    <row r="74" spans="1:12" ht="14.75" customHeight="1" x14ac:dyDescent="0.25">
      <c r="A74" s="152"/>
      <c r="B74" s="45">
        <v>13.66</v>
      </c>
      <c r="C74" s="45">
        <v>0</v>
      </c>
      <c r="D74" s="153"/>
      <c r="E74" s="42">
        <v>3</v>
      </c>
      <c r="F74" s="46">
        <f t="shared" si="32"/>
        <v>13.66</v>
      </c>
      <c r="G74" s="47">
        <v>1.52</v>
      </c>
      <c r="H74" s="47">
        <f t="shared" si="35"/>
        <v>30.4</v>
      </c>
      <c r="I74" s="48">
        <v>0</v>
      </c>
      <c r="J74" s="153"/>
      <c r="K74" s="49">
        <f t="shared" ref="K74" si="37">ROUND((H74-I74)/J72*100,1)</f>
        <v>102.2</v>
      </c>
      <c r="L74" s="153"/>
    </row>
    <row r="75" spans="1:12" ht="13.9" customHeight="1" x14ac:dyDescent="0.25">
      <c r="A75" s="152"/>
      <c r="B75" s="45">
        <v>13.74</v>
      </c>
      <c r="C75" s="45">
        <v>0</v>
      </c>
      <c r="D75" s="210" t="s">
        <v>124</v>
      </c>
      <c r="E75" s="42">
        <v>1</v>
      </c>
      <c r="F75" s="46">
        <f t="shared" si="32"/>
        <v>13.74</v>
      </c>
      <c r="G75" s="47">
        <v>37.53</v>
      </c>
      <c r="H75" s="47">
        <f t="shared" si="35"/>
        <v>750.6</v>
      </c>
      <c r="I75" s="48">
        <v>0</v>
      </c>
      <c r="J75" s="212">
        <f>ROUND(E68*1,2)</f>
        <v>744.06</v>
      </c>
      <c r="K75" s="49">
        <f t="shared" ref="K75" si="38">ROUND((H75-I75)/J75*100,1)</f>
        <v>100.9</v>
      </c>
      <c r="L75" s="216">
        <f t="shared" ref="L75" si="39">SUM(K75:K77)/3</f>
        <v>99.7</v>
      </c>
    </row>
    <row r="76" spans="1:12" ht="13.9" customHeight="1" x14ac:dyDescent="0.25">
      <c r="A76" s="152"/>
      <c r="B76" s="45">
        <v>13.8</v>
      </c>
      <c r="C76" s="45">
        <v>0</v>
      </c>
      <c r="D76" s="152"/>
      <c r="E76" s="42">
        <v>2</v>
      </c>
      <c r="F76" s="46">
        <f t="shared" si="32"/>
        <v>13.8</v>
      </c>
      <c r="G76" s="47">
        <v>36.89</v>
      </c>
      <c r="H76" s="47">
        <f t="shared" si="35"/>
        <v>737.8</v>
      </c>
      <c r="I76" s="48">
        <v>0</v>
      </c>
      <c r="J76" s="152"/>
      <c r="K76" s="49">
        <f t="shared" ref="K76:K84" si="40">ROUND((H76-I76)/J75*100,1)</f>
        <v>99.2</v>
      </c>
      <c r="L76" s="152"/>
    </row>
    <row r="77" spans="1:12" ht="14.75" customHeight="1" x14ac:dyDescent="0.25">
      <c r="A77" s="152"/>
      <c r="B77" s="45">
        <v>13.76</v>
      </c>
      <c r="C77" s="45">
        <v>0</v>
      </c>
      <c r="D77" s="153"/>
      <c r="E77" s="42">
        <v>3</v>
      </c>
      <c r="F77" s="46">
        <f t="shared" si="32"/>
        <v>13.76</v>
      </c>
      <c r="G77" s="47">
        <v>36.83</v>
      </c>
      <c r="H77" s="47">
        <f t="shared" si="35"/>
        <v>736.6</v>
      </c>
      <c r="I77" s="48">
        <v>0</v>
      </c>
      <c r="J77" s="153"/>
      <c r="K77" s="49">
        <f t="shared" ref="K77" si="41">ROUND((H77-I77)/J75*100,1)</f>
        <v>99</v>
      </c>
      <c r="L77" s="153"/>
    </row>
    <row r="78" spans="1:12" ht="13.9" customHeight="1" x14ac:dyDescent="0.25">
      <c r="A78" s="152"/>
      <c r="B78" s="45">
        <v>13.8</v>
      </c>
      <c r="C78" s="45">
        <v>0.04</v>
      </c>
      <c r="D78" s="210" t="s">
        <v>125</v>
      </c>
      <c r="E78" s="42">
        <v>1</v>
      </c>
      <c r="F78" s="46">
        <f t="shared" si="32"/>
        <v>13.760000000000002</v>
      </c>
      <c r="G78" s="47">
        <v>54.5</v>
      </c>
      <c r="H78" s="47">
        <f t="shared" si="35"/>
        <v>1090</v>
      </c>
      <c r="I78" s="48">
        <v>0</v>
      </c>
      <c r="J78" s="212">
        <f>ROUND(E68*1.5,2)</f>
        <v>1116.0999999999999</v>
      </c>
      <c r="K78" s="49">
        <f t="shared" ref="K78" si="42">ROUND((H78-I78)/J78*100,1)</f>
        <v>97.7</v>
      </c>
      <c r="L78" s="216">
        <f t="shared" ref="L78" si="43">SUM(K78:K80)/3</f>
        <v>97.2</v>
      </c>
    </row>
    <row r="79" spans="1:12" ht="13.9" customHeight="1" x14ac:dyDescent="0.25">
      <c r="A79" s="152"/>
      <c r="B79" s="45">
        <v>13.65</v>
      </c>
      <c r="C79" s="45">
        <v>0</v>
      </c>
      <c r="D79" s="152"/>
      <c r="E79" s="42">
        <v>2</v>
      </c>
      <c r="F79" s="46">
        <f t="shared" si="32"/>
        <v>13.65</v>
      </c>
      <c r="G79" s="47">
        <v>54.09</v>
      </c>
      <c r="H79" s="47">
        <f t="shared" si="35"/>
        <v>1081.8</v>
      </c>
      <c r="I79" s="48">
        <v>0</v>
      </c>
      <c r="J79" s="152"/>
      <c r="K79" s="49">
        <f t="shared" ref="K79:K84" si="44">ROUND((H79-I79)/J78*100,1)</f>
        <v>96.9</v>
      </c>
      <c r="L79" s="152"/>
    </row>
    <row r="80" spans="1:12" ht="14.75" customHeight="1" x14ac:dyDescent="0.25">
      <c r="A80" s="152"/>
      <c r="B80" s="45">
        <v>13.7</v>
      </c>
      <c r="C80" s="45">
        <v>0</v>
      </c>
      <c r="D80" s="153"/>
      <c r="E80" s="42">
        <v>3</v>
      </c>
      <c r="F80" s="46">
        <f t="shared" si="32"/>
        <v>13.7</v>
      </c>
      <c r="G80" s="47">
        <v>54.13</v>
      </c>
      <c r="H80" s="47">
        <f t="shared" si="35"/>
        <v>1082.5999999999999</v>
      </c>
      <c r="I80" s="48">
        <v>0</v>
      </c>
      <c r="J80" s="153"/>
      <c r="K80" s="49">
        <f t="shared" ref="K80" si="45">ROUND((H80-I80)/J78*100,1)</f>
        <v>97</v>
      </c>
      <c r="L80" s="153"/>
    </row>
    <row r="81" spans="1:12" ht="17.25" customHeight="1" x14ac:dyDescent="0.25">
      <c r="A81" s="152"/>
      <c r="B81" s="218"/>
      <c r="C81" s="188"/>
      <c r="D81" s="205" t="s">
        <v>126</v>
      </c>
      <c r="E81" s="143"/>
      <c r="F81" s="144"/>
      <c r="G81" s="206">
        <f t="shared" ref="G81" si="46">SUM(K72:K80)/9</f>
        <v>99.466666666666654</v>
      </c>
      <c r="H81" s="143"/>
      <c r="I81" s="143"/>
      <c r="J81" s="143"/>
      <c r="K81" s="143"/>
      <c r="L81" s="144"/>
    </row>
    <row r="82" spans="1:12" ht="17.25" customHeight="1" x14ac:dyDescent="0.25">
      <c r="A82" s="152"/>
      <c r="B82" s="189"/>
      <c r="C82" s="155"/>
      <c r="D82" s="207" t="s">
        <v>127</v>
      </c>
      <c r="E82" s="143"/>
      <c r="F82" s="144"/>
      <c r="G82" s="208">
        <f t="shared" ref="G82" si="47">IFERROR(STDEV(K72:K80)/AVERAGE(K72:K80)*100,"")</f>
        <v>1.9955864518712336</v>
      </c>
      <c r="H82" s="143"/>
      <c r="I82" s="143"/>
      <c r="J82" s="143"/>
      <c r="K82" s="143"/>
      <c r="L82" s="144"/>
    </row>
    <row r="83" spans="1:12" ht="17.25" customHeight="1" x14ac:dyDescent="0.25">
      <c r="A83" s="152"/>
      <c r="B83" s="189"/>
      <c r="C83" s="155"/>
      <c r="D83" s="184" t="s">
        <v>128</v>
      </c>
      <c r="E83" s="144"/>
      <c r="F83" s="217">
        <f t="shared" ref="F83" si="48">ROUND(AVERAGEA(K72:K80)-TINV(0.05,8)*STDEVA(K72:K80)/SQRT(9),1)</f>
        <v>97.9</v>
      </c>
      <c r="G83" s="143"/>
      <c r="H83" s="144"/>
      <c r="I83" s="184" t="s">
        <v>129</v>
      </c>
      <c r="J83" s="144"/>
      <c r="K83" s="217">
        <f t="shared" ref="K83" si="49">ROUND(AVERAGEA(K72:K80)+TINV(0.05,9-1)*STDEVA(K72:K80)/SQRT(9),1)</f>
        <v>101</v>
      </c>
      <c r="L83" s="144"/>
    </row>
    <row r="84" spans="1:12" ht="17.25" customHeight="1" x14ac:dyDescent="0.25">
      <c r="A84" s="153"/>
      <c r="B84" s="190"/>
      <c r="C84" s="173"/>
      <c r="D84" s="205" t="s">
        <v>36</v>
      </c>
      <c r="E84" s="143"/>
      <c r="F84" s="144"/>
      <c r="G84" s="219"/>
      <c r="H84" s="143"/>
      <c r="I84" s="143"/>
      <c r="J84" s="143"/>
      <c r="K84" s="143"/>
      <c r="L84" s="144"/>
    </row>
  </sheetData>
  <mergeCells count="135">
    <mergeCell ref="G82:L82"/>
    <mergeCell ref="D83:E83"/>
    <mergeCell ref="F83:H83"/>
    <mergeCell ref="I83:J83"/>
    <mergeCell ref="K83:L83"/>
    <mergeCell ref="D84:F84"/>
    <mergeCell ref="G84:L84"/>
    <mergeCell ref="K67:L67"/>
    <mergeCell ref="K68:L68"/>
    <mergeCell ref="A69:L69"/>
    <mergeCell ref="A70:A84"/>
    <mergeCell ref="B70:B71"/>
    <mergeCell ref="C70:C71"/>
    <mergeCell ref="E70:E71"/>
    <mergeCell ref="F70:F71"/>
    <mergeCell ref="G70:G71"/>
    <mergeCell ref="J70:J71"/>
    <mergeCell ref="L70:L71"/>
    <mergeCell ref="D72:D74"/>
    <mergeCell ref="J72:J74"/>
    <mergeCell ref="L72:L74"/>
    <mergeCell ref="D75:D77"/>
    <mergeCell ref="J75:J77"/>
    <mergeCell ref="L75:L77"/>
    <mergeCell ref="D78:D80"/>
    <mergeCell ref="J78:J80"/>
    <mergeCell ref="L78:L80"/>
    <mergeCell ref="B81:C84"/>
    <mergeCell ref="D81:F81"/>
    <mergeCell ref="G81:L81"/>
    <mergeCell ref="D82:F82"/>
    <mergeCell ref="A63:L64"/>
    <mergeCell ref="K65:L65"/>
    <mergeCell ref="K66:L66"/>
    <mergeCell ref="A57:L57"/>
    <mergeCell ref="A58:B59"/>
    <mergeCell ref="C58:C59"/>
    <mergeCell ref="D58:D59"/>
    <mergeCell ref="E58:E59"/>
    <mergeCell ref="G58:G59"/>
    <mergeCell ref="H58:H59"/>
    <mergeCell ref="I58:I59"/>
    <mergeCell ref="J58:L59"/>
    <mergeCell ref="G54:L54"/>
    <mergeCell ref="D55:E55"/>
    <mergeCell ref="F55:H55"/>
    <mergeCell ref="I55:J55"/>
    <mergeCell ref="K55:L55"/>
    <mergeCell ref="D56:F56"/>
    <mergeCell ref="G56:L56"/>
    <mergeCell ref="A60:B62"/>
    <mergeCell ref="J60:L62"/>
    <mergeCell ref="K39:L39"/>
    <mergeCell ref="K40:L40"/>
    <mergeCell ref="A41:L41"/>
    <mergeCell ref="A42:A56"/>
    <mergeCell ref="B42:B43"/>
    <mergeCell ref="C42:C43"/>
    <mergeCell ref="E42:E43"/>
    <mergeCell ref="F42:F43"/>
    <mergeCell ref="G42:G43"/>
    <mergeCell ref="J42:J43"/>
    <mergeCell ref="L42:L43"/>
    <mergeCell ref="D44:D46"/>
    <mergeCell ref="J44:J46"/>
    <mergeCell ref="L44:L46"/>
    <mergeCell ref="D47:D49"/>
    <mergeCell ref="J47:J49"/>
    <mergeCell ref="L47:L49"/>
    <mergeCell ref="D50:D52"/>
    <mergeCell ref="J50:J52"/>
    <mergeCell ref="L50:L52"/>
    <mergeCell ref="B53:C56"/>
    <mergeCell ref="D53:F53"/>
    <mergeCell ref="G53:L53"/>
    <mergeCell ref="D54:F54"/>
    <mergeCell ref="I27:J27"/>
    <mergeCell ref="K27:L27"/>
    <mergeCell ref="A32:B34"/>
    <mergeCell ref="J32:L34"/>
    <mergeCell ref="A35:L36"/>
    <mergeCell ref="K37:L37"/>
    <mergeCell ref="K38:L38"/>
    <mergeCell ref="B25:C28"/>
    <mergeCell ref="A29:L29"/>
    <mergeCell ref="A30:B31"/>
    <mergeCell ref="C30:C31"/>
    <mergeCell ref="D30:D31"/>
    <mergeCell ref="E30:E31"/>
    <mergeCell ref="G30:G31"/>
    <mergeCell ref="H30:H31"/>
    <mergeCell ref="I30:I31"/>
    <mergeCell ref="J30:L31"/>
    <mergeCell ref="D28:F28"/>
    <mergeCell ref="G28:L28"/>
    <mergeCell ref="A13:L13"/>
    <mergeCell ref="D25:F25"/>
    <mergeCell ref="G25:L25"/>
    <mergeCell ref="D26:F26"/>
    <mergeCell ref="G26:L26"/>
    <mergeCell ref="A14:A28"/>
    <mergeCell ref="B14:B15"/>
    <mergeCell ref="C14:C15"/>
    <mergeCell ref="D16:D18"/>
    <mergeCell ref="D19:D21"/>
    <mergeCell ref="D22:D24"/>
    <mergeCell ref="E14:E15"/>
    <mergeCell ref="F14:F15"/>
    <mergeCell ref="G14:G15"/>
    <mergeCell ref="J14:J15"/>
    <mergeCell ref="J16:J18"/>
    <mergeCell ref="J19:J21"/>
    <mergeCell ref="J22:J24"/>
    <mergeCell ref="L14:L15"/>
    <mergeCell ref="L16:L18"/>
    <mergeCell ref="L19:L21"/>
    <mergeCell ref="L22:L24"/>
    <mergeCell ref="D27:E27"/>
    <mergeCell ref="F27:H27"/>
    <mergeCell ref="A1:L1"/>
    <mergeCell ref="K9:L9"/>
    <mergeCell ref="K10:L10"/>
    <mergeCell ref="K11:L11"/>
    <mergeCell ref="K12:L12"/>
    <mergeCell ref="C2:C3"/>
    <mergeCell ref="D2:D3"/>
    <mergeCell ref="E2:E3"/>
    <mergeCell ref="G2:G3"/>
    <mergeCell ref="H2:H3"/>
    <mergeCell ref="I2:I3"/>
    <mergeCell ref="A2:B3"/>
    <mergeCell ref="J2:L3"/>
    <mergeCell ref="A4:B6"/>
    <mergeCell ref="J4:L6"/>
    <mergeCell ref="A7:L8"/>
  </mergeCells>
  <phoneticPr fontId="48" type="noConversion"/>
  <pageMargins left="0.75" right="0.75" top="1" bottom="1" header="0.5" footer="0.5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7"/>
  <sheetViews>
    <sheetView topLeftCell="B10" workbookViewId="0">
      <selection activeCell="C22" sqref="C22:G26"/>
    </sheetView>
  </sheetViews>
  <sheetFormatPr defaultColWidth="9" defaultRowHeight="14" x14ac:dyDescent="0.25"/>
  <cols>
    <col min="1" max="1" width="20.90625" customWidth="1"/>
    <col min="2" max="7" width="13.08984375" customWidth="1"/>
    <col min="8" max="8" width="13" customWidth="1"/>
    <col min="10" max="10" width="12.453125" customWidth="1"/>
    <col min="12" max="12" width="13" customWidth="1"/>
    <col min="14" max="14" width="12.26953125" customWidth="1"/>
    <col min="17" max="17" width="20.08984375" customWidth="1"/>
  </cols>
  <sheetData>
    <row r="1" spans="1:7" ht="23.25" customHeight="1" x14ac:dyDescent="0.25">
      <c r="A1" s="10"/>
      <c r="B1" s="168" t="s">
        <v>130</v>
      </c>
      <c r="C1" s="143"/>
      <c r="D1" s="143"/>
      <c r="E1" s="143"/>
      <c r="F1" s="143"/>
      <c r="G1" s="144"/>
    </row>
    <row r="2" spans="1:7" ht="19" customHeight="1" x14ac:dyDescent="0.25">
      <c r="A2" s="221" t="s">
        <v>274</v>
      </c>
      <c r="B2" s="222"/>
      <c r="C2" s="223" t="s">
        <v>131</v>
      </c>
      <c r="D2" s="220" t="s">
        <v>52</v>
      </c>
      <c r="E2" s="144"/>
      <c r="F2" s="220" t="s">
        <v>54</v>
      </c>
      <c r="G2" s="144"/>
    </row>
    <row r="3" spans="1:7" ht="13.5" customHeight="1" x14ac:dyDescent="0.25">
      <c r="A3" s="152"/>
      <c r="B3" s="153"/>
      <c r="C3" s="153"/>
      <c r="D3" s="12" t="s">
        <v>132</v>
      </c>
      <c r="E3" s="13" t="s">
        <v>133</v>
      </c>
      <c r="F3" s="12" t="s">
        <v>132</v>
      </c>
      <c r="G3" s="13" t="s">
        <v>133</v>
      </c>
    </row>
    <row r="4" spans="1:7" x14ac:dyDescent="0.25">
      <c r="A4" s="152"/>
      <c r="B4" s="14">
        <v>0</v>
      </c>
      <c r="C4" s="15" t="s">
        <v>228</v>
      </c>
      <c r="D4" s="16">
        <v>40.42</v>
      </c>
      <c r="E4" s="13" t="s">
        <v>134</v>
      </c>
      <c r="F4" s="16">
        <v>37.270000000000003</v>
      </c>
      <c r="G4" s="13" t="s">
        <v>134</v>
      </c>
    </row>
    <row r="5" spans="1:7" x14ac:dyDescent="0.25">
      <c r="A5" s="152"/>
      <c r="B5" s="14">
        <v>4</v>
      </c>
      <c r="C5" s="15" t="s">
        <v>261</v>
      </c>
      <c r="D5" s="16">
        <v>38.520000000000003</v>
      </c>
      <c r="E5" s="13">
        <f>ROUND(D5/D4,2)</f>
        <v>0.95</v>
      </c>
      <c r="F5" s="16">
        <v>35.72</v>
      </c>
      <c r="G5" s="13">
        <f>ROUND(F5/F4,2)</f>
        <v>0.96</v>
      </c>
    </row>
    <row r="6" spans="1:7" x14ac:dyDescent="0.25">
      <c r="A6" s="152"/>
      <c r="B6" s="14">
        <v>7.2</v>
      </c>
      <c r="C6" s="15" t="s">
        <v>262</v>
      </c>
      <c r="D6" s="16">
        <v>35.65</v>
      </c>
      <c r="E6" s="13">
        <f>ROUND(D6/D4,2)</f>
        <v>0.88</v>
      </c>
      <c r="F6" s="16">
        <v>31.17</v>
      </c>
      <c r="G6" s="13">
        <f>ROUND(F6/F4,2)</f>
        <v>0.84</v>
      </c>
    </row>
    <row r="7" spans="1:7" x14ac:dyDescent="0.25">
      <c r="A7" s="152"/>
      <c r="B7" s="14">
        <v>11.2</v>
      </c>
      <c r="C7" s="15" t="s">
        <v>263</v>
      </c>
      <c r="D7" s="16">
        <v>32.450000000000003</v>
      </c>
      <c r="E7" s="13">
        <f>ROUND(D7/D4,2)</f>
        <v>0.8</v>
      </c>
      <c r="F7" s="16">
        <v>30.04</v>
      </c>
      <c r="G7" s="13">
        <f>ROUND(F7/F4,2)</f>
        <v>0.81</v>
      </c>
    </row>
    <row r="8" spans="1:7" x14ac:dyDescent="0.25">
      <c r="A8" s="152"/>
      <c r="B8" s="14">
        <v>14.9</v>
      </c>
      <c r="C8" s="15" t="s">
        <v>264</v>
      </c>
      <c r="D8" s="16">
        <v>30.36</v>
      </c>
      <c r="E8" s="13">
        <f>ROUND(D8/D4,2)</f>
        <v>0.75</v>
      </c>
      <c r="F8" s="16">
        <v>28.82</v>
      </c>
      <c r="G8" s="13">
        <f>ROUND(F8/F4,2)</f>
        <v>0.77</v>
      </c>
    </row>
    <row r="9" spans="1:7" hidden="1" x14ac:dyDescent="0.25">
      <c r="A9" s="153"/>
      <c r="B9" s="14">
        <v>15.9</v>
      </c>
      <c r="C9" s="15" t="s">
        <v>229</v>
      </c>
      <c r="D9" s="16">
        <v>23.81</v>
      </c>
      <c r="E9" s="13">
        <f>ROUND(D9/D4,2)</f>
        <v>0.59</v>
      </c>
      <c r="F9" s="16">
        <v>25</v>
      </c>
      <c r="G9" s="13">
        <f>ROUND(F9/F4,2)</f>
        <v>0.67</v>
      </c>
    </row>
    <row r="10" spans="1:7" ht="23.25" customHeight="1" x14ac:dyDescent="0.25">
      <c r="A10" s="10"/>
      <c r="B10" s="168" t="s">
        <v>130</v>
      </c>
      <c r="C10" s="143"/>
      <c r="D10" s="143"/>
      <c r="E10" s="143"/>
      <c r="F10" s="143"/>
      <c r="G10" s="144"/>
    </row>
    <row r="11" spans="1:7" ht="19" customHeight="1" x14ac:dyDescent="0.25">
      <c r="A11" s="221" t="s">
        <v>275</v>
      </c>
      <c r="B11" s="222"/>
      <c r="C11" s="223" t="s">
        <v>131</v>
      </c>
      <c r="D11" s="220" t="s">
        <v>52</v>
      </c>
      <c r="E11" s="144"/>
      <c r="F11" s="220" t="s">
        <v>54</v>
      </c>
      <c r="G11" s="144"/>
    </row>
    <row r="12" spans="1:7" ht="13.5" customHeight="1" x14ac:dyDescent="0.25">
      <c r="A12" s="152"/>
      <c r="B12" s="153"/>
      <c r="C12" s="153"/>
      <c r="D12" s="12" t="s">
        <v>132</v>
      </c>
      <c r="E12" s="13" t="s">
        <v>133</v>
      </c>
      <c r="F12" s="12" t="s">
        <v>132</v>
      </c>
      <c r="G12" s="13" t="s">
        <v>133</v>
      </c>
    </row>
    <row r="13" spans="1:7" x14ac:dyDescent="0.25">
      <c r="A13" s="152"/>
      <c r="B13" s="14">
        <v>0</v>
      </c>
      <c r="C13" s="15" t="s">
        <v>228</v>
      </c>
      <c r="D13" s="16">
        <v>37.82</v>
      </c>
      <c r="E13" s="13" t="s">
        <v>134</v>
      </c>
      <c r="F13" s="16">
        <v>37.869999999999997</v>
      </c>
      <c r="G13" s="13" t="s">
        <v>134</v>
      </c>
    </row>
    <row r="14" spans="1:7" x14ac:dyDescent="0.25">
      <c r="A14" s="152"/>
      <c r="B14" s="14">
        <v>4</v>
      </c>
      <c r="C14" s="15" t="s">
        <v>261</v>
      </c>
      <c r="D14" s="16">
        <v>37.81</v>
      </c>
      <c r="E14" s="13">
        <f t="shared" ref="E14" si="0">ROUND(D14/D13,2)</f>
        <v>1</v>
      </c>
      <c r="F14" s="16">
        <v>37.96</v>
      </c>
      <c r="G14" s="13">
        <f t="shared" ref="G14" si="1">ROUND(F14/F13,2)</f>
        <v>1</v>
      </c>
    </row>
    <row r="15" spans="1:7" x14ac:dyDescent="0.25">
      <c r="A15" s="152"/>
      <c r="B15" s="14">
        <v>7.2</v>
      </c>
      <c r="C15" s="15" t="s">
        <v>262</v>
      </c>
      <c r="D15" s="16">
        <v>36.81</v>
      </c>
      <c r="E15" s="13">
        <f t="shared" ref="E15" si="2">ROUND(D15/D13,2)</f>
        <v>0.97</v>
      </c>
      <c r="F15" s="16">
        <v>36.29</v>
      </c>
      <c r="G15" s="13">
        <f t="shared" ref="G15" si="3">ROUND(F15/F13,2)</f>
        <v>0.96</v>
      </c>
    </row>
    <row r="16" spans="1:7" x14ac:dyDescent="0.25">
      <c r="A16" s="152"/>
      <c r="B16" s="14">
        <v>11.2</v>
      </c>
      <c r="C16" s="15" t="s">
        <v>263</v>
      </c>
      <c r="D16" s="16">
        <v>35.1</v>
      </c>
      <c r="E16" s="13">
        <f t="shared" ref="E16" si="4">ROUND(D16/D13,2)</f>
        <v>0.93</v>
      </c>
      <c r="F16" s="16">
        <v>35.340000000000003</v>
      </c>
      <c r="G16" s="13">
        <f t="shared" ref="G16" si="5">ROUND(F16/F13,2)</f>
        <v>0.93</v>
      </c>
    </row>
    <row r="17" spans="1:7" x14ac:dyDescent="0.25">
      <c r="A17" s="152"/>
      <c r="B17" s="14">
        <v>14.9</v>
      </c>
      <c r="C17" s="15" t="s">
        <v>264</v>
      </c>
      <c r="D17" s="16">
        <v>34.76</v>
      </c>
      <c r="E17" s="13">
        <f t="shared" ref="E17" si="6">ROUND(D17/D13,2)</f>
        <v>0.92</v>
      </c>
      <c r="F17" s="16">
        <v>35.29</v>
      </c>
      <c r="G17" s="13">
        <f t="shared" ref="G17" si="7">ROUND(F17/F13,2)</f>
        <v>0.93</v>
      </c>
    </row>
    <row r="18" spans="1:7" hidden="1" x14ac:dyDescent="0.25">
      <c r="A18" s="153"/>
      <c r="B18" s="14"/>
      <c r="C18" s="15"/>
      <c r="D18" s="16"/>
      <c r="E18" s="13">
        <f t="shared" ref="E18" si="8">ROUND(D18/D13,2)</f>
        <v>0</v>
      </c>
      <c r="F18" s="16"/>
      <c r="G18" s="13">
        <f t="shared" ref="G18" si="9">ROUND(F18/F13,2)</f>
        <v>0</v>
      </c>
    </row>
    <row r="19" spans="1:7" ht="23.25" customHeight="1" x14ac:dyDescent="0.25">
      <c r="A19" s="10"/>
      <c r="B19" s="168" t="s">
        <v>130</v>
      </c>
      <c r="C19" s="143"/>
      <c r="D19" s="143"/>
      <c r="E19" s="143"/>
      <c r="F19" s="143"/>
      <c r="G19" s="144"/>
    </row>
    <row r="20" spans="1:7" ht="19" customHeight="1" x14ac:dyDescent="0.25">
      <c r="A20" s="221" t="s">
        <v>276</v>
      </c>
      <c r="B20" s="222"/>
      <c r="C20" s="223" t="s">
        <v>131</v>
      </c>
      <c r="D20" s="220" t="s">
        <v>52</v>
      </c>
      <c r="E20" s="144"/>
      <c r="F20" s="220" t="s">
        <v>54</v>
      </c>
      <c r="G20" s="144"/>
    </row>
    <row r="21" spans="1:7" ht="13.5" customHeight="1" x14ac:dyDescent="0.25">
      <c r="A21" s="152"/>
      <c r="B21" s="153"/>
      <c r="C21" s="153"/>
      <c r="D21" s="12" t="s">
        <v>132</v>
      </c>
      <c r="E21" s="13" t="s">
        <v>133</v>
      </c>
      <c r="F21" s="12" t="s">
        <v>132</v>
      </c>
      <c r="G21" s="13" t="s">
        <v>133</v>
      </c>
    </row>
    <row r="22" spans="1:7" x14ac:dyDescent="0.25">
      <c r="A22" s="152"/>
      <c r="B22" s="14">
        <v>0</v>
      </c>
      <c r="C22" s="15" t="s">
        <v>228</v>
      </c>
      <c r="D22" s="16">
        <v>37.299999999999997</v>
      </c>
      <c r="E22" s="13" t="s">
        <v>134</v>
      </c>
      <c r="F22" s="16">
        <v>36.99</v>
      </c>
      <c r="G22" s="13" t="s">
        <v>134</v>
      </c>
    </row>
    <row r="23" spans="1:7" x14ac:dyDescent="0.25">
      <c r="A23" s="152"/>
      <c r="B23" s="14">
        <v>4</v>
      </c>
      <c r="C23" s="15" t="s">
        <v>261</v>
      </c>
      <c r="D23" s="16">
        <v>37.85</v>
      </c>
      <c r="E23" s="13">
        <f t="shared" ref="E23" si="10">ROUND(D23/D22,2)</f>
        <v>1.01</v>
      </c>
      <c r="F23" s="16">
        <v>37.700000000000003</v>
      </c>
      <c r="G23" s="13">
        <f t="shared" ref="G23" si="11">ROUND(F23/F22,2)</f>
        <v>1.02</v>
      </c>
    </row>
    <row r="24" spans="1:7" x14ac:dyDescent="0.25">
      <c r="A24" s="152"/>
      <c r="B24" s="14">
        <v>7.2</v>
      </c>
      <c r="C24" s="15" t="s">
        <v>262</v>
      </c>
      <c r="D24" s="16">
        <v>37.19</v>
      </c>
      <c r="E24" s="13">
        <f t="shared" ref="E24" si="12">ROUND(D24/D22,2)</f>
        <v>1</v>
      </c>
      <c r="F24" s="16">
        <v>36.85</v>
      </c>
      <c r="G24" s="13">
        <f t="shared" ref="G24" si="13">ROUND(F24/F22,2)</f>
        <v>1</v>
      </c>
    </row>
    <row r="25" spans="1:7" x14ac:dyDescent="0.25">
      <c r="A25" s="152"/>
      <c r="B25" s="14">
        <v>11.2</v>
      </c>
      <c r="C25" s="15" t="s">
        <v>263</v>
      </c>
      <c r="D25" s="16">
        <v>36.31</v>
      </c>
      <c r="E25" s="13">
        <f t="shared" ref="E25" si="14">ROUND(D25/D22,2)</f>
        <v>0.97</v>
      </c>
      <c r="F25" s="16">
        <v>36.08</v>
      </c>
      <c r="G25" s="13">
        <f t="shared" ref="G25" si="15">ROUND(F25/F22,2)</f>
        <v>0.98</v>
      </c>
    </row>
    <row r="26" spans="1:7" x14ac:dyDescent="0.25">
      <c r="A26" s="152"/>
      <c r="B26" s="14">
        <v>14.9</v>
      </c>
      <c r="C26" s="15" t="s">
        <v>264</v>
      </c>
      <c r="D26" s="16">
        <v>35.99</v>
      </c>
      <c r="E26" s="13">
        <f t="shared" ref="E26" si="16">ROUND(D26/D22,2)</f>
        <v>0.96</v>
      </c>
      <c r="F26" s="16">
        <v>36.53</v>
      </c>
      <c r="G26" s="13">
        <f t="shared" ref="G26" si="17">ROUND(F26/F22,2)</f>
        <v>0.99</v>
      </c>
    </row>
    <row r="27" spans="1:7" hidden="1" x14ac:dyDescent="0.25">
      <c r="A27" s="153"/>
      <c r="B27" s="14"/>
      <c r="C27" s="15"/>
      <c r="D27" s="16"/>
      <c r="E27" s="13">
        <f t="shared" ref="E27" si="18">ROUND(D27/D22,2)</f>
        <v>0</v>
      </c>
      <c r="F27" s="16"/>
      <c r="G27" s="13">
        <f t="shared" ref="G27" si="19">ROUND(F27/F22,2)</f>
        <v>0</v>
      </c>
    </row>
  </sheetData>
  <mergeCells count="18">
    <mergeCell ref="B19:G19"/>
    <mergeCell ref="A20:A27"/>
    <mergeCell ref="B20:B21"/>
    <mergeCell ref="C20:C21"/>
    <mergeCell ref="D20:E20"/>
    <mergeCell ref="F20:G20"/>
    <mergeCell ref="B10:G10"/>
    <mergeCell ref="A11:A18"/>
    <mergeCell ref="B11:B12"/>
    <mergeCell ref="C11:C12"/>
    <mergeCell ref="D11:E11"/>
    <mergeCell ref="F11:G11"/>
    <mergeCell ref="B1:G1"/>
    <mergeCell ref="D2:E2"/>
    <mergeCell ref="F2:G2"/>
    <mergeCell ref="A2:A9"/>
    <mergeCell ref="B2:B3"/>
    <mergeCell ref="C2:C3"/>
  </mergeCells>
  <phoneticPr fontId="48" type="noConversion"/>
  <pageMargins left="0.75" right="0.75" top="1" bottom="1" header="0.5" footer="0.5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7"/>
  <sheetViews>
    <sheetView tabSelected="1" workbookViewId="0">
      <selection activeCell="C5" sqref="C5"/>
    </sheetView>
  </sheetViews>
  <sheetFormatPr defaultColWidth="9" defaultRowHeight="14" x14ac:dyDescent="0.25"/>
  <cols>
    <col min="1" max="1" width="19.7265625" style="1" customWidth="1"/>
    <col min="2" max="2" width="29.6328125" style="1" customWidth="1"/>
    <col min="3" max="3" width="32.90625" style="1" customWidth="1"/>
  </cols>
  <sheetData>
    <row r="1" spans="1:3" ht="26.15" customHeight="1" x14ac:dyDescent="0.25">
      <c r="A1" s="103" t="s">
        <v>26</v>
      </c>
      <c r="B1" s="104" t="s">
        <v>135</v>
      </c>
      <c r="C1" s="104" t="s">
        <v>136</v>
      </c>
    </row>
    <row r="2" spans="1:3" ht="26.15" customHeight="1" x14ac:dyDescent="0.25">
      <c r="A2" s="103" t="s">
        <v>51</v>
      </c>
      <c r="B2" s="104"/>
      <c r="C2" s="104"/>
    </row>
    <row r="3" spans="1:3" ht="26.15" customHeight="1" x14ac:dyDescent="0.25">
      <c r="A3" s="103" t="s">
        <v>53</v>
      </c>
      <c r="B3" s="104"/>
      <c r="C3" s="104"/>
    </row>
    <row r="4" spans="1:3" ht="26.15" customHeight="1" x14ac:dyDescent="0.25">
      <c r="A4" s="103" t="s">
        <v>137</v>
      </c>
      <c r="B4" s="15"/>
      <c r="C4" s="15"/>
    </row>
    <row r="5" spans="1:3" ht="26.15" customHeight="1" x14ac:dyDescent="0.25">
      <c r="A5" s="103" t="s">
        <v>138</v>
      </c>
      <c r="B5" s="15"/>
      <c r="C5" s="15"/>
    </row>
    <row r="6" spans="1:3" ht="26.15" customHeight="1" x14ac:dyDescent="0.25">
      <c r="A6" s="103" t="s">
        <v>139</v>
      </c>
      <c r="B6" s="15"/>
      <c r="C6" s="15"/>
    </row>
    <row r="7" spans="1:3" ht="26.15" customHeight="1" x14ac:dyDescent="0.25">
      <c r="A7" s="103" t="s">
        <v>140</v>
      </c>
      <c r="B7" s="224" t="e">
        <f>C6/B6</f>
        <v>#DIV/0!</v>
      </c>
      <c r="C7" s="144"/>
    </row>
  </sheetData>
  <mergeCells count="1">
    <mergeCell ref="B7:C7"/>
  </mergeCells>
  <phoneticPr fontId="48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workbookViewId="0">
      <selection activeCell="G2" sqref="E1:G10"/>
    </sheetView>
  </sheetViews>
  <sheetFormatPr defaultColWidth="9" defaultRowHeight="14" x14ac:dyDescent="0.25"/>
  <cols>
    <col min="1" max="2" width="11.36328125" customWidth="1"/>
    <col min="3" max="3" width="43.08984375" customWidth="1"/>
    <col min="4" max="4" width="15.6328125" customWidth="1"/>
    <col min="5" max="5" width="16.90625" customWidth="1"/>
    <col min="6" max="6" width="27" customWidth="1"/>
    <col min="7" max="7" width="21.08984375" customWidth="1"/>
    <col min="8" max="8" width="16.90625" customWidth="1"/>
    <col min="9" max="9" width="27" customWidth="1"/>
    <col min="10" max="10" width="21.08984375" customWidth="1"/>
    <col min="11" max="11" width="16.90625" customWidth="1"/>
    <col min="12" max="12" width="27" customWidth="1"/>
    <col min="13" max="13" width="21.08984375" customWidth="1"/>
  </cols>
  <sheetData>
    <row r="1" spans="1:13" ht="19" customHeight="1" x14ac:dyDescent="0.25">
      <c r="A1" s="2" t="s">
        <v>85</v>
      </c>
      <c r="B1" s="2" t="s">
        <v>97</v>
      </c>
      <c r="C1" s="3" t="s">
        <v>40</v>
      </c>
      <c r="D1" s="4" t="s">
        <v>86</v>
      </c>
      <c r="E1" s="5" t="s">
        <v>277</v>
      </c>
      <c r="F1" s="5" t="s">
        <v>278</v>
      </c>
      <c r="G1" s="5" t="s">
        <v>279</v>
      </c>
      <c r="H1" s="5" t="s">
        <v>280</v>
      </c>
      <c r="I1" s="5" t="s">
        <v>281</v>
      </c>
      <c r="J1" s="5" t="s">
        <v>282</v>
      </c>
      <c r="K1" s="5" t="s">
        <v>283</v>
      </c>
      <c r="L1" s="5" t="s">
        <v>284</v>
      </c>
      <c r="M1" s="5" t="s">
        <v>285</v>
      </c>
    </row>
    <row r="2" spans="1:13" ht="19" customHeight="1" x14ac:dyDescent="0.25">
      <c r="A2" s="6"/>
      <c r="B2" s="6"/>
      <c r="C2" s="7"/>
      <c r="D2" s="8">
        <f t="shared" ref="D2:D10" si="0">A2-B2</f>
        <v>0</v>
      </c>
      <c r="E2" s="7"/>
      <c r="F2" s="7"/>
      <c r="G2" s="9" t="e">
        <f t="shared" ref="G2:G10" si="1">ROUND(F2*20/D2,1)</f>
        <v>#DIV/0!</v>
      </c>
      <c r="H2" s="7"/>
      <c r="I2" s="7"/>
      <c r="J2" s="9" t="e">
        <f t="shared" ref="J2:J10" si="2">ROUND(I2*20/G2,1)</f>
        <v>#DIV/0!</v>
      </c>
      <c r="K2" s="7"/>
      <c r="L2" s="7"/>
      <c r="M2" s="9" t="e">
        <f t="shared" ref="M2:M10" si="3">ROUND(L2*20/J2,1)</f>
        <v>#DIV/0!</v>
      </c>
    </row>
    <row r="3" spans="1:13" ht="19" customHeight="1" x14ac:dyDescent="0.25">
      <c r="A3" s="6"/>
      <c r="B3" s="6"/>
      <c r="C3" s="7"/>
      <c r="D3" s="8">
        <f t="shared" si="0"/>
        <v>0</v>
      </c>
      <c r="E3" s="7"/>
      <c r="F3" s="7"/>
      <c r="G3" s="9" t="e">
        <f t="shared" si="1"/>
        <v>#DIV/0!</v>
      </c>
      <c r="H3" s="7"/>
      <c r="I3" s="7"/>
      <c r="J3" s="9" t="e">
        <f t="shared" si="2"/>
        <v>#DIV/0!</v>
      </c>
      <c r="K3" s="7"/>
      <c r="L3" s="7"/>
      <c r="M3" s="9" t="e">
        <f t="shared" si="3"/>
        <v>#DIV/0!</v>
      </c>
    </row>
    <row r="4" spans="1:13" ht="19" customHeight="1" x14ac:dyDescent="0.25">
      <c r="A4" s="6"/>
      <c r="B4" s="6"/>
      <c r="C4" s="7"/>
      <c r="D4" s="8">
        <f t="shared" si="0"/>
        <v>0</v>
      </c>
      <c r="E4" s="7"/>
      <c r="F4" s="7"/>
      <c r="G4" s="9" t="e">
        <f t="shared" si="1"/>
        <v>#DIV/0!</v>
      </c>
      <c r="H4" s="7"/>
      <c r="I4" s="7"/>
      <c r="J4" s="9" t="e">
        <f t="shared" si="2"/>
        <v>#DIV/0!</v>
      </c>
      <c r="K4" s="7"/>
      <c r="L4" s="7"/>
      <c r="M4" s="9" t="e">
        <f t="shared" si="3"/>
        <v>#DIV/0!</v>
      </c>
    </row>
    <row r="5" spans="1:13" ht="19" customHeight="1" x14ac:dyDescent="0.25">
      <c r="A5" s="6"/>
      <c r="B5" s="6"/>
      <c r="C5" s="7"/>
      <c r="D5" s="8">
        <f t="shared" si="0"/>
        <v>0</v>
      </c>
      <c r="E5" s="7"/>
      <c r="F5" s="7"/>
      <c r="G5" s="9" t="e">
        <f t="shared" si="1"/>
        <v>#DIV/0!</v>
      </c>
      <c r="H5" s="7"/>
      <c r="I5" s="7"/>
      <c r="J5" s="9" t="e">
        <f t="shared" si="2"/>
        <v>#DIV/0!</v>
      </c>
      <c r="K5" s="7"/>
      <c r="L5" s="7"/>
      <c r="M5" s="9" t="e">
        <f t="shared" si="3"/>
        <v>#DIV/0!</v>
      </c>
    </row>
    <row r="6" spans="1:13" ht="19" customHeight="1" x14ac:dyDescent="0.25">
      <c r="A6" s="6"/>
      <c r="B6" s="6"/>
      <c r="C6" s="7"/>
      <c r="D6" s="8">
        <f t="shared" si="0"/>
        <v>0</v>
      </c>
      <c r="E6" s="7"/>
      <c r="F6" s="7"/>
      <c r="G6" s="9" t="e">
        <f t="shared" si="1"/>
        <v>#DIV/0!</v>
      </c>
      <c r="H6" s="7"/>
      <c r="I6" s="7"/>
      <c r="J6" s="9" t="e">
        <f t="shared" si="2"/>
        <v>#DIV/0!</v>
      </c>
      <c r="K6" s="7"/>
      <c r="L6" s="7"/>
      <c r="M6" s="9" t="e">
        <f t="shared" si="3"/>
        <v>#DIV/0!</v>
      </c>
    </row>
    <row r="7" spans="1:13" ht="19" customHeight="1" x14ac:dyDescent="0.25">
      <c r="A7" s="6"/>
      <c r="B7" s="6"/>
      <c r="C7" s="7"/>
      <c r="D7" s="8">
        <f t="shared" si="0"/>
        <v>0</v>
      </c>
      <c r="E7" s="7"/>
      <c r="F7" s="7"/>
      <c r="G7" s="9" t="e">
        <f t="shared" si="1"/>
        <v>#DIV/0!</v>
      </c>
      <c r="H7" s="7"/>
      <c r="I7" s="7"/>
      <c r="J7" s="9" t="e">
        <f t="shared" si="2"/>
        <v>#DIV/0!</v>
      </c>
      <c r="K7" s="7"/>
      <c r="L7" s="7"/>
      <c r="M7" s="9" t="e">
        <f t="shared" si="3"/>
        <v>#DIV/0!</v>
      </c>
    </row>
    <row r="8" spans="1:13" ht="19" customHeight="1" x14ac:dyDescent="0.25">
      <c r="A8" s="6"/>
      <c r="B8" s="6"/>
      <c r="C8" s="7"/>
      <c r="D8" s="8">
        <f t="shared" si="0"/>
        <v>0</v>
      </c>
      <c r="E8" s="7"/>
      <c r="F8" s="7"/>
      <c r="G8" s="9" t="e">
        <f t="shared" si="1"/>
        <v>#DIV/0!</v>
      </c>
      <c r="H8" s="7"/>
      <c r="I8" s="7"/>
      <c r="J8" s="9" t="e">
        <f t="shared" si="2"/>
        <v>#DIV/0!</v>
      </c>
      <c r="K8" s="7"/>
      <c r="L8" s="7"/>
      <c r="M8" s="9" t="e">
        <f t="shared" si="3"/>
        <v>#DIV/0!</v>
      </c>
    </row>
    <row r="9" spans="1:13" ht="19" customHeight="1" x14ac:dyDescent="0.25">
      <c r="A9" s="6"/>
      <c r="B9" s="6"/>
      <c r="C9" s="7"/>
      <c r="D9" s="8">
        <f t="shared" si="0"/>
        <v>0</v>
      </c>
      <c r="E9" s="7"/>
      <c r="F9" s="7"/>
      <c r="G9" s="9" t="e">
        <f t="shared" si="1"/>
        <v>#DIV/0!</v>
      </c>
      <c r="H9" s="7"/>
      <c r="I9" s="7"/>
      <c r="J9" s="9" t="e">
        <f t="shared" si="2"/>
        <v>#DIV/0!</v>
      </c>
      <c r="K9" s="7"/>
      <c r="L9" s="7"/>
      <c r="M9" s="9" t="e">
        <f t="shared" si="3"/>
        <v>#DIV/0!</v>
      </c>
    </row>
    <row r="10" spans="1:13" ht="19" customHeight="1" x14ac:dyDescent="0.25">
      <c r="A10" s="6"/>
      <c r="B10" s="6"/>
      <c r="C10" s="7"/>
      <c r="D10" s="8">
        <f t="shared" si="0"/>
        <v>0</v>
      </c>
      <c r="E10" s="7"/>
      <c r="F10" s="7"/>
      <c r="G10" s="9" t="e">
        <f t="shared" si="1"/>
        <v>#DIV/0!</v>
      </c>
      <c r="H10" s="7"/>
      <c r="I10" s="7"/>
      <c r="J10" s="9" t="e">
        <f t="shared" si="2"/>
        <v>#DIV/0!</v>
      </c>
      <c r="K10" s="7"/>
      <c r="L10" s="7"/>
      <c r="M10" s="9" t="e">
        <f t="shared" si="3"/>
        <v>#DIV/0!</v>
      </c>
    </row>
  </sheetData>
  <phoneticPr fontId="48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90"/>
  <sheetViews>
    <sheetView topLeftCell="B52" workbookViewId="0">
      <selection activeCell="K62" sqref="K62"/>
    </sheetView>
  </sheetViews>
  <sheetFormatPr defaultColWidth="9" defaultRowHeight="14" x14ac:dyDescent="0.25"/>
  <cols>
    <col min="1" max="1" width="9" style="225"/>
    <col min="2" max="2" width="38.08984375" style="225" customWidth="1"/>
    <col min="3" max="4" width="9" style="225"/>
    <col min="5" max="5" width="9" style="226"/>
    <col min="6" max="6" width="14.7265625" style="225" customWidth="1"/>
    <col min="7" max="9" width="9" style="225"/>
    <col min="10" max="10" width="16.6328125" style="225" customWidth="1"/>
    <col min="11" max="11" width="31.6328125" style="225" customWidth="1"/>
    <col min="12" max="16384" width="9" style="225"/>
  </cols>
  <sheetData>
    <row r="1" spans="1:12" x14ac:dyDescent="0.25">
      <c r="A1" s="225" t="s">
        <v>144</v>
      </c>
      <c r="B1" s="225" t="s">
        <v>145</v>
      </c>
      <c r="C1" s="225" t="s">
        <v>146</v>
      </c>
      <c r="D1" s="225" t="s">
        <v>147</v>
      </c>
      <c r="E1" s="226" t="s">
        <v>148</v>
      </c>
      <c r="F1" s="225" t="s">
        <v>149</v>
      </c>
      <c r="G1" s="225" t="s">
        <v>248</v>
      </c>
      <c r="H1" s="225" t="s">
        <v>249</v>
      </c>
      <c r="I1" s="225" t="s">
        <v>150</v>
      </c>
      <c r="J1" s="225" t="s">
        <v>250</v>
      </c>
      <c r="K1" s="225" t="s">
        <v>251</v>
      </c>
      <c r="L1" s="225" t="s">
        <v>259</v>
      </c>
    </row>
    <row r="2" spans="1:12" x14ac:dyDescent="0.25">
      <c r="A2" s="227" t="s">
        <v>151</v>
      </c>
      <c r="B2" s="228" t="s">
        <v>152</v>
      </c>
      <c r="C2" s="228" t="s">
        <v>153</v>
      </c>
      <c r="D2" s="228">
        <v>0</v>
      </c>
      <c r="E2" s="229" t="s">
        <v>154</v>
      </c>
      <c r="F2" s="228" t="s">
        <v>154</v>
      </c>
      <c r="G2" s="228" t="s">
        <v>154</v>
      </c>
      <c r="H2" s="228" t="s">
        <v>154</v>
      </c>
      <c r="I2" s="228" t="s">
        <v>154</v>
      </c>
      <c r="J2" s="230" t="s">
        <v>154</v>
      </c>
      <c r="K2" s="231">
        <v>46259.620972222219</v>
      </c>
      <c r="L2" s="225">
        <v>1</v>
      </c>
    </row>
    <row r="3" spans="1:12" x14ac:dyDescent="0.25">
      <c r="A3" s="227"/>
      <c r="B3" s="228" t="s">
        <v>155</v>
      </c>
      <c r="C3" s="228" t="s">
        <v>153</v>
      </c>
      <c r="D3" s="228">
        <v>0</v>
      </c>
      <c r="E3" s="229" t="s">
        <v>154</v>
      </c>
      <c r="F3" s="228" t="s">
        <v>154</v>
      </c>
      <c r="G3" s="228" t="s">
        <v>154</v>
      </c>
      <c r="H3" s="228" t="s">
        <v>154</v>
      </c>
      <c r="I3" s="228" t="s">
        <v>154</v>
      </c>
      <c r="J3" s="230" t="s">
        <v>154</v>
      </c>
      <c r="K3" s="231">
        <v>46259.634097222224</v>
      </c>
      <c r="L3" s="225">
        <v>1</v>
      </c>
    </row>
    <row r="4" spans="1:12" x14ac:dyDescent="0.25">
      <c r="A4" s="227"/>
      <c r="B4" s="228" t="s">
        <v>156</v>
      </c>
      <c r="C4" s="228" t="s">
        <v>153</v>
      </c>
      <c r="D4" s="232">
        <v>0</v>
      </c>
      <c r="E4" s="229" t="s">
        <v>154</v>
      </c>
      <c r="F4" s="228" t="s">
        <v>154</v>
      </c>
      <c r="G4" s="228" t="s">
        <v>154</v>
      </c>
      <c r="H4" s="228" t="s">
        <v>154</v>
      </c>
      <c r="I4" s="228" t="s">
        <v>154</v>
      </c>
      <c r="J4" s="230" t="s">
        <v>154</v>
      </c>
      <c r="K4" s="231">
        <v>46259.647175925929</v>
      </c>
      <c r="L4" s="225">
        <v>1</v>
      </c>
    </row>
    <row r="5" spans="1:12" x14ac:dyDescent="0.25">
      <c r="A5" s="227"/>
      <c r="B5" s="228" t="s">
        <v>157</v>
      </c>
      <c r="C5" s="228" t="s">
        <v>153</v>
      </c>
      <c r="D5" s="232">
        <v>0</v>
      </c>
      <c r="E5" s="229" t="s">
        <v>154</v>
      </c>
      <c r="F5" s="228" t="s">
        <v>154</v>
      </c>
      <c r="G5" s="228" t="s">
        <v>154</v>
      </c>
      <c r="H5" s="228" t="s">
        <v>154</v>
      </c>
      <c r="I5" s="228" t="s">
        <v>154</v>
      </c>
      <c r="J5" s="230" t="s">
        <v>154</v>
      </c>
      <c r="K5" s="231">
        <v>46259.660162037035</v>
      </c>
      <c r="L5" s="225">
        <v>1</v>
      </c>
    </row>
    <row r="6" spans="1:12" x14ac:dyDescent="0.25">
      <c r="A6" s="227"/>
      <c r="B6" s="228" t="s">
        <v>158</v>
      </c>
      <c r="C6" s="228" t="s">
        <v>153</v>
      </c>
      <c r="D6" s="232">
        <v>0</v>
      </c>
      <c r="E6" s="229" t="s">
        <v>154</v>
      </c>
      <c r="F6" s="228" t="s">
        <v>154</v>
      </c>
      <c r="G6" s="228" t="s">
        <v>154</v>
      </c>
      <c r="H6" s="228" t="s">
        <v>154</v>
      </c>
      <c r="I6" s="228" t="s">
        <v>154</v>
      </c>
      <c r="J6" s="230" t="s">
        <v>154</v>
      </c>
      <c r="K6" s="231">
        <v>46259.673136574071</v>
      </c>
      <c r="L6" s="225">
        <v>1</v>
      </c>
    </row>
    <row r="7" spans="1:12" x14ac:dyDescent="0.25">
      <c r="A7" s="227"/>
      <c r="B7" s="228" t="s">
        <v>159</v>
      </c>
      <c r="C7" s="228" t="s">
        <v>153</v>
      </c>
      <c r="D7" s="232">
        <v>0</v>
      </c>
      <c r="E7" s="229">
        <v>4.2119999999999997</v>
      </c>
      <c r="F7" s="232">
        <v>33959</v>
      </c>
      <c r="G7" s="228">
        <v>0.76</v>
      </c>
      <c r="H7" s="228">
        <v>79.709999999999994</v>
      </c>
      <c r="I7" s="228" t="s">
        <v>154</v>
      </c>
      <c r="J7" s="230" t="s">
        <v>154</v>
      </c>
      <c r="K7" s="231">
        <v>46259.686793981484</v>
      </c>
      <c r="L7" s="225">
        <v>1</v>
      </c>
    </row>
    <row r="8" spans="1:12" s="128" customFormat="1" x14ac:dyDescent="0.25">
      <c r="A8" s="227"/>
      <c r="B8" s="129" t="s">
        <v>160</v>
      </c>
      <c r="C8" s="129" t="s">
        <v>153</v>
      </c>
      <c r="D8" s="133">
        <v>0</v>
      </c>
      <c r="E8" s="130">
        <v>4.21</v>
      </c>
      <c r="F8" s="133">
        <v>1593245</v>
      </c>
      <c r="G8" s="129">
        <v>41.3</v>
      </c>
      <c r="H8" s="129">
        <v>400.79</v>
      </c>
      <c r="I8" s="129" t="s">
        <v>154</v>
      </c>
      <c r="J8" s="131" t="s">
        <v>154</v>
      </c>
      <c r="K8" s="132">
        <v>46259.699884259258</v>
      </c>
      <c r="L8" s="128">
        <v>1</v>
      </c>
    </row>
    <row r="9" spans="1:12" s="128" customFormat="1" x14ac:dyDescent="0.25">
      <c r="A9" s="227"/>
      <c r="B9" s="129" t="s">
        <v>161</v>
      </c>
      <c r="C9" s="129" t="s">
        <v>153</v>
      </c>
      <c r="D9" s="133">
        <v>0</v>
      </c>
      <c r="E9" s="130">
        <v>4.2080000000000002</v>
      </c>
      <c r="F9" s="133">
        <v>1588485</v>
      </c>
      <c r="G9" s="129">
        <v>41.17</v>
      </c>
      <c r="H9" s="129">
        <v>400.42</v>
      </c>
      <c r="I9" s="129" t="s">
        <v>154</v>
      </c>
      <c r="J9" s="131" t="s">
        <v>154</v>
      </c>
      <c r="K9" s="132">
        <v>46259.71297453704</v>
      </c>
      <c r="L9" s="128">
        <v>1</v>
      </c>
    </row>
    <row r="10" spans="1:12" s="128" customFormat="1" x14ac:dyDescent="0.25">
      <c r="A10" s="227"/>
      <c r="B10" s="129" t="s">
        <v>162</v>
      </c>
      <c r="C10" s="129" t="s">
        <v>153</v>
      </c>
      <c r="D10" s="133">
        <v>0</v>
      </c>
      <c r="E10" s="130">
        <v>4.2069999999999999</v>
      </c>
      <c r="F10" s="133">
        <v>1596177</v>
      </c>
      <c r="G10" s="129">
        <v>41.37</v>
      </c>
      <c r="H10" s="129">
        <v>559.86</v>
      </c>
      <c r="I10" s="129" t="s">
        <v>154</v>
      </c>
      <c r="J10" s="131" t="s">
        <v>154</v>
      </c>
      <c r="K10" s="132">
        <v>46259.725960648146</v>
      </c>
      <c r="L10" s="128">
        <v>1</v>
      </c>
    </row>
    <row r="11" spans="1:12" s="128" customFormat="1" x14ac:dyDescent="0.25">
      <c r="A11" s="227"/>
      <c r="B11" s="129" t="s">
        <v>163</v>
      </c>
      <c r="C11" s="129" t="s">
        <v>153</v>
      </c>
      <c r="D11" s="133">
        <v>0</v>
      </c>
      <c r="E11" s="130">
        <v>4.2060000000000004</v>
      </c>
      <c r="F11" s="133">
        <v>1549354</v>
      </c>
      <c r="G11" s="129">
        <v>40.159999999999997</v>
      </c>
      <c r="H11" s="129">
        <v>498.34</v>
      </c>
      <c r="I11" s="129" t="s">
        <v>154</v>
      </c>
      <c r="J11" s="131" t="s">
        <v>154</v>
      </c>
      <c r="K11" s="132">
        <v>46259.739074074074</v>
      </c>
      <c r="L11" s="128">
        <v>1</v>
      </c>
    </row>
    <row r="12" spans="1:12" s="128" customFormat="1" x14ac:dyDescent="0.25">
      <c r="A12" s="227"/>
      <c r="B12" s="129" t="s">
        <v>164</v>
      </c>
      <c r="C12" s="129" t="s">
        <v>153</v>
      </c>
      <c r="D12" s="133">
        <v>0</v>
      </c>
      <c r="E12" s="130">
        <v>4.2060000000000004</v>
      </c>
      <c r="F12" s="133">
        <v>1555179</v>
      </c>
      <c r="G12" s="129">
        <v>40.31</v>
      </c>
      <c r="H12" s="129">
        <v>400.84</v>
      </c>
      <c r="I12" s="129" t="s">
        <v>154</v>
      </c>
      <c r="J12" s="131" t="s">
        <v>154</v>
      </c>
      <c r="K12" s="132">
        <v>46259.752164351848</v>
      </c>
      <c r="L12" s="128">
        <v>1</v>
      </c>
    </row>
    <row r="13" spans="1:12" s="128" customFormat="1" x14ac:dyDescent="0.25">
      <c r="A13" s="227"/>
      <c r="B13" s="129" t="s">
        <v>165</v>
      </c>
      <c r="C13" s="129" t="s">
        <v>153</v>
      </c>
      <c r="D13" s="133">
        <v>0</v>
      </c>
      <c r="E13" s="130">
        <v>4.2069999999999999</v>
      </c>
      <c r="F13" s="133">
        <v>1557732</v>
      </c>
      <c r="G13" s="129">
        <v>40.369999999999997</v>
      </c>
      <c r="H13" s="129">
        <v>474.26</v>
      </c>
      <c r="I13" s="129" t="s">
        <v>154</v>
      </c>
      <c r="J13" s="131" t="s">
        <v>154</v>
      </c>
      <c r="K13" s="132">
        <v>46259.765138888892</v>
      </c>
      <c r="L13" s="128">
        <v>1</v>
      </c>
    </row>
    <row r="14" spans="1:12" x14ac:dyDescent="0.25">
      <c r="A14" s="227"/>
      <c r="B14" s="228" t="s">
        <v>166</v>
      </c>
      <c r="C14" s="228" t="s">
        <v>153</v>
      </c>
      <c r="D14" s="232">
        <v>0</v>
      </c>
      <c r="E14" s="229">
        <v>4.2069999999999999</v>
      </c>
      <c r="F14" s="232">
        <v>1559363</v>
      </c>
      <c r="G14" s="228">
        <v>40.42</v>
      </c>
      <c r="H14" s="228">
        <v>375.49</v>
      </c>
      <c r="I14" s="228" t="s">
        <v>154</v>
      </c>
      <c r="J14" s="230" t="s">
        <v>154</v>
      </c>
      <c r="K14" s="231">
        <v>46259.778101851851</v>
      </c>
      <c r="L14" s="225">
        <v>1</v>
      </c>
    </row>
    <row r="15" spans="1:12" x14ac:dyDescent="0.25">
      <c r="A15" s="227"/>
      <c r="B15" s="228" t="s">
        <v>167</v>
      </c>
      <c r="C15" s="228" t="s">
        <v>153</v>
      </c>
      <c r="D15" s="232">
        <v>0</v>
      </c>
      <c r="E15" s="229">
        <v>4.2089999999999996</v>
      </c>
      <c r="F15" s="232">
        <v>1438244</v>
      </c>
      <c r="G15" s="228">
        <v>37.270000000000003</v>
      </c>
      <c r="H15" s="228">
        <v>400.48</v>
      </c>
      <c r="I15" s="228" t="s">
        <v>154</v>
      </c>
      <c r="J15" s="230" t="s">
        <v>154</v>
      </c>
      <c r="K15" s="231">
        <v>46259.791076388887</v>
      </c>
      <c r="L15" s="225">
        <v>1</v>
      </c>
    </row>
    <row r="16" spans="1:12" s="128" customFormat="1" x14ac:dyDescent="0.25">
      <c r="A16" s="227"/>
      <c r="B16" s="129" t="s">
        <v>168</v>
      </c>
      <c r="C16" s="129" t="s">
        <v>153</v>
      </c>
      <c r="D16" s="133">
        <v>0</v>
      </c>
      <c r="E16" s="130" t="s">
        <v>154</v>
      </c>
      <c r="F16" s="129" t="s">
        <v>154</v>
      </c>
      <c r="G16" s="129" t="s">
        <v>154</v>
      </c>
      <c r="H16" s="129" t="s">
        <v>154</v>
      </c>
      <c r="I16" s="129" t="s">
        <v>154</v>
      </c>
      <c r="J16" s="131" t="s">
        <v>154</v>
      </c>
      <c r="K16" s="132">
        <v>46259.804097222222</v>
      </c>
      <c r="L16" s="128">
        <v>1</v>
      </c>
    </row>
    <row r="17" spans="1:12" s="128" customFormat="1" x14ac:dyDescent="0.25">
      <c r="A17" s="227"/>
      <c r="B17" s="129" t="s">
        <v>252</v>
      </c>
      <c r="C17" s="129" t="s">
        <v>153</v>
      </c>
      <c r="D17" s="133">
        <v>0</v>
      </c>
      <c r="E17" s="130">
        <v>4.21</v>
      </c>
      <c r="F17" s="133">
        <v>1500067</v>
      </c>
      <c r="G17" s="129">
        <v>38.869999999999997</v>
      </c>
      <c r="H17" s="129">
        <v>385.65</v>
      </c>
      <c r="I17" s="129" t="s">
        <v>154</v>
      </c>
      <c r="J17" s="131" t="s">
        <v>154</v>
      </c>
      <c r="K17" s="132">
        <v>46259.817071759258</v>
      </c>
      <c r="L17" s="128">
        <v>1</v>
      </c>
    </row>
    <row r="18" spans="1:12" s="128" customFormat="1" x14ac:dyDescent="0.25">
      <c r="A18" s="227"/>
      <c r="B18" s="129" t="s">
        <v>176</v>
      </c>
      <c r="C18" s="129" t="s">
        <v>153</v>
      </c>
      <c r="D18" s="133">
        <v>0</v>
      </c>
      <c r="E18" s="130" t="s">
        <v>154</v>
      </c>
      <c r="F18" s="129" t="s">
        <v>154</v>
      </c>
      <c r="G18" s="129" t="s">
        <v>154</v>
      </c>
      <c r="H18" s="129" t="s">
        <v>154</v>
      </c>
      <c r="I18" s="129" t="s">
        <v>154</v>
      </c>
      <c r="J18" s="131" t="s">
        <v>154</v>
      </c>
      <c r="K18" s="132">
        <v>46259.830057870371</v>
      </c>
      <c r="L18" s="128">
        <v>1</v>
      </c>
    </row>
    <row r="19" spans="1:12" s="128" customFormat="1" x14ac:dyDescent="0.25">
      <c r="A19" s="227"/>
      <c r="B19" s="129" t="s">
        <v>177</v>
      </c>
      <c r="C19" s="129" t="s">
        <v>153</v>
      </c>
      <c r="D19" s="133">
        <v>0</v>
      </c>
      <c r="E19" s="130">
        <v>4.2119999999999997</v>
      </c>
      <c r="F19" s="133">
        <v>1415913</v>
      </c>
      <c r="G19" s="134">
        <v>36.69</v>
      </c>
      <c r="H19" s="129">
        <v>335.05</v>
      </c>
      <c r="I19" s="129" t="s">
        <v>154</v>
      </c>
      <c r="J19" s="131" t="s">
        <v>154</v>
      </c>
      <c r="K19" s="132">
        <v>46259.84302083333</v>
      </c>
      <c r="L19" s="128">
        <v>1</v>
      </c>
    </row>
    <row r="20" spans="1:12" x14ac:dyDescent="0.25">
      <c r="A20" s="227"/>
      <c r="B20" s="228" t="s">
        <v>175</v>
      </c>
      <c r="C20" s="228" t="s">
        <v>153</v>
      </c>
      <c r="D20" s="232">
        <v>0</v>
      </c>
      <c r="E20" s="229" t="s">
        <v>154</v>
      </c>
      <c r="F20" s="228" t="s">
        <v>154</v>
      </c>
      <c r="G20" s="233" t="s">
        <v>154</v>
      </c>
      <c r="H20" s="228" t="s">
        <v>154</v>
      </c>
      <c r="I20" s="228" t="s">
        <v>154</v>
      </c>
      <c r="J20" s="230" t="s">
        <v>154</v>
      </c>
      <c r="K20" s="231">
        <v>46259.855995370373</v>
      </c>
      <c r="L20" s="225">
        <v>1</v>
      </c>
    </row>
    <row r="21" spans="1:12" s="128" customFormat="1" x14ac:dyDescent="0.25">
      <c r="A21" s="227"/>
      <c r="B21" s="129" t="s">
        <v>169</v>
      </c>
      <c r="C21" s="129" t="s">
        <v>170</v>
      </c>
      <c r="D21" s="133">
        <v>1</v>
      </c>
      <c r="E21" s="130">
        <v>4.2119999999999997</v>
      </c>
      <c r="F21" s="133">
        <v>62109</v>
      </c>
      <c r="G21" s="129">
        <v>1.49</v>
      </c>
      <c r="H21" s="129">
        <v>145.07</v>
      </c>
      <c r="I21" s="129">
        <v>1.5</v>
      </c>
      <c r="J21" s="131">
        <v>99.6</v>
      </c>
      <c r="K21" s="132">
        <v>46259.868969907409</v>
      </c>
      <c r="L21" s="128">
        <v>1</v>
      </c>
    </row>
    <row r="22" spans="1:12" s="128" customFormat="1" x14ac:dyDescent="0.25">
      <c r="A22" s="227"/>
      <c r="B22" s="129" t="s">
        <v>171</v>
      </c>
      <c r="C22" s="129" t="s">
        <v>170</v>
      </c>
      <c r="D22" s="133">
        <v>2</v>
      </c>
      <c r="E22" s="130">
        <v>4.2089999999999996</v>
      </c>
      <c r="F22" s="133">
        <v>766402</v>
      </c>
      <c r="G22" s="129">
        <v>19.8</v>
      </c>
      <c r="H22" s="129">
        <v>434.78</v>
      </c>
      <c r="I22" s="129">
        <v>18.809999999999999</v>
      </c>
      <c r="J22" s="131">
        <v>105.3</v>
      </c>
      <c r="K22" s="132">
        <v>46259.881932870368</v>
      </c>
      <c r="L22" s="128">
        <v>1</v>
      </c>
    </row>
    <row r="23" spans="1:12" s="128" customFormat="1" x14ac:dyDescent="0.25">
      <c r="A23" s="227"/>
      <c r="B23" s="129" t="s">
        <v>172</v>
      </c>
      <c r="C23" s="129" t="s">
        <v>170</v>
      </c>
      <c r="D23" s="129">
        <v>3</v>
      </c>
      <c r="E23" s="130">
        <v>4.2080000000000002</v>
      </c>
      <c r="F23" s="133">
        <v>1487943</v>
      </c>
      <c r="G23" s="129">
        <v>38.56</v>
      </c>
      <c r="H23" s="129">
        <v>547.54</v>
      </c>
      <c r="I23" s="129">
        <v>37.619999999999997</v>
      </c>
      <c r="J23" s="131">
        <v>102.5</v>
      </c>
      <c r="K23" s="132">
        <v>46259.894895833335</v>
      </c>
      <c r="L23" s="128">
        <v>1</v>
      </c>
    </row>
    <row r="24" spans="1:12" s="128" customFormat="1" x14ac:dyDescent="0.25">
      <c r="A24" s="227"/>
      <c r="B24" s="129" t="s">
        <v>173</v>
      </c>
      <c r="C24" s="129" t="s">
        <v>170</v>
      </c>
      <c r="D24" s="133">
        <v>4</v>
      </c>
      <c r="E24" s="130">
        <v>4.21</v>
      </c>
      <c r="F24" s="133">
        <v>2153307</v>
      </c>
      <c r="G24" s="129">
        <v>55.86</v>
      </c>
      <c r="H24" s="129">
        <v>333.63</v>
      </c>
      <c r="I24" s="129">
        <v>56.43</v>
      </c>
      <c r="J24" s="131">
        <v>99</v>
      </c>
      <c r="K24" s="132">
        <v>46259.907870370371</v>
      </c>
      <c r="L24" s="128">
        <v>1</v>
      </c>
    </row>
    <row r="25" spans="1:12" s="128" customFormat="1" x14ac:dyDescent="0.25">
      <c r="A25" s="227"/>
      <c r="B25" s="129" t="s">
        <v>174</v>
      </c>
      <c r="C25" s="129" t="s">
        <v>170</v>
      </c>
      <c r="D25" s="133">
        <v>5</v>
      </c>
      <c r="E25" s="130">
        <v>4.2089999999999996</v>
      </c>
      <c r="F25" s="133">
        <v>2714048</v>
      </c>
      <c r="G25" s="129">
        <v>70.430000000000007</v>
      </c>
      <c r="H25" s="129">
        <v>359.25</v>
      </c>
      <c r="I25" s="129">
        <v>75.239999999999995</v>
      </c>
      <c r="J25" s="131">
        <v>93.6</v>
      </c>
      <c r="K25" s="132">
        <v>46259.920844907407</v>
      </c>
      <c r="L25" s="128">
        <v>1</v>
      </c>
    </row>
    <row r="26" spans="1:12" x14ac:dyDescent="0.25">
      <c r="A26" s="227"/>
      <c r="B26" s="228" t="s">
        <v>178</v>
      </c>
      <c r="C26" s="228" t="s">
        <v>153</v>
      </c>
      <c r="D26" s="232">
        <v>0</v>
      </c>
      <c r="E26" s="229" t="s">
        <v>154</v>
      </c>
      <c r="F26" s="228" t="s">
        <v>154</v>
      </c>
      <c r="G26" s="228" t="s">
        <v>154</v>
      </c>
      <c r="H26" s="228" t="s">
        <v>154</v>
      </c>
      <c r="I26" s="228" t="s">
        <v>154</v>
      </c>
      <c r="J26" s="230" t="s">
        <v>154</v>
      </c>
      <c r="K26" s="231">
        <v>46259.933807870373</v>
      </c>
      <c r="L26" s="225">
        <v>1</v>
      </c>
    </row>
    <row r="27" spans="1:12" x14ac:dyDescent="0.25">
      <c r="A27" s="227"/>
      <c r="B27" s="228" t="s">
        <v>179</v>
      </c>
      <c r="C27" s="228" t="s">
        <v>153</v>
      </c>
      <c r="D27" s="232">
        <v>0</v>
      </c>
      <c r="E27" s="229">
        <v>4.21</v>
      </c>
      <c r="F27" s="232">
        <v>1486460</v>
      </c>
      <c r="G27" s="228">
        <v>38.520000000000003</v>
      </c>
      <c r="H27" s="228">
        <v>396.63</v>
      </c>
      <c r="I27" s="228" t="s">
        <v>154</v>
      </c>
      <c r="J27" s="230" t="s">
        <v>154</v>
      </c>
      <c r="K27" s="231">
        <v>46259.946782407409</v>
      </c>
      <c r="L27" s="225">
        <v>1</v>
      </c>
    </row>
    <row r="28" spans="1:12" x14ac:dyDescent="0.25">
      <c r="A28" s="227"/>
      <c r="B28" s="228" t="s">
        <v>180</v>
      </c>
      <c r="C28" s="228" t="s">
        <v>153</v>
      </c>
      <c r="D28" s="232">
        <v>0</v>
      </c>
      <c r="E28" s="229">
        <v>4.2089999999999996</v>
      </c>
      <c r="F28" s="232">
        <v>1378896</v>
      </c>
      <c r="G28" s="228">
        <v>35.72</v>
      </c>
      <c r="H28" s="228">
        <v>418.32</v>
      </c>
      <c r="I28" s="228" t="s">
        <v>154</v>
      </c>
      <c r="J28" s="230" t="s">
        <v>154</v>
      </c>
      <c r="K28" s="231">
        <v>46259.959756944445</v>
      </c>
      <c r="L28" s="225">
        <v>1</v>
      </c>
    </row>
    <row r="29" spans="1:12" x14ac:dyDescent="0.25">
      <c r="A29" s="227"/>
      <c r="B29" s="228" t="s">
        <v>181</v>
      </c>
      <c r="C29" s="228" t="s">
        <v>153</v>
      </c>
      <c r="D29" s="232">
        <v>0</v>
      </c>
      <c r="E29" s="229" t="s">
        <v>154</v>
      </c>
      <c r="F29" s="228" t="s">
        <v>154</v>
      </c>
      <c r="G29" s="228" t="s">
        <v>154</v>
      </c>
      <c r="H29" s="228" t="s">
        <v>154</v>
      </c>
      <c r="I29" s="228" t="s">
        <v>154</v>
      </c>
      <c r="J29" s="230" t="s">
        <v>154</v>
      </c>
      <c r="K29" s="231">
        <v>46259.972719907404</v>
      </c>
      <c r="L29" s="225">
        <v>1</v>
      </c>
    </row>
    <row r="30" spans="1:12" s="128" customFormat="1" x14ac:dyDescent="0.25">
      <c r="A30" s="227"/>
      <c r="B30" s="129" t="s">
        <v>194</v>
      </c>
      <c r="C30" s="129" t="s">
        <v>153</v>
      </c>
      <c r="D30" s="133">
        <v>0</v>
      </c>
      <c r="E30" s="130" t="s">
        <v>154</v>
      </c>
      <c r="F30" s="129" t="s">
        <v>154</v>
      </c>
      <c r="G30" s="129" t="s">
        <v>154</v>
      </c>
      <c r="H30" s="129" t="s">
        <v>154</v>
      </c>
      <c r="I30" s="129" t="s">
        <v>154</v>
      </c>
      <c r="J30" s="131" t="s">
        <v>154</v>
      </c>
      <c r="K30" s="132">
        <v>46259.985671296294</v>
      </c>
      <c r="L30" s="128">
        <v>1</v>
      </c>
    </row>
    <row r="31" spans="1:12" s="128" customFormat="1" x14ac:dyDescent="0.25">
      <c r="A31" s="227"/>
      <c r="B31" s="129" t="s">
        <v>195</v>
      </c>
      <c r="C31" s="129" t="s">
        <v>153</v>
      </c>
      <c r="D31" s="133">
        <v>0</v>
      </c>
      <c r="E31" s="130" t="s">
        <v>154</v>
      </c>
      <c r="F31" s="129" t="s">
        <v>154</v>
      </c>
      <c r="G31" s="129" t="s">
        <v>154</v>
      </c>
      <c r="H31" s="129" t="s">
        <v>154</v>
      </c>
      <c r="I31" s="129" t="s">
        <v>154</v>
      </c>
      <c r="J31" s="131" t="s">
        <v>154</v>
      </c>
      <c r="K31" s="132">
        <v>46259.99863425926</v>
      </c>
      <c r="L31" s="128">
        <v>1</v>
      </c>
    </row>
    <row r="32" spans="1:12" s="128" customFormat="1" x14ac:dyDescent="0.25">
      <c r="A32" s="227"/>
      <c r="B32" s="129" t="s">
        <v>196</v>
      </c>
      <c r="C32" s="129" t="s">
        <v>153</v>
      </c>
      <c r="D32" s="133">
        <v>0</v>
      </c>
      <c r="E32" s="130" t="s">
        <v>154</v>
      </c>
      <c r="F32" s="129" t="s">
        <v>154</v>
      </c>
      <c r="G32" s="129" t="s">
        <v>154</v>
      </c>
      <c r="H32" s="129" t="s">
        <v>154</v>
      </c>
      <c r="I32" s="129" t="s">
        <v>154</v>
      </c>
      <c r="J32" s="131" t="s">
        <v>154</v>
      </c>
      <c r="K32" s="132">
        <v>46260.011597222219</v>
      </c>
      <c r="L32" s="128">
        <v>1</v>
      </c>
    </row>
    <row r="33" spans="1:12" s="128" customFormat="1" x14ac:dyDescent="0.25">
      <c r="A33" s="227"/>
      <c r="B33" s="129" t="s">
        <v>197</v>
      </c>
      <c r="C33" s="129" t="s">
        <v>153</v>
      </c>
      <c r="D33" s="133">
        <v>0</v>
      </c>
      <c r="E33" s="130">
        <v>4.2069999999999999</v>
      </c>
      <c r="F33" s="133">
        <v>54263</v>
      </c>
      <c r="G33" s="129">
        <v>1.29</v>
      </c>
      <c r="H33" s="129">
        <v>75.48</v>
      </c>
      <c r="I33" s="129" t="s">
        <v>154</v>
      </c>
      <c r="J33" s="131" t="s">
        <v>154</v>
      </c>
      <c r="K33" s="132">
        <v>46260.024548611109</v>
      </c>
      <c r="L33" s="128">
        <v>1</v>
      </c>
    </row>
    <row r="34" spans="1:12" s="128" customFormat="1" x14ac:dyDescent="0.25">
      <c r="A34" s="227"/>
      <c r="B34" s="129" t="s">
        <v>198</v>
      </c>
      <c r="C34" s="129" t="s">
        <v>153</v>
      </c>
      <c r="D34" s="133">
        <v>0</v>
      </c>
      <c r="E34" s="130">
        <v>4.2080000000000002</v>
      </c>
      <c r="F34" s="133">
        <v>53705</v>
      </c>
      <c r="G34" s="129">
        <v>1.28</v>
      </c>
      <c r="H34" s="129">
        <v>102.27</v>
      </c>
      <c r="I34" s="129" t="s">
        <v>154</v>
      </c>
      <c r="J34" s="131" t="s">
        <v>154</v>
      </c>
      <c r="K34" s="132">
        <v>46260.037523148145</v>
      </c>
      <c r="L34" s="128">
        <v>1</v>
      </c>
    </row>
    <row r="35" spans="1:12" s="128" customFormat="1" x14ac:dyDescent="0.25">
      <c r="A35" s="227"/>
      <c r="B35" s="129" t="s">
        <v>199</v>
      </c>
      <c r="C35" s="129" t="s">
        <v>153</v>
      </c>
      <c r="D35" s="133">
        <v>0</v>
      </c>
      <c r="E35" s="130">
        <v>4.2089999999999996</v>
      </c>
      <c r="F35" s="133">
        <v>51520</v>
      </c>
      <c r="G35" s="129">
        <v>1.22</v>
      </c>
      <c r="H35" s="129">
        <v>57.8</v>
      </c>
      <c r="I35" s="129" t="s">
        <v>154</v>
      </c>
      <c r="J35" s="131" t="s">
        <v>154</v>
      </c>
      <c r="K35" s="132">
        <v>46260.050474537034</v>
      </c>
      <c r="L35" s="128">
        <v>1</v>
      </c>
    </row>
    <row r="36" spans="1:12" x14ac:dyDescent="0.25">
      <c r="A36" s="227"/>
      <c r="B36" s="228" t="s">
        <v>193</v>
      </c>
      <c r="C36" s="228" t="s">
        <v>153</v>
      </c>
      <c r="D36" s="232">
        <v>0</v>
      </c>
      <c r="E36" s="229" t="s">
        <v>154</v>
      </c>
      <c r="F36" s="228" t="s">
        <v>154</v>
      </c>
      <c r="G36" s="228" t="s">
        <v>154</v>
      </c>
      <c r="H36" s="228" t="s">
        <v>154</v>
      </c>
      <c r="I36" s="228" t="s">
        <v>154</v>
      </c>
      <c r="J36" s="230" t="s">
        <v>154</v>
      </c>
      <c r="K36" s="231">
        <v>46260.063460648147</v>
      </c>
      <c r="L36" s="225">
        <v>1</v>
      </c>
    </row>
    <row r="37" spans="1:12" x14ac:dyDescent="0.25">
      <c r="A37" s="227"/>
      <c r="B37" s="228" t="s">
        <v>191</v>
      </c>
      <c r="C37" s="228" t="s">
        <v>153</v>
      </c>
      <c r="D37" s="232">
        <v>0</v>
      </c>
      <c r="E37" s="229">
        <v>4.2060000000000004</v>
      </c>
      <c r="F37" s="232">
        <v>1376123</v>
      </c>
      <c r="G37" s="228">
        <v>35.65</v>
      </c>
      <c r="H37" s="228">
        <v>419.75</v>
      </c>
      <c r="I37" s="228" t="s">
        <v>154</v>
      </c>
      <c r="J37" s="230" t="s">
        <v>154</v>
      </c>
      <c r="K37" s="231">
        <v>46260.076458333337</v>
      </c>
      <c r="L37" s="225">
        <v>1</v>
      </c>
    </row>
    <row r="38" spans="1:12" x14ac:dyDescent="0.25">
      <c r="A38" s="227"/>
      <c r="B38" s="228" t="s">
        <v>192</v>
      </c>
      <c r="C38" s="228" t="s">
        <v>153</v>
      </c>
      <c r="D38" s="232">
        <v>0</v>
      </c>
      <c r="E38" s="229">
        <v>4.2050000000000001</v>
      </c>
      <c r="F38" s="232">
        <v>1203696</v>
      </c>
      <c r="G38" s="228">
        <v>31.17</v>
      </c>
      <c r="H38" s="228">
        <v>379.57</v>
      </c>
      <c r="I38" s="228" t="s">
        <v>154</v>
      </c>
      <c r="J38" s="230" t="s">
        <v>154</v>
      </c>
      <c r="K38" s="231">
        <v>46260.089444444442</v>
      </c>
      <c r="L38" s="225">
        <v>1</v>
      </c>
    </row>
    <row r="39" spans="1:12" s="128" customFormat="1" x14ac:dyDescent="0.25">
      <c r="A39" s="227"/>
      <c r="B39" s="129" t="s">
        <v>201</v>
      </c>
      <c r="C39" s="129" t="s">
        <v>153</v>
      </c>
      <c r="D39" s="133">
        <v>0</v>
      </c>
      <c r="E39" s="130">
        <v>4.2080000000000002</v>
      </c>
      <c r="F39" s="133">
        <v>1177629</v>
      </c>
      <c r="G39" s="129">
        <v>30.49</v>
      </c>
      <c r="H39" s="129">
        <v>368.02</v>
      </c>
      <c r="I39" s="129" t="s">
        <v>154</v>
      </c>
      <c r="J39" s="131" t="s">
        <v>154</v>
      </c>
      <c r="K39" s="132">
        <v>46260.102418981478</v>
      </c>
      <c r="L39" s="128">
        <v>1</v>
      </c>
    </row>
    <row r="40" spans="1:12" s="128" customFormat="1" x14ac:dyDescent="0.25">
      <c r="A40" s="227"/>
      <c r="B40" s="129" t="s">
        <v>202</v>
      </c>
      <c r="C40" s="129" t="s">
        <v>153</v>
      </c>
      <c r="D40" s="129">
        <v>0</v>
      </c>
      <c r="E40" s="130">
        <v>4.2080000000000002</v>
      </c>
      <c r="F40" s="133">
        <v>1190055</v>
      </c>
      <c r="G40" s="129">
        <v>30.82</v>
      </c>
      <c r="H40" s="129">
        <v>299.43</v>
      </c>
      <c r="I40" s="129" t="s">
        <v>154</v>
      </c>
      <c r="J40" s="131" t="s">
        <v>154</v>
      </c>
      <c r="K40" s="132">
        <v>46260.115393518521</v>
      </c>
      <c r="L40" s="128">
        <v>1</v>
      </c>
    </row>
    <row r="41" spans="1:12" s="128" customFormat="1" x14ac:dyDescent="0.25">
      <c r="A41" s="227"/>
      <c r="B41" s="129" t="s">
        <v>203</v>
      </c>
      <c r="C41" s="129" t="s">
        <v>153</v>
      </c>
      <c r="D41" s="133">
        <v>0</v>
      </c>
      <c r="E41" s="130">
        <v>4.2089999999999996</v>
      </c>
      <c r="F41" s="133">
        <v>1107621</v>
      </c>
      <c r="G41" s="129">
        <v>28.67</v>
      </c>
      <c r="H41" s="129">
        <v>448.57</v>
      </c>
      <c r="I41" s="129" t="s">
        <v>154</v>
      </c>
      <c r="J41" s="131" t="s">
        <v>154</v>
      </c>
      <c r="K41" s="132">
        <v>46260.128368055557</v>
      </c>
      <c r="L41" s="128">
        <v>1</v>
      </c>
    </row>
    <row r="42" spans="1:12" x14ac:dyDescent="0.25">
      <c r="A42" s="227"/>
      <c r="B42" s="228" t="s">
        <v>204</v>
      </c>
      <c r="C42" s="228" t="s">
        <v>153</v>
      </c>
      <c r="D42" s="232">
        <v>0</v>
      </c>
      <c r="E42" s="229">
        <v>4.2060000000000004</v>
      </c>
      <c r="F42" s="232">
        <v>1196452</v>
      </c>
      <c r="G42" s="228">
        <v>30.98</v>
      </c>
      <c r="H42" s="228">
        <v>451.47</v>
      </c>
      <c r="I42" s="228" t="s">
        <v>154</v>
      </c>
      <c r="J42" s="230" t="s">
        <v>154</v>
      </c>
      <c r="K42" s="231">
        <v>46260.141319444447</v>
      </c>
      <c r="L42" s="225">
        <v>1</v>
      </c>
    </row>
    <row r="43" spans="1:12" x14ac:dyDescent="0.25">
      <c r="A43" s="227"/>
      <c r="B43" s="228" t="s">
        <v>205</v>
      </c>
      <c r="C43" s="228" t="s">
        <v>153</v>
      </c>
      <c r="D43" s="232">
        <v>0</v>
      </c>
      <c r="E43" s="229">
        <v>4.2080000000000002</v>
      </c>
      <c r="F43" s="232">
        <v>1168220</v>
      </c>
      <c r="G43" s="228">
        <v>30.25</v>
      </c>
      <c r="H43" s="228">
        <v>314.62</v>
      </c>
      <c r="I43" s="228" t="s">
        <v>154</v>
      </c>
      <c r="J43" s="230" t="s">
        <v>154</v>
      </c>
      <c r="K43" s="231">
        <v>46260.154282407406</v>
      </c>
      <c r="L43" s="225">
        <v>1</v>
      </c>
    </row>
    <row r="44" spans="1:12" x14ac:dyDescent="0.25">
      <c r="A44" s="227"/>
      <c r="B44" s="228" t="s">
        <v>206</v>
      </c>
      <c r="C44" s="228" t="s">
        <v>153</v>
      </c>
      <c r="D44" s="232">
        <v>0</v>
      </c>
      <c r="E44" s="229">
        <v>4.2089999999999996</v>
      </c>
      <c r="F44" s="232">
        <v>1180331</v>
      </c>
      <c r="G44" s="228">
        <v>30.56</v>
      </c>
      <c r="H44" s="228">
        <v>363.52</v>
      </c>
      <c r="I44" s="228" t="s">
        <v>154</v>
      </c>
      <c r="J44" s="230" t="s">
        <v>154</v>
      </c>
      <c r="K44" s="231">
        <v>46260.167256944442</v>
      </c>
      <c r="L44" s="225">
        <v>1</v>
      </c>
    </row>
    <row r="45" spans="1:12" x14ac:dyDescent="0.25">
      <c r="A45" s="227"/>
      <c r="B45" s="228" t="s">
        <v>200</v>
      </c>
      <c r="C45" s="228" t="s">
        <v>153</v>
      </c>
      <c r="D45" s="232">
        <v>0</v>
      </c>
      <c r="E45" s="229" t="s">
        <v>154</v>
      </c>
      <c r="F45" s="228" t="s">
        <v>154</v>
      </c>
      <c r="G45" s="228" t="s">
        <v>154</v>
      </c>
      <c r="H45" s="228" t="s">
        <v>154</v>
      </c>
      <c r="I45" s="228" t="s">
        <v>154</v>
      </c>
      <c r="J45" s="230" t="s">
        <v>154</v>
      </c>
      <c r="K45" s="231">
        <v>46260.180243055554</v>
      </c>
      <c r="L45" s="225">
        <v>1</v>
      </c>
    </row>
    <row r="46" spans="1:12" s="128" customFormat="1" x14ac:dyDescent="0.25">
      <c r="A46" s="227"/>
      <c r="B46" s="129" t="s">
        <v>208</v>
      </c>
      <c r="C46" s="129" t="s">
        <v>153</v>
      </c>
      <c r="D46" s="133">
        <v>0</v>
      </c>
      <c r="E46" s="130">
        <v>4.2110000000000003</v>
      </c>
      <c r="F46" s="133">
        <v>1679462</v>
      </c>
      <c r="G46" s="129">
        <v>43.54</v>
      </c>
      <c r="H46" s="129">
        <v>313.08</v>
      </c>
      <c r="I46" s="129" t="s">
        <v>154</v>
      </c>
      <c r="J46" s="131" t="s">
        <v>154</v>
      </c>
      <c r="K46" s="132">
        <v>46260.193206018521</v>
      </c>
      <c r="L46" s="128">
        <v>1</v>
      </c>
    </row>
    <row r="47" spans="1:12" s="128" customFormat="1" x14ac:dyDescent="0.25">
      <c r="A47" s="227"/>
      <c r="B47" s="129" t="s">
        <v>209</v>
      </c>
      <c r="C47" s="129" t="s">
        <v>153</v>
      </c>
      <c r="D47" s="133">
        <v>0</v>
      </c>
      <c r="E47" s="130">
        <v>4.21</v>
      </c>
      <c r="F47" s="133">
        <v>1667100</v>
      </c>
      <c r="G47" s="129">
        <v>43.22</v>
      </c>
      <c r="H47" s="129">
        <v>372.67</v>
      </c>
      <c r="I47" s="129" t="s">
        <v>154</v>
      </c>
      <c r="J47" s="131" t="s">
        <v>154</v>
      </c>
      <c r="K47" s="132">
        <v>46260.206203703703</v>
      </c>
      <c r="L47" s="128">
        <v>1</v>
      </c>
    </row>
    <row r="48" spans="1:12" s="128" customFormat="1" x14ac:dyDescent="0.25">
      <c r="A48" s="227"/>
      <c r="B48" s="129" t="s">
        <v>210</v>
      </c>
      <c r="C48" s="129" t="s">
        <v>153</v>
      </c>
      <c r="D48" s="133">
        <v>0</v>
      </c>
      <c r="E48" s="130">
        <v>4.2089999999999996</v>
      </c>
      <c r="F48" s="133">
        <v>1646267</v>
      </c>
      <c r="G48" s="129">
        <v>42.67</v>
      </c>
      <c r="H48" s="129">
        <v>334.25</v>
      </c>
      <c r="I48" s="129" t="s">
        <v>154</v>
      </c>
      <c r="J48" s="131" t="s">
        <v>154</v>
      </c>
      <c r="K48" s="132">
        <v>46260.219155092593</v>
      </c>
      <c r="L48" s="128">
        <v>1</v>
      </c>
    </row>
    <row r="49" spans="1:12" x14ac:dyDescent="0.25">
      <c r="A49" s="227"/>
      <c r="B49" s="228" t="s">
        <v>207</v>
      </c>
      <c r="C49" s="228" t="s">
        <v>153</v>
      </c>
      <c r="D49" s="232">
        <v>0</v>
      </c>
      <c r="E49" s="229" t="s">
        <v>154</v>
      </c>
      <c r="F49" s="228" t="s">
        <v>154</v>
      </c>
      <c r="G49" s="228" t="s">
        <v>154</v>
      </c>
      <c r="H49" s="228" t="s">
        <v>154</v>
      </c>
      <c r="I49" s="228" t="s">
        <v>154</v>
      </c>
      <c r="J49" s="230" t="s">
        <v>154</v>
      </c>
      <c r="K49" s="231">
        <v>46260.232129629629</v>
      </c>
      <c r="L49" s="225">
        <v>1</v>
      </c>
    </row>
    <row r="50" spans="1:12" x14ac:dyDescent="0.25">
      <c r="A50" s="227"/>
      <c r="B50" s="228" t="s">
        <v>212</v>
      </c>
      <c r="C50" s="228" t="s">
        <v>153</v>
      </c>
      <c r="D50" s="232">
        <v>0</v>
      </c>
      <c r="E50" s="229">
        <v>4.2089999999999996</v>
      </c>
      <c r="F50" s="232">
        <v>1253056</v>
      </c>
      <c r="G50" s="228">
        <v>32.450000000000003</v>
      </c>
      <c r="H50" s="228">
        <v>368.86</v>
      </c>
      <c r="I50" s="228" t="s">
        <v>154</v>
      </c>
      <c r="J50" s="230" t="s">
        <v>154</v>
      </c>
      <c r="K50" s="231">
        <v>46260.245104166665</v>
      </c>
      <c r="L50" s="225">
        <v>1</v>
      </c>
    </row>
    <row r="51" spans="1:12" x14ac:dyDescent="0.25">
      <c r="A51" s="227"/>
      <c r="B51" s="228" t="s">
        <v>213</v>
      </c>
      <c r="C51" s="228" t="s">
        <v>153</v>
      </c>
      <c r="D51" s="232">
        <v>0</v>
      </c>
      <c r="E51" s="229">
        <v>4.2069999999999999</v>
      </c>
      <c r="F51" s="232">
        <v>1160037</v>
      </c>
      <c r="G51" s="228">
        <v>30.04</v>
      </c>
      <c r="H51" s="228">
        <v>311.91000000000003</v>
      </c>
      <c r="I51" s="228" t="s">
        <v>154</v>
      </c>
      <c r="J51" s="230" t="s">
        <v>154</v>
      </c>
      <c r="K51" s="231">
        <v>46260.258090277777</v>
      </c>
      <c r="L51" s="225">
        <v>1</v>
      </c>
    </row>
    <row r="52" spans="1:12" x14ac:dyDescent="0.25">
      <c r="A52" s="227"/>
      <c r="B52" s="228" t="s">
        <v>211</v>
      </c>
      <c r="C52" s="228" t="s">
        <v>153</v>
      </c>
      <c r="D52" s="232">
        <v>0</v>
      </c>
      <c r="E52" s="229" t="s">
        <v>154</v>
      </c>
      <c r="F52" s="228" t="s">
        <v>154</v>
      </c>
      <c r="G52" s="228" t="s">
        <v>154</v>
      </c>
      <c r="H52" s="228" t="s">
        <v>154</v>
      </c>
      <c r="I52" s="228" t="s">
        <v>154</v>
      </c>
      <c r="J52" s="230" t="s">
        <v>154</v>
      </c>
      <c r="K52" s="231">
        <v>46260.271041666667</v>
      </c>
      <c r="L52" s="225">
        <v>1</v>
      </c>
    </row>
    <row r="53" spans="1:12" s="128" customFormat="1" x14ac:dyDescent="0.25">
      <c r="A53" s="227"/>
      <c r="B53" s="129" t="s">
        <v>182</v>
      </c>
      <c r="C53" s="129" t="s">
        <v>153</v>
      </c>
      <c r="D53" s="133">
        <v>0</v>
      </c>
      <c r="E53" s="130">
        <v>4.2089999999999996</v>
      </c>
      <c r="F53" s="133">
        <v>26287</v>
      </c>
      <c r="G53" s="129">
        <v>0.56000000000000005</v>
      </c>
      <c r="H53" s="129">
        <v>68.08</v>
      </c>
      <c r="I53" s="129" t="s">
        <v>154</v>
      </c>
      <c r="J53" s="131" t="s">
        <v>154</v>
      </c>
      <c r="K53" s="132">
        <v>46260.284016203703</v>
      </c>
      <c r="L53" s="128">
        <v>1</v>
      </c>
    </row>
    <row r="54" spans="1:12" s="128" customFormat="1" x14ac:dyDescent="0.25">
      <c r="A54" s="227"/>
      <c r="B54" s="129" t="s">
        <v>183</v>
      </c>
      <c r="C54" s="129" t="s">
        <v>153</v>
      </c>
      <c r="D54" s="133">
        <v>0</v>
      </c>
      <c r="E54" s="130">
        <v>4.2080000000000002</v>
      </c>
      <c r="F54" s="133">
        <v>25759</v>
      </c>
      <c r="G54" s="129">
        <v>0.55000000000000004</v>
      </c>
      <c r="H54" s="129">
        <v>53.4</v>
      </c>
      <c r="I54" s="129" t="s">
        <v>154</v>
      </c>
      <c r="J54" s="131" t="s">
        <v>154</v>
      </c>
      <c r="K54" s="132">
        <v>46260.296979166669</v>
      </c>
      <c r="L54" s="128">
        <v>1</v>
      </c>
    </row>
    <row r="55" spans="1:12" s="128" customFormat="1" x14ac:dyDescent="0.25">
      <c r="A55" s="227"/>
      <c r="B55" s="129" t="s">
        <v>184</v>
      </c>
      <c r="C55" s="129" t="s">
        <v>153</v>
      </c>
      <c r="D55" s="133">
        <v>0</v>
      </c>
      <c r="E55" s="130">
        <v>4.2050000000000001</v>
      </c>
      <c r="F55" s="133">
        <v>27170</v>
      </c>
      <c r="G55" s="129">
        <v>0.59</v>
      </c>
      <c r="H55" s="129">
        <v>30.6</v>
      </c>
      <c r="I55" s="129" t="s">
        <v>154</v>
      </c>
      <c r="J55" s="131" t="s">
        <v>154</v>
      </c>
      <c r="K55" s="132">
        <v>46260.309953703705</v>
      </c>
      <c r="L55" s="128">
        <v>1</v>
      </c>
    </row>
    <row r="56" spans="1:12" s="128" customFormat="1" x14ac:dyDescent="0.25">
      <c r="A56" s="227"/>
      <c r="B56" s="129" t="s">
        <v>185</v>
      </c>
      <c r="C56" s="129" t="s">
        <v>153</v>
      </c>
      <c r="D56" s="133">
        <v>0</v>
      </c>
      <c r="E56" s="130">
        <v>4.2069999999999999</v>
      </c>
      <c r="F56" s="133">
        <v>53923</v>
      </c>
      <c r="G56" s="129">
        <v>1.28</v>
      </c>
      <c r="H56" s="129">
        <v>83.32</v>
      </c>
      <c r="I56" s="129" t="s">
        <v>154</v>
      </c>
      <c r="J56" s="131" t="s">
        <v>154</v>
      </c>
      <c r="K56" s="132">
        <v>46260.322928240741</v>
      </c>
      <c r="L56" s="128">
        <v>1</v>
      </c>
    </row>
    <row r="57" spans="1:12" s="128" customFormat="1" x14ac:dyDescent="0.25">
      <c r="A57" s="227"/>
      <c r="B57" s="129" t="s">
        <v>186</v>
      </c>
      <c r="C57" s="129" t="s">
        <v>153</v>
      </c>
      <c r="D57" s="133">
        <v>0</v>
      </c>
      <c r="E57" s="130">
        <v>4.21</v>
      </c>
      <c r="F57" s="133">
        <v>52803</v>
      </c>
      <c r="G57" s="129">
        <v>1.25</v>
      </c>
      <c r="H57" s="129">
        <v>113</v>
      </c>
      <c r="I57" s="129" t="s">
        <v>154</v>
      </c>
      <c r="J57" s="131" t="s">
        <v>154</v>
      </c>
      <c r="K57" s="132">
        <v>46260.3358912037</v>
      </c>
      <c r="L57" s="128">
        <v>1</v>
      </c>
    </row>
    <row r="58" spans="1:12" s="128" customFormat="1" x14ac:dyDescent="0.25">
      <c r="A58" s="227"/>
      <c r="B58" s="129" t="s">
        <v>187</v>
      </c>
      <c r="C58" s="129" t="s">
        <v>153</v>
      </c>
      <c r="D58" s="133">
        <v>0</v>
      </c>
      <c r="E58" s="130">
        <v>4.2119999999999997</v>
      </c>
      <c r="F58" s="133">
        <v>51719</v>
      </c>
      <c r="G58" s="129">
        <v>1.22</v>
      </c>
      <c r="H58" s="129">
        <v>129.04</v>
      </c>
      <c r="I58" s="129" t="s">
        <v>154</v>
      </c>
      <c r="J58" s="131" t="s">
        <v>154</v>
      </c>
      <c r="K58" s="132">
        <v>46260.348854166667</v>
      </c>
      <c r="L58" s="128">
        <v>1</v>
      </c>
    </row>
    <row r="59" spans="1:12" s="128" customFormat="1" x14ac:dyDescent="0.25">
      <c r="A59" s="227"/>
      <c r="B59" s="129" t="s">
        <v>188</v>
      </c>
      <c r="C59" s="129" t="s">
        <v>153</v>
      </c>
      <c r="D59" s="133">
        <v>0</v>
      </c>
      <c r="E59" s="130">
        <v>4.2050000000000001</v>
      </c>
      <c r="F59" s="133">
        <v>51672</v>
      </c>
      <c r="G59" s="129">
        <v>1.22</v>
      </c>
      <c r="H59" s="129">
        <v>107.6</v>
      </c>
      <c r="I59" s="129" t="s">
        <v>154</v>
      </c>
      <c r="J59" s="131" t="s">
        <v>154</v>
      </c>
      <c r="K59" s="132">
        <v>46260.361805555556</v>
      </c>
      <c r="L59" s="128">
        <v>1</v>
      </c>
    </row>
    <row r="60" spans="1:12" s="128" customFormat="1" x14ac:dyDescent="0.25">
      <c r="A60" s="227"/>
      <c r="B60" s="129" t="s">
        <v>189</v>
      </c>
      <c r="C60" s="129" t="s">
        <v>153</v>
      </c>
      <c r="D60" s="133">
        <v>0</v>
      </c>
      <c r="E60" s="130">
        <v>4.2089999999999996</v>
      </c>
      <c r="F60" s="133">
        <v>52089</v>
      </c>
      <c r="G60" s="129">
        <v>1.23</v>
      </c>
      <c r="H60" s="129">
        <v>108.39</v>
      </c>
      <c r="I60" s="129" t="s">
        <v>154</v>
      </c>
      <c r="J60" s="131" t="s">
        <v>154</v>
      </c>
      <c r="K60" s="132">
        <v>46260.374768518515</v>
      </c>
      <c r="L60" s="128">
        <v>1</v>
      </c>
    </row>
    <row r="61" spans="1:12" s="128" customFormat="1" x14ac:dyDescent="0.25">
      <c r="A61" s="227"/>
      <c r="B61" s="129" t="s">
        <v>190</v>
      </c>
      <c r="C61" s="129" t="s">
        <v>153</v>
      </c>
      <c r="D61" s="133">
        <v>0</v>
      </c>
      <c r="E61" s="130">
        <v>4.2039999999999997</v>
      </c>
      <c r="F61" s="133">
        <v>51911</v>
      </c>
      <c r="G61" s="129">
        <v>1.23</v>
      </c>
      <c r="H61" s="129">
        <v>107.02</v>
      </c>
      <c r="I61" s="129" t="s">
        <v>154</v>
      </c>
      <c r="J61" s="131" t="s">
        <v>154</v>
      </c>
      <c r="K61" s="132">
        <v>46260.387743055559</v>
      </c>
      <c r="L61" s="128">
        <v>1</v>
      </c>
    </row>
    <row r="62" spans="1:12" x14ac:dyDescent="0.25">
      <c r="A62" s="227"/>
      <c r="B62" s="228" t="s">
        <v>214</v>
      </c>
      <c r="C62" s="228" t="s">
        <v>153</v>
      </c>
      <c r="D62" s="232">
        <v>0</v>
      </c>
      <c r="E62" s="229">
        <v>4.2080000000000002</v>
      </c>
      <c r="F62" s="232">
        <v>1172486</v>
      </c>
      <c r="G62" s="228">
        <v>30.36</v>
      </c>
      <c r="H62" s="228">
        <v>349.85</v>
      </c>
      <c r="I62" s="228" t="s">
        <v>154</v>
      </c>
      <c r="J62" s="230" t="s">
        <v>154</v>
      </c>
      <c r="K62" s="231">
        <v>46260.400706018518</v>
      </c>
      <c r="L62" s="225">
        <v>1</v>
      </c>
    </row>
    <row r="63" spans="1:12" x14ac:dyDescent="0.25">
      <c r="A63" s="227"/>
      <c r="B63" s="228" t="s">
        <v>215</v>
      </c>
      <c r="C63" s="228" t="s">
        <v>153</v>
      </c>
      <c r="D63" s="232">
        <v>0</v>
      </c>
      <c r="E63" s="229">
        <v>4.2089999999999996</v>
      </c>
      <c r="F63" s="232">
        <v>1113137</v>
      </c>
      <c r="G63" s="228">
        <v>28.82</v>
      </c>
      <c r="H63" s="228">
        <v>380.62</v>
      </c>
      <c r="I63" s="228" t="s">
        <v>154</v>
      </c>
      <c r="J63" s="230" t="s">
        <v>154</v>
      </c>
      <c r="K63" s="231">
        <v>46260.413668981484</v>
      </c>
      <c r="L63" s="225">
        <v>1</v>
      </c>
    </row>
    <row r="64" spans="1:12" x14ac:dyDescent="0.25">
      <c r="A64" s="234" t="s">
        <v>216</v>
      </c>
      <c r="B64" s="235" t="s">
        <v>145</v>
      </c>
      <c r="C64" s="235" t="s">
        <v>146</v>
      </c>
      <c r="D64" s="235" t="s">
        <v>147</v>
      </c>
      <c r="E64" s="236" t="s">
        <v>148</v>
      </c>
      <c r="F64" s="235" t="s">
        <v>149</v>
      </c>
      <c r="G64" s="235" t="s">
        <v>248</v>
      </c>
      <c r="H64" s="235" t="s">
        <v>249</v>
      </c>
      <c r="I64" s="235" t="s">
        <v>150</v>
      </c>
      <c r="J64" s="237" t="s">
        <v>250</v>
      </c>
      <c r="K64" s="225" t="s">
        <v>251</v>
      </c>
      <c r="L64" s="225" t="s">
        <v>259</v>
      </c>
    </row>
    <row r="65" spans="1:12" x14ac:dyDescent="0.25">
      <c r="A65" s="234"/>
      <c r="B65" s="235" t="s">
        <v>152</v>
      </c>
      <c r="C65" s="235" t="s">
        <v>153</v>
      </c>
      <c r="D65" s="235">
        <v>0</v>
      </c>
      <c r="E65" s="236" t="s">
        <v>154</v>
      </c>
      <c r="F65" s="235" t="s">
        <v>154</v>
      </c>
      <c r="G65" s="235" t="s">
        <v>154</v>
      </c>
      <c r="H65" s="235" t="s">
        <v>154</v>
      </c>
      <c r="I65" s="235" t="s">
        <v>154</v>
      </c>
      <c r="J65" s="237" t="s">
        <v>154</v>
      </c>
      <c r="K65" s="231">
        <v>46260.473761574074</v>
      </c>
      <c r="L65" s="225">
        <v>1</v>
      </c>
    </row>
    <row r="66" spans="1:12" x14ac:dyDescent="0.25">
      <c r="A66" s="234"/>
      <c r="B66" s="235" t="s">
        <v>155</v>
      </c>
      <c r="C66" s="235" t="s">
        <v>153</v>
      </c>
      <c r="D66" s="235">
        <v>0</v>
      </c>
      <c r="E66" s="236" t="s">
        <v>154</v>
      </c>
      <c r="F66" s="235" t="s">
        <v>154</v>
      </c>
      <c r="G66" s="235" t="s">
        <v>154</v>
      </c>
      <c r="H66" s="235" t="s">
        <v>154</v>
      </c>
      <c r="I66" s="235" t="s">
        <v>154</v>
      </c>
      <c r="J66" s="237" t="s">
        <v>154</v>
      </c>
      <c r="K66" s="231">
        <v>46260.486840277779</v>
      </c>
      <c r="L66" s="225">
        <v>1</v>
      </c>
    </row>
    <row r="67" spans="1:12" x14ac:dyDescent="0.25">
      <c r="A67" s="234"/>
      <c r="B67" s="235" t="s">
        <v>156</v>
      </c>
      <c r="C67" s="235" t="s">
        <v>153</v>
      </c>
      <c r="D67" s="235">
        <v>0</v>
      </c>
      <c r="E67" s="236" t="s">
        <v>154</v>
      </c>
      <c r="F67" s="235" t="s">
        <v>154</v>
      </c>
      <c r="G67" s="235" t="s">
        <v>154</v>
      </c>
      <c r="H67" s="235" t="s">
        <v>154</v>
      </c>
      <c r="I67" s="235" t="s">
        <v>154</v>
      </c>
      <c r="J67" s="237" t="s">
        <v>154</v>
      </c>
      <c r="K67" s="231">
        <v>46260.499976851854</v>
      </c>
      <c r="L67" s="225">
        <v>1</v>
      </c>
    </row>
    <row r="68" spans="1:12" x14ac:dyDescent="0.25">
      <c r="A68" s="234"/>
      <c r="B68" s="235" t="s">
        <v>157</v>
      </c>
      <c r="C68" s="235" t="s">
        <v>153</v>
      </c>
      <c r="D68" s="238">
        <v>0</v>
      </c>
      <c r="E68" s="236" t="s">
        <v>154</v>
      </c>
      <c r="F68" s="235" t="s">
        <v>154</v>
      </c>
      <c r="G68" s="235" t="s">
        <v>154</v>
      </c>
      <c r="H68" s="235" t="s">
        <v>154</v>
      </c>
      <c r="I68" s="235" t="s">
        <v>154</v>
      </c>
      <c r="J68" s="237" t="s">
        <v>154</v>
      </c>
      <c r="K68" s="231">
        <v>46260.512986111113</v>
      </c>
      <c r="L68" s="225">
        <v>1</v>
      </c>
    </row>
    <row r="69" spans="1:12" x14ac:dyDescent="0.25">
      <c r="A69" s="234"/>
      <c r="B69" s="235" t="s">
        <v>158</v>
      </c>
      <c r="C69" s="235" t="s">
        <v>153</v>
      </c>
      <c r="D69" s="238">
        <v>0</v>
      </c>
      <c r="E69" s="236" t="s">
        <v>154</v>
      </c>
      <c r="F69" s="235" t="s">
        <v>154</v>
      </c>
      <c r="G69" s="235" t="s">
        <v>154</v>
      </c>
      <c r="H69" s="235" t="s">
        <v>154</v>
      </c>
      <c r="I69" s="235" t="s">
        <v>154</v>
      </c>
      <c r="J69" s="237" t="s">
        <v>154</v>
      </c>
      <c r="K69" s="231">
        <v>46260.526064814818</v>
      </c>
      <c r="L69" s="225">
        <v>1</v>
      </c>
    </row>
    <row r="70" spans="1:12" x14ac:dyDescent="0.25">
      <c r="A70" s="234"/>
      <c r="B70" s="235" t="s">
        <v>159</v>
      </c>
      <c r="C70" s="235" t="s">
        <v>153</v>
      </c>
      <c r="D70" s="238">
        <v>0</v>
      </c>
      <c r="E70" s="236">
        <v>4.202</v>
      </c>
      <c r="F70" s="238">
        <v>20750</v>
      </c>
      <c r="G70" s="235">
        <v>0.67</v>
      </c>
      <c r="H70" s="235">
        <v>39.049999999999997</v>
      </c>
      <c r="I70" s="235" t="s">
        <v>154</v>
      </c>
      <c r="J70" s="237" t="s">
        <v>154</v>
      </c>
      <c r="K70" s="231">
        <v>46260.539143518516</v>
      </c>
      <c r="L70" s="225">
        <v>1</v>
      </c>
    </row>
    <row r="71" spans="1:12" x14ac:dyDescent="0.25">
      <c r="A71" s="234"/>
      <c r="B71" s="235" t="s">
        <v>217</v>
      </c>
      <c r="C71" s="235" t="s">
        <v>153</v>
      </c>
      <c r="D71" s="238">
        <v>0</v>
      </c>
      <c r="E71" s="236">
        <v>4.2119999999999997</v>
      </c>
      <c r="F71" s="238">
        <v>20443</v>
      </c>
      <c r="G71" s="235">
        <v>0.65</v>
      </c>
      <c r="H71" s="235">
        <v>45.63</v>
      </c>
      <c r="I71" s="235" t="s">
        <v>154</v>
      </c>
      <c r="J71" s="237" t="s">
        <v>154</v>
      </c>
      <c r="K71" s="231">
        <v>46260.552106481482</v>
      </c>
      <c r="L71" s="225">
        <v>1</v>
      </c>
    </row>
    <row r="72" spans="1:12" x14ac:dyDescent="0.25">
      <c r="A72" s="234"/>
      <c r="B72" s="235" t="s">
        <v>169</v>
      </c>
      <c r="C72" s="235" t="s">
        <v>170</v>
      </c>
      <c r="D72" s="238">
        <v>1</v>
      </c>
      <c r="E72" s="236">
        <v>4.2110000000000003</v>
      </c>
      <c r="F72" s="238">
        <v>40047</v>
      </c>
      <c r="G72" s="235">
        <v>1.49</v>
      </c>
      <c r="H72" s="235">
        <v>83.06</v>
      </c>
      <c r="I72" s="235">
        <v>1.5</v>
      </c>
      <c r="J72" s="237">
        <v>99.4</v>
      </c>
      <c r="K72" s="231">
        <v>46260.565081018518</v>
      </c>
      <c r="L72" s="225">
        <v>1</v>
      </c>
    </row>
    <row r="73" spans="1:12" x14ac:dyDescent="0.25">
      <c r="A73" s="234"/>
      <c r="B73" s="235" t="s">
        <v>171</v>
      </c>
      <c r="C73" s="235" t="s">
        <v>170</v>
      </c>
      <c r="D73" s="238">
        <v>2</v>
      </c>
      <c r="E73" s="236">
        <v>4.2039999999999997</v>
      </c>
      <c r="F73" s="238">
        <v>484573</v>
      </c>
      <c r="G73" s="235">
        <v>20.52</v>
      </c>
      <c r="H73" s="235">
        <v>403.38</v>
      </c>
      <c r="I73" s="235">
        <v>18.75</v>
      </c>
      <c r="J73" s="237">
        <v>109.4</v>
      </c>
      <c r="K73" s="231">
        <v>46260.578055555554</v>
      </c>
      <c r="L73" s="225">
        <v>1</v>
      </c>
    </row>
    <row r="74" spans="1:12" x14ac:dyDescent="0.25">
      <c r="A74" s="234"/>
      <c r="B74" s="235" t="s">
        <v>172</v>
      </c>
      <c r="C74" s="235" t="s">
        <v>170</v>
      </c>
      <c r="D74" s="238">
        <v>3</v>
      </c>
      <c r="E74" s="236">
        <v>4.2030000000000003</v>
      </c>
      <c r="F74" s="238">
        <v>898857</v>
      </c>
      <c r="G74" s="235">
        <v>38.25</v>
      </c>
      <c r="H74" s="235">
        <v>332.46</v>
      </c>
      <c r="I74" s="235">
        <v>37.51</v>
      </c>
      <c r="J74" s="237">
        <v>102</v>
      </c>
      <c r="K74" s="231">
        <v>46260.59101851852</v>
      </c>
      <c r="L74" s="225">
        <v>1</v>
      </c>
    </row>
    <row r="75" spans="1:12" x14ac:dyDescent="0.25">
      <c r="A75" s="234"/>
      <c r="B75" s="235" t="s">
        <v>173</v>
      </c>
      <c r="C75" s="235" t="s">
        <v>170</v>
      </c>
      <c r="D75" s="235">
        <v>4</v>
      </c>
      <c r="E75" s="236">
        <v>4.2060000000000004</v>
      </c>
      <c r="F75" s="238">
        <v>1284945</v>
      </c>
      <c r="G75" s="235">
        <v>54.78</v>
      </c>
      <c r="H75" s="235">
        <v>411.51</v>
      </c>
      <c r="I75" s="235">
        <v>56.26</v>
      </c>
      <c r="J75" s="237">
        <v>97.4</v>
      </c>
      <c r="K75" s="231">
        <v>46260.604016203702</v>
      </c>
      <c r="L75" s="225">
        <v>1</v>
      </c>
    </row>
    <row r="76" spans="1:12" x14ac:dyDescent="0.25">
      <c r="A76" s="234"/>
      <c r="B76" s="235" t="s">
        <v>174</v>
      </c>
      <c r="C76" s="235" t="s">
        <v>170</v>
      </c>
      <c r="D76" s="235">
        <v>5</v>
      </c>
      <c r="E76" s="236">
        <v>4.2060000000000004</v>
      </c>
      <c r="F76" s="238">
        <v>1614226</v>
      </c>
      <c r="G76" s="235">
        <v>68.87</v>
      </c>
      <c r="H76" s="235">
        <v>557.6</v>
      </c>
      <c r="I76" s="235">
        <v>75.010000000000005</v>
      </c>
      <c r="J76" s="237">
        <v>91.8</v>
      </c>
      <c r="K76" s="231">
        <v>46260.617013888892</v>
      </c>
      <c r="L76" s="225">
        <v>1</v>
      </c>
    </row>
    <row r="77" spans="1:12" x14ac:dyDescent="0.25">
      <c r="A77" s="234"/>
      <c r="B77" s="235" t="s">
        <v>168</v>
      </c>
      <c r="C77" s="235" t="s">
        <v>153</v>
      </c>
      <c r="D77" s="238">
        <v>0</v>
      </c>
      <c r="E77" s="236" t="s">
        <v>154</v>
      </c>
      <c r="F77" s="235" t="s">
        <v>154</v>
      </c>
      <c r="G77" s="235" t="s">
        <v>154</v>
      </c>
      <c r="H77" s="235" t="s">
        <v>154</v>
      </c>
      <c r="I77" s="235" t="s">
        <v>154</v>
      </c>
      <c r="J77" s="237" t="s">
        <v>154</v>
      </c>
      <c r="K77" s="231">
        <v>46260.629976851851</v>
      </c>
      <c r="L77" s="225">
        <v>1</v>
      </c>
    </row>
    <row r="78" spans="1:12" x14ac:dyDescent="0.25">
      <c r="A78" s="234"/>
      <c r="B78" s="235" t="s">
        <v>218</v>
      </c>
      <c r="C78" s="235" t="s">
        <v>153</v>
      </c>
      <c r="D78" s="238">
        <v>0</v>
      </c>
      <c r="E78" s="236" t="s">
        <v>154</v>
      </c>
      <c r="F78" s="235" t="s">
        <v>154</v>
      </c>
      <c r="G78" s="235" t="s">
        <v>154</v>
      </c>
      <c r="H78" s="235" t="s">
        <v>154</v>
      </c>
      <c r="I78" s="235" t="s">
        <v>154</v>
      </c>
      <c r="J78" s="237" t="s">
        <v>154</v>
      </c>
      <c r="K78" s="231">
        <v>46260.643101851849</v>
      </c>
      <c r="L78" s="225">
        <v>1</v>
      </c>
    </row>
    <row r="79" spans="1:12" x14ac:dyDescent="0.25">
      <c r="A79" s="234"/>
      <c r="B79" s="235" t="s">
        <v>219</v>
      </c>
      <c r="C79" s="235" t="s">
        <v>153</v>
      </c>
      <c r="D79" s="238">
        <v>0</v>
      </c>
      <c r="E79" s="236">
        <v>4.2060000000000004</v>
      </c>
      <c r="F79" s="238">
        <v>760631</v>
      </c>
      <c r="G79" s="235">
        <v>32.340000000000003</v>
      </c>
      <c r="H79" s="235">
        <v>241.41</v>
      </c>
      <c r="I79" s="235" t="s">
        <v>154</v>
      </c>
      <c r="J79" s="237" t="s">
        <v>154</v>
      </c>
      <c r="K79" s="231">
        <v>46260.656192129631</v>
      </c>
      <c r="L79" s="225">
        <v>1</v>
      </c>
    </row>
    <row r="80" spans="1:12" x14ac:dyDescent="0.25">
      <c r="A80" s="234"/>
      <c r="B80" s="235" t="s">
        <v>220</v>
      </c>
      <c r="C80" s="235" t="s">
        <v>153</v>
      </c>
      <c r="D80" s="238">
        <v>0</v>
      </c>
      <c r="E80" s="236">
        <v>4.2050000000000001</v>
      </c>
      <c r="F80" s="238">
        <v>766489</v>
      </c>
      <c r="G80" s="235">
        <v>32.590000000000003</v>
      </c>
      <c r="H80" s="235">
        <v>317.88</v>
      </c>
      <c r="I80" s="235" t="s">
        <v>154</v>
      </c>
      <c r="J80" s="237" t="s">
        <v>154</v>
      </c>
      <c r="K80" s="231">
        <v>46260.66914351852</v>
      </c>
      <c r="L80" s="225">
        <v>1</v>
      </c>
    </row>
    <row r="81" spans="1:12" x14ac:dyDescent="0.25">
      <c r="A81" s="234"/>
      <c r="B81" s="235" t="s">
        <v>221</v>
      </c>
      <c r="C81" s="235" t="s">
        <v>153</v>
      </c>
      <c r="D81" s="238">
        <v>0</v>
      </c>
      <c r="E81" s="236">
        <v>4.2069999999999999</v>
      </c>
      <c r="F81" s="238">
        <v>774795</v>
      </c>
      <c r="G81" s="235">
        <v>32.94</v>
      </c>
      <c r="H81" s="235">
        <v>384.78</v>
      </c>
      <c r="I81" s="235" t="s">
        <v>154</v>
      </c>
      <c r="J81" s="237" t="s">
        <v>154</v>
      </c>
      <c r="K81" s="231">
        <v>46260.682164351849</v>
      </c>
      <c r="L81" s="225">
        <v>1</v>
      </c>
    </row>
    <row r="82" spans="1:12" x14ac:dyDescent="0.25">
      <c r="A82" s="234"/>
      <c r="B82" s="235" t="s">
        <v>222</v>
      </c>
      <c r="C82" s="235" t="s">
        <v>153</v>
      </c>
      <c r="D82" s="238">
        <v>0</v>
      </c>
      <c r="E82" s="236">
        <v>4.2039999999999997</v>
      </c>
      <c r="F82" s="238">
        <v>782829</v>
      </c>
      <c r="G82" s="235">
        <v>33.29</v>
      </c>
      <c r="H82" s="235">
        <v>415.14</v>
      </c>
      <c r="I82" s="235" t="s">
        <v>154</v>
      </c>
      <c r="J82" s="237" t="s">
        <v>154</v>
      </c>
      <c r="K82" s="231">
        <v>46260.695127314815</v>
      </c>
      <c r="L82" s="225">
        <v>1</v>
      </c>
    </row>
    <row r="83" spans="1:12" x14ac:dyDescent="0.25">
      <c r="A83" s="234"/>
      <c r="B83" s="235" t="s">
        <v>223</v>
      </c>
      <c r="C83" s="235" t="s">
        <v>153</v>
      </c>
      <c r="D83" s="238">
        <v>0</v>
      </c>
      <c r="E83" s="236">
        <v>4.2050000000000001</v>
      </c>
      <c r="F83" s="238">
        <v>790962</v>
      </c>
      <c r="G83" s="235">
        <v>33.630000000000003</v>
      </c>
      <c r="H83" s="235">
        <v>255.76</v>
      </c>
      <c r="I83" s="235" t="s">
        <v>154</v>
      </c>
      <c r="J83" s="237" t="s">
        <v>154</v>
      </c>
      <c r="K83" s="231">
        <v>46260.708090277774</v>
      </c>
      <c r="L83" s="225">
        <v>1</v>
      </c>
    </row>
    <row r="84" spans="1:12" x14ac:dyDescent="0.25">
      <c r="A84" s="234"/>
      <c r="B84" s="235" t="s">
        <v>224</v>
      </c>
      <c r="C84" s="235" t="s">
        <v>153</v>
      </c>
      <c r="D84" s="235">
        <v>0</v>
      </c>
      <c r="E84" s="236">
        <v>4.2060000000000004</v>
      </c>
      <c r="F84" s="238">
        <v>775623</v>
      </c>
      <c r="G84" s="235">
        <v>32.979999999999997</v>
      </c>
      <c r="H84" s="235">
        <v>421.34</v>
      </c>
      <c r="I84" s="235" t="s">
        <v>154</v>
      </c>
      <c r="J84" s="237" t="s">
        <v>154</v>
      </c>
      <c r="K84" s="231">
        <v>46260.721041666664</v>
      </c>
      <c r="L84" s="225">
        <v>1</v>
      </c>
    </row>
    <row r="85" spans="1:12" x14ac:dyDescent="0.25">
      <c r="A85" s="234"/>
      <c r="B85" s="235" t="s">
        <v>225</v>
      </c>
      <c r="C85" s="235" t="s">
        <v>153</v>
      </c>
      <c r="D85" s="235">
        <v>0</v>
      </c>
      <c r="E85" s="236">
        <v>4.2</v>
      </c>
      <c r="F85" s="238">
        <v>765594</v>
      </c>
      <c r="G85" s="235">
        <v>32.549999999999997</v>
      </c>
      <c r="H85" s="235">
        <v>324.91000000000003</v>
      </c>
      <c r="I85" s="235" t="s">
        <v>154</v>
      </c>
      <c r="J85" s="237" t="s">
        <v>154</v>
      </c>
      <c r="K85" s="231">
        <v>46260.73400462963</v>
      </c>
      <c r="L85" s="225">
        <v>1</v>
      </c>
    </row>
    <row r="86" spans="1:12" x14ac:dyDescent="0.25">
      <c r="A86" s="234"/>
      <c r="B86" s="235" t="s">
        <v>175</v>
      </c>
      <c r="C86" s="235" t="s">
        <v>153</v>
      </c>
      <c r="D86" s="235">
        <v>0</v>
      </c>
      <c r="E86" s="236" t="s">
        <v>154</v>
      </c>
      <c r="F86" s="235" t="s">
        <v>154</v>
      </c>
      <c r="G86" s="235" t="s">
        <v>154</v>
      </c>
      <c r="H86" s="235" t="s">
        <v>154</v>
      </c>
      <c r="I86" s="235" t="s">
        <v>154</v>
      </c>
      <c r="J86" s="237" t="s">
        <v>154</v>
      </c>
      <c r="K86" s="231">
        <v>46260.746979166666</v>
      </c>
      <c r="L86" s="225">
        <v>1</v>
      </c>
    </row>
    <row r="87" spans="1:12" x14ac:dyDescent="0.25">
      <c r="A87" s="234"/>
      <c r="B87" s="235" t="s">
        <v>178</v>
      </c>
      <c r="C87" s="235" t="s">
        <v>153</v>
      </c>
      <c r="D87" s="235">
        <v>0</v>
      </c>
      <c r="E87" s="236" t="s">
        <v>154</v>
      </c>
      <c r="F87" s="235" t="s">
        <v>154</v>
      </c>
      <c r="G87" s="235" t="s">
        <v>154</v>
      </c>
      <c r="H87" s="235" t="s">
        <v>154</v>
      </c>
      <c r="I87" s="235" t="s">
        <v>154</v>
      </c>
      <c r="J87" s="237" t="s">
        <v>154</v>
      </c>
      <c r="K87" s="231">
        <v>46260.759942129633</v>
      </c>
      <c r="L87" s="225">
        <v>1</v>
      </c>
    </row>
    <row r="88" spans="1:12" x14ac:dyDescent="0.25">
      <c r="A88" s="234"/>
      <c r="B88" s="235" t="s">
        <v>255</v>
      </c>
      <c r="C88" s="235" t="s">
        <v>153</v>
      </c>
      <c r="D88" s="235">
        <v>0</v>
      </c>
      <c r="E88" s="236" t="s">
        <v>154</v>
      </c>
      <c r="F88" s="235" t="s">
        <v>154</v>
      </c>
      <c r="G88" s="235" t="s">
        <v>154</v>
      </c>
      <c r="H88" s="235" t="s">
        <v>154</v>
      </c>
      <c r="I88" s="235" t="s">
        <v>154</v>
      </c>
      <c r="J88" s="237" t="s">
        <v>154</v>
      </c>
      <c r="K88" s="231">
        <v>46260.773032407407</v>
      </c>
      <c r="L88" s="225">
        <v>1</v>
      </c>
    </row>
    <row r="89" spans="1:12" x14ac:dyDescent="0.25">
      <c r="A89" s="234"/>
      <c r="B89" s="235" t="s">
        <v>256</v>
      </c>
      <c r="C89" s="235" t="s">
        <v>153</v>
      </c>
      <c r="D89" s="235">
        <v>0</v>
      </c>
      <c r="E89" s="236" t="s">
        <v>154</v>
      </c>
      <c r="F89" s="235" t="s">
        <v>154</v>
      </c>
      <c r="G89" s="235" t="s">
        <v>154</v>
      </c>
      <c r="H89" s="235" t="s">
        <v>154</v>
      </c>
      <c r="I89" s="235" t="s">
        <v>154</v>
      </c>
      <c r="J89" s="237" t="s">
        <v>154</v>
      </c>
      <c r="K89" s="231">
        <v>46260.786145833335</v>
      </c>
      <c r="L89" s="225">
        <v>1</v>
      </c>
    </row>
    <row r="90" spans="1:12" x14ac:dyDescent="0.25">
      <c r="A90" s="234"/>
      <c r="B90" s="235" t="s">
        <v>257</v>
      </c>
      <c r="C90" s="235" t="s">
        <v>153</v>
      </c>
      <c r="D90" s="235">
        <v>0</v>
      </c>
      <c r="E90" s="236" t="s">
        <v>154</v>
      </c>
      <c r="F90" s="235" t="s">
        <v>154</v>
      </c>
      <c r="G90" s="235" t="s">
        <v>154</v>
      </c>
      <c r="H90" s="235" t="s">
        <v>154</v>
      </c>
      <c r="I90" s="235" t="s">
        <v>154</v>
      </c>
      <c r="J90" s="237" t="s">
        <v>154</v>
      </c>
      <c r="K90" s="231">
        <v>46260.799097222225</v>
      </c>
      <c r="L90" s="225">
        <v>1</v>
      </c>
    </row>
  </sheetData>
  <mergeCells count="2">
    <mergeCell ref="A2:A63"/>
    <mergeCell ref="A64:A90"/>
  </mergeCells>
  <phoneticPr fontId="48" type="noConversion"/>
  <pageMargins left="0.75" right="0.75" top="1" bottom="1" header="0.5" footer="0.5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13"/>
  <sheetViews>
    <sheetView workbookViewId="0">
      <selection activeCell="C7" sqref="C7"/>
    </sheetView>
  </sheetViews>
  <sheetFormatPr defaultColWidth="9" defaultRowHeight="14" x14ac:dyDescent="0.25"/>
  <cols>
    <col min="1" max="1" width="24.08984375" style="85" customWidth="1"/>
    <col min="2" max="2" width="20.6328125" style="85" customWidth="1"/>
    <col min="3" max="3" width="13" style="1" customWidth="1"/>
  </cols>
  <sheetData>
    <row r="1" spans="1:3" ht="21" customHeight="1" x14ac:dyDescent="0.25">
      <c r="A1" s="97" t="s">
        <v>25</v>
      </c>
      <c r="B1" s="147" t="s">
        <v>10</v>
      </c>
      <c r="C1" s="144"/>
    </row>
    <row r="2" spans="1:3" ht="21" customHeight="1" x14ac:dyDescent="0.25">
      <c r="A2" s="97" t="s">
        <v>26</v>
      </c>
      <c r="B2" s="97" t="s">
        <v>27</v>
      </c>
      <c r="C2" s="97" t="s">
        <v>28</v>
      </c>
    </row>
    <row r="3" spans="1:3" ht="21" customHeight="1" x14ac:dyDescent="0.25">
      <c r="A3" s="97" t="s">
        <v>29</v>
      </c>
      <c r="B3" s="98"/>
      <c r="C3" s="99"/>
    </row>
    <row r="4" spans="1:3" ht="21" customHeight="1" x14ac:dyDescent="0.25">
      <c r="A4" s="97" t="s">
        <v>30</v>
      </c>
      <c r="B4" s="98"/>
      <c r="C4" s="99"/>
    </row>
    <row r="5" spans="1:3" ht="21" customHeight="1" x14ac:dyDescent="0.25">
      <c r="A5" s="97" t="s">
        <v>31</v>
      </c>
      <c r="B5" s="98"/>
      <c r="C5" s="99"/>
    </row>
    <row r="6" spans="1:3" ht="21" customHeight="1" x14ac:dyDescent="0.25">
      <c r="A6" s="97" t="s">
        <v>32</v>
      </c>
      <c r="B6" s="98"/>
      <c r="C6" s="99"/>
    </row>
    <row r="7" spans="1:3" ht="21" customHeight="1" x14ac:dyDescent="0.25">
      <c r="A7" s="97" t="s">
        <v>33</v>
      </c>
      <c r="B7" s="98"/>
      <c r="C7" s="99"/>
    </row>
    <row r="8" spans="1:3" ht="21" customHeight="1" x14ac:dyDescent="0.25">
      <c r="A8" s="97" t="s">
        <v>34</v>
      </c>
      <c r="B8" s="98"/>
      <c r="C8" s="99"/>
    </row>
    <row r="9" spans="1:3" ht="21" customHeight="1" x14ac:dyDescent="0.25">
      <c r="A9" s="97" t="s">
        <v>35</v>
      </c>
      <c r="B9" s="100" t="str">
        <f>IFERROR(ROUNDUP(B13,1),"")</f>
        <v/>
      </c>
      <c r="C9" s="100" t="str">
        <f>IFERROR(ROUNDUP(C13,1),"")</f>
        <v/>
      </c>
    </row>
    <row r="10" spans="1:3" ht="21" customHeight="1" x14ac:dyDescent="0.25">
      <c r="A10" s="97" t="s">
        <v>36</v>
      </c>
      <c r="B10" s="97"/>
      <c r="C10" s="97"/>
    </row>
    <row r="11" spans="1:3" ht="21" customHeight="1" x14ac:dyDescent="0.25">
      <c r="A11" s="97" t="s">
        <v>37</v>
      </c>
      <c r="B11" s="97" t="str">
        <f>IFERROR(AVERAGE(B3:B8),"")</f>
        <v/>
      </c>
      <c r="C11" s="101" t="str">
        <f>IFERROR(AVERAGE(C3:C8),"")</f>
        <v/>
      </c>
    </row>
    <row r="12" spans="1:3" ht="21" customHeight="1" x14ac:dyDescent="0.25">
      <c r="A12" s="97" t="s">
        <v>38</v>
      </c>
      <c r="B12" s="102" t="str">
        <f>IFERROR(STDEV(B3:B8),"")</f>
        <v/>
      </c>
      <c r="C12" s="102" t="str">
        <f>IFERROR(STDEV(C3:C8),"")</f>
        <v/>
      </c>
    </row>
    <row r="13" spans="1:3" ht="21" customHeight="1" x14ac:dyDescent="0.25">
      <c r="A13" s="97" t="s">
        <v>39</v>
      </c>
      <c r="B13" s="97" t="str">
        <f>IFERROR(B12/B11*100,"")</f>
        <v/>
      </c>
      <c r="C13" s="97" t="str">
        <f>IFERROR(C12/C11*100,"")</f>
        <v/>
      </c>
    </row>
  </sheetData>
  <mergeCells count="1">
    <mergeCell ref="B1:C1"/>
  </mergeCells>
  <phoneticPr fontId="48" type="noConversion"/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3"/>
  <sheetViews>
    <sheetView workbookViewId="0">
      <selection activeCell="B36" sqref="B36"/>
    </sheetView>
  </sheetViews>
  <sheetFormatPr defaultColWidth="9" defaultRowHeight="14" x14ac:dyDescent="0.25"/>
  <cols>
    <col min="1" max="1" width="11.453125" style="1" customWidth="1"/>
    <col min="2" max="2" width="14.08984375" style="1" customWidth="1"/>
    <col min="3" max="3" width="10.6328125" style="1" customWidth="1"/>
    <col min="4" max="5" width="20.90625" style="1" customWidth="1"/>
    <col min="6" max="6" width="14.453125" style="1" customWidth="1"/>
    <col min="7" max="11" width="12.453125" style="1" customWidth="1"/>
  </cols>
  <sheetData>
    <row r="1" spans="1:11" s="81" customFormat="1" ht="17.149999999999999" customHeight="1" x14ac:dyDescent="0.3">
      <c r="A1" s="89"/>
      <c r="B1" s="90"/>
      <c r="C1" s="91"/>
      <c r="D1" s="90"/>
      <c r="E1" s="92"/>
      <c r="F1" s="92"/>
      <c r="G1" s="92"/>
      <c r="H1" s="92"/>
      <c r="I1" s="92"/>
      <c r="J1" s="92"/>
      <c r="K1" s="92"/>
    </row>
    <row r="2" spans="1:11" s="81" customFormat="1" ht="17.149999999999999" customHeight="1" x14ac:dyDescent="0.3">
      <c r="A2" s="93" t="s">
        <v>40</v>
      </c>
      <c r="B2" s="29" t="s">
        <v>41</v>
      </c>
      <c r="C2" s="36" t="s">
        <v>42</v>
      </c>
      <c r="D2" s="29" t="s">
        <v>43</v>
      </c>
      <c r="E2" s="29" t="s">
        <v>44</v>
      </c>
      <c r="F2" s="94" t="s">
        <v>45</v>
      </c>
      <c r="G2" s="94" t="s">
        <v>46</v>
      </c>
      <c r="H2" s="94" t="s">
        <v>47</v>
      </c>
      <c r="I2" s="94" t="s">
        <v>48</v>
      </c>
      <c r="J2" s="94" t="s">
        <v>49</v>
      </c>
      <c r="K2" s="94" t="s">
        <v>50</v>
      </c>
    </row>
    <row r="3" spans="1:11" s="81" customFormat="1" ht="17.149999999999999" customHeight="1" x14ac:dyDescent="0.25">
      <c r="A3" s="37" t="s">
        <v>10</v>
      </c>
      <c r="B3" s="95"/>
      <c r="C3" s="96"/>
      <c r="D3" s="81">
        <f>B3*C3/20*1000*1000</f>
        <v>0</v>
      </c>
      <c r="E3" s="81">
        <f>D3*0.2/20</f>
        <v>0</v>
      </c>
      <c r="F3" s="81">
        <f>ROUND(E3*F1/20,2)</f>
        <v>0</v>
      </c>
      <c r="G3" s="81">
        <f>ROUND(E3*G1/20,2)</f>
        <v>0</v>
      </c>
      <c r="H3" s="81">
        <f>ROUND(E3*H1/20,2)</f>
        <v>0</v>
      </c>
      <c r="I3" s="81">
        <f>ROUND(E3*I1/20,2)</f>
        <v>0</v>
      </c>
      <c r="J3" s="81">
        <f>ROUND(E3*J1/20,2)</f>
        <v>0</v>
      </c>
      <c r="K3" s="81">
        <f>ROUND(E3*K1/20,2)</f>
        <v>0</v>
      </c>
    </row>
  </sheetData>
  <phoneticPr fontId="48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5"/>
  <sheetViews>
    <sheetView workbookViewId="0">
      <selection activeCell="A2" sqref="A2:A5"/>
    </sheetView>
  </sheetViews>
  <sheetFormatPr defaultColWidth="9" defaultRowHeight="14" x14ac:dyDescent="0.25"/>
  <cols>
    <col min="1" max="1" width="14" style="85" customWidth="1"/>
    <col min="2" max="4" width="19.7265625" style="85" customWidth="1"/>
    <col min="5" max="5" width="9" style="85" customWidth="1"/>
    <col min="6" max="16384" width="9" style="85"/>
  </cols>
  <sheetData>
    <row r="1" spans="1:4" ht="17.649999999999999" customHeight="1" x14ac:dyDescent="0.25">
      <c r="A1" s="86" t="s">
        <v>25</v>
      </c>
      <c r="B1" s="86" t="s">
        <v>26</v>
      </c>
      <c r="C1" s="86" t="s">
        <v>27</v>
      </c>
      <c r="D1" s="86" t="s">
        <v>28</v>
      </c>
    </row>
    <row r="2" spans="1:4" ht="17.649999999999999" customHeight="1" x14ac:dyDescent="0.25">
      <c r="A2" s="151" t="s">
        <v>10</v>
      </c>
      <c r="B2" s="87" t="s">
        <v>51</v>
      </c>
      <c r="C2" s="88"/>
      <c r="D2" s="88"/>
    </row>
    <row r="3" spans="1:4" ht="17.649999999999999" customHeight="1" x14ac:dyDescent="0.25">
      <c r="A3" s="152"/>
      <c r="B3" s="87" t="s">
        <v>52</v>
      </c>
      <c r="C3" s="87"/>
      <c r="D3" s="87"/>
    </row>
    <row r="4" spans="1:4" ht="17.649999999999999" customHeight="1" x14ac:dyDescent="0.25">
      <c r="A4" s="152"/>
      <c r="B4" s="87" t="s">
        <v>53</v>
      </c>
      <c r="C4" s="87"/>
      <c r="D4" s="87"/>
    </row>
    <row r="5" spans="1:4" ht="17.649999999999999" customHeight="1" x14ac:dyDescent="0.25">
      <c r="A5" s="153"/>
      <c r="B5" s="87" t="s">
        <v>54</v>
      </c>
      <c r="C5" s="87"/>
      <c r="D5" s="87"/>
    </row>
  </sheetData>
  <mergeCells count="1">
    <mergeCell ref="A2:A5"/>
  </mergeCells>
  <phoneticPr fontId="48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13"/>
  <sheetViews>
    <sheetView workbookViewId="0">
      <selection activeCell="E7" sqref="E7:E12"/>
    </sheetView>
  </sheetViews>
  <sheetFormatPr defaultColWidth="9" defaultRowHeight="14" x14ac:dyDescent="0.25"/>
  <cols>
    <col min="1" max="1" width="9.08984375" style="1" customWidth="1"/>
    <col min="2" max="2" width="13.36328125" style="12" customWidth="1"/>
    <col min="3" max="3" width="13.90625" style="12" customWidth="1"/>
    <col min="4" max="10" width="19.90625" style="12" customWidth="1"/>
  </cols>
  <sheetData>
    <row r="1" spans="1:10" s="12" customFormat="1" ht="23.25" customHeight="1" x14ac:dyDescent="0.25">
      <c r="A1" s="154" t="s">
        <v>55</v>
      </c>
      <c r="B1" s="138"/>
      <c r="C1" s="138"/>
      <c r="D1" s="138"/>
      <c r="E1" s="138"/>
      <c r="F1" s="138"/>
      <c r="G1" s="138"/>
      <c r="H1" s="138"/>
      <c r="I1" s="138"/>
      <c r="J1" s="155"/>
    </row>
    <row r="2" spans="1:10" s="12" customFormat="1" ht="35.25" customHeight="1" x14ac:dyDescent="0.25">
      <c r="A2" s="76" t="s">
        <v>56</v>
      </c>
      <c r="B2" s="76" t="s">
        <v>57</v>
      </c>
      <c r="C2" s="76" t="s">
        <v>25</v>
      </c>
      <c r="D2" s="76" t="s">
        <v>58</v>
      </c>
      <c r="E2" s="76" t="s">
        <v>59</v>
      </c>
      <c r="F2" s="76" t="s">
        <v>60</v>
      </c>
      <c r="G2" s="76" t="s">
        <v>61</v>
      </c>
      <c r="H2" s="76" t="s">
        <v>62</v>
      </c>
      <c r="I2" s="156" t="s">
        <v>63</v>
      </c>
      <c r="J2" s="144"/>
    </row>
    <row r="3" spans="1:10" s="12" customFormat="1" ht="18" customHeight="1" x14ac:dyDescent="0.25">
      <c r="A3" s="77"/>
      <c r="B3" s="77"/>
      <c r="C3" s="78" t="s">
        <v>10</v>
      </c>
      <c r="D3" s="79"/>
      <c r="E3" s="79"/>
      <c r="F3" s="79"/>
      <c r="G3" s="77"/>
      <c r="H3" s="80" t="str">
        <f>IF(G3="","",ROUND(G3/B3,1))</f>
        <v/>
      </c>
      <c r="I3" s="157" t="str">
        <f>IF(H3="","",H3/A3*100)</f>
        <v/>
      </c>
      <c r="J3" s="144"/>
    </row>
    <row r="4" spans="1:10" s="12" customFormat="1" ht="18" customHeight="1" x14ac:dyDescent="0.25">
      <c r="A4" s="81"/>
      <c r="B4" s="81"/>
      <c r="C4" s="76" t="s">
        <v>36</v>
      </c>
      <c r="D4" s="158"/>
      <c r="E4" s="159"/>
      <c r="F4" s="159"/>
      <c r="G4" s="159"/>
      <c r="H4" s="159"/>
      <c r="I4" s="159"/>
      <c r="J4" s="160"/>
    </row>
    <row r="5" spans="1:10" s="12" customFormat="1" ht="23.25" customHeight="1" x14ac:dyDescent="0.25">
      <c r="A5" s="161" t="s">
        <v>64</v>
      </c>
      <c r="B5" s="143"/>
      <c r="C5" s="143"/>
      <c r="D5" s="143"/>
      <c r="E5" s="143"/>
      <c r="F5" s="143"/>
      <c r="G5" s="143"/>
      <c r="H5" s="143"/>
      <c r="I5" s="143"/>
      <c r="J5" s="144"/>
    </row>
    <row r="6" spans="1:10" s="12" customFormat="1" ht="35.25" customHeight="1" x14ac:dyDescent="0.25">
      <c r="A6" s="76" t="s">
        <v>56</v>
      </c>
      <c r="B6" s="76" t="s">
        <v>57</v>
      </c>
      <c r="C6" s="162" t="s">
        <v>10</v>
      </c>
      <c r="D6" s="76" t="s">
        <v>65</v>
      </c>
      <c r="E6" s="76" t="s">
        <v>66</v>
      </c>
      <c r="F6" s="76" t="s">
        <v>28</v>
      </c>
      <c r="G6" s="76" t="s">
        <v>67</v>
      </c>
      <c r="H6" s="76" t="s">
        <v>68</v>
      </c>
      <c r="I6" s="76" t="s">
        <v>69</v>
      </c>
      <c r="J6" s="76" t="s">
        <v>63</v>
      </c>
    </row>
    <row r="7" spans="1:10" s="12" customFormat="1" ht="18" customHeight="1" x14ac:dyDescent="0.25">
      <c r="A7" s="158"/>
      <c r="B7" s="158"/>
      <c r="C7" s="152"/>
      <c r="D7" s="82">
        <v>1</v>
      </c>
      <c r="E7" s="83"/>
      <c r="F7" s="84"/>
      <c r="G7" s="165" t="str">
        <f t="shared" ref="G7" si="0">IFERROR(STDEV(F7:F12)/AVERAGE(F7:F12)*100,"")</f>
        <v/>
      </c>
      <c r="H7" s="166"/>
      <c r="I7" s="167" t="str">
        <f t="shared" ref="I7" si="1">IF(H7="","",ROUND(H7/B7,1))</f>
        <v/>
      </c>
      <c r="J7" s="157" t="str">
        <f t="shared" ref="J7" si="2">IF(I7="","",I7/A7*100)</f>
        <v/>
      </c>
    </row>
    <row r="8" spans="1:10" s="12" customFormat="1" ht="18" customHeight="1" x14ac:dyDescent="0.25">
      <c r="A8" s="163"/>
      <c r="B8" s="163"/>
      <c r="C8" s="152"/>
      <c r="D8" s="82">
        <v>2</v>
      </c>
      <c r="E8" s="83"/>
      <c r="F8" s="84"/>
      <c r="G8" s="152"/>
      <c r="H8" s="163"/>
      <c r="I8" s="152"/>
      <c r="J8" s="152"/>
    </row>
    <row r="9" spans="1:10" s="12" customFormat="1" ht="18" customHeight="1" x14ac:dyDescent="0.25">
      <c r="A9" s="163"/>
      <c r="B9" s="163"/>
      <c r="C9" s="152"/>
      <c r="D9" s="82">
        <v>3</v>
      </c>
      <c r="E9" s="83"/>
      <c r="F9" s="84"/>
      <c r="G9" s="152"/>
      <c r="H9" s="163"/>
      <c r="I9" s="152"/>
      <c r="J9" s="152"/>
    </row>
    <row r="10" spans="1:10" s="12" customFormat="1" ht="18" customHeight="1" x14ac:dyDescent="0.25">
      <c r="A10" s="163"/>
      <c r="B10" s="163"/>
      <c r="C10" s="152"/>
      <c r="D10" s="82">
        <v>4</v>
      </c>
      <c r="E10" s="83"/>
      <c r="F10" s="84"/>
      <c r="G10" s="152"/>
      <c r="H10" s="163"/>
      <c r="I10" s="152"/>
      <c r="J10" s="152"/>
    </row>
    <row r="11" spans="1:10" s="12" customFormat="1" ht="18" customHeight="1" x14ac:dyDescent="0.25">
      <c r="A11" s="163"/>
      <c r="B11" s="163"/>
      <c r="C11" s="152"/>
      <c r="D11" s="82">
        <v>5</v>
      </c>
      <c r="E11" s="83"/>
      <c r="F11" s="84"/>
      <c r="G11" s="152"/>
      <c r="H11" s="163"/>
      <c r="I11" s="152"/>
      <c r="J11" s="152"/>
    </row>
    <row r="12" spans="1:10" s="12" customFormat="1" ht="18" customHeight="1" x14ac:dyDescent="0.25">
      <c r="A12" s="164"/>
      <c r="B12" s="164"/>
      <c r="C12" s="152"/>
      <c r="D12" s="82">
        <v>6</v>
      </c>
      <c r="E12" s="83"/>
      <c r="F12" s="84"/>
      <c r="G12" s="153"/>
      <c r="H12" s="164"/>
      <c r="I12" s="153"/>
      <c r="J12" s="153"/>
    </row>
    <row r="13" spans="1:10" s="12" customFormat="1" ht="18" customHeight="1" x14ac:dyDescent="0.25">
      <c r="A13" s="81"/>
      <c r="B13" s="81"/>
      <c r="C13" s="153"/>
      <c r="D13" s="76" t="s">
        <v>36</v>
      </c>
      <c r="E13" s="158"/>
      <c r="F13" s="159"/>
      <c r="G13" s="159"/>
      <c r="H13" s="159"/>
      <c r="I13" s="159"/>
      <c r="J13" s="160"/>
    </row>
  </sheetData>
  <mergeCells count="13">
    <mergeCell ref="E13:J13"/>
    <mergeCell ref="A7:A12"/>
    <mergeCell ref="B7:B12"/>
    <mergeCell ref="C6:C13"/>
    <mergeCell ref="G7:G12"/>
    <mergeCell ref="H7:H12"/>
    <mergeCell ref="I7:I12"/>
    <mergeCell ref="J7:J12"/>
    <mergeCell ref="A1:J1"/>
    <mergeCell ref="I2:J2"/>
    <mergeCell ref="I3:J3"/>
    <mergeCell ref="D4:J4"/>
    <mergeCell ref="A5:J5"/>
  </mergeCells>
  <phoneticPr fontId="48" type="noConversion"/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24"/>
  <sheetViews>
    <sheetView workbookViewId="0">
      <selection activeCell="G18" sqref="C18:G18"/>
    </sheetView>
  </sheetViews>
  <sheetFormatPr defaultColWidth="9" defaultRowHeight="14" x14ac:dyDescent="0.25"/>
  <cols>
    <col min="1" max="1" width="9.453125" style="10" customWidth="1"/>
    <col min="2" max="2" width="23" style="10" customWidth="1"/>
    <col min="3" max="7" width="14.6328125" style="10" customWidth="1"/>
    <col min="8" max="8" width="9" style="1" customWidth="1"/>
  </cols>
  <sheetData>
    <row r="1" spans="1:8" ht="23.25" customHeight="1" x14ac:dyDescent="0.25">
      <c r="A1" s="70"/>
      <c r="B1" s="168" t="s">
        <v>70</v>
      </c>
      <c r="C1" s="143"/>
      <c r="D1" s="143"/>
      <c r="E1" s="143"/>
      <c r="F1" s="143"/>
      <c r="G1" s="144"/>
      <c r="H1"/>
    </row>
    <row r="2" spans="1:8" ht="22.15" customHeight="1" x14ac:dyDescent="0.25">
      <c r="A2" s="172" t="s">
        <v>10</v>
      </c>
      <c r="B2" s="71" t="s">
        <v>26</v>
      </c>
      <c r="C2" s="72" t="s">
        <v>71</v>
      </c>
      <c r="D2" s="72" t="s">
        <v>72</v>
      </c>
      <c r="E2" s="72" t="s">
        <v>73</v>
      </c>
      <c r="F2" s="72" t="s">
        <v>74</v>
      </c>
      <c r="G2" s="72" t="s">
        <v>75</v>
      </c>
      <c r="H2"/>
    </row>
    <row r="3" spans="1:8" ht="17.649999999999999" customHeight="1" x14ac:dyDescent="0.25">
      <c r="A3" s="155"/>
      <c r="B3" s="71" t="s">
        <v>76</v>
      </c>
      <c r="C3" s="73"/>
      <c r="D3" s="73"/>
      <c r="E3" s="73"/>
      <c r="F3" s="73"/>
      <c r="G3" s="73"/>
      <c r="H3"/>
    </row>
    <row r="4" spans="1:8" ht="17.649999999999999" customHeight="1" x14ac:dyDescent="0.25">
      <c r="A4" s="155"/>
      <c r="B4" s="71" t="s">
        <v>28</v>
      </c>
      <c r="C4" s="73"/>
      <c r="D4" s="73"/>
      <c r="E4" s="73"/>
      <c r="F4" s="73"/>
      <c r="G4" s="73"/>
      <c r="H4"/>
    </row>
    <row r="5" spans="1:8" ht="17.649999999999999" customHeight="1" x14ac:dyDescent="0.25">
      <c r="A5" s="155"/>
      <c r="B5" s="71" t="s">
        <v>77</v>
      </c>
      <c r="C5" s="169"/>
      <c r="D5" s="159"/>
      <c r="E5" s="159"/>
      <c r="F5" s="159"/>
      <c r="G5" s="160"/>
      <c r="H5"/>
    </row>
    <row r="6" spans="1:8" ht="17.649999999999999" customHeight="1" x14ac:dyDescent="0.25">
      <c r="A6" s="155"/>
      <c r="B6" s="71" t="s">
        <v>78</v>
      </c>
      <c r="C6" s="170"/>
      <c r="D6" s="159"/>
      <c r="E6" s="159"/>
      <c r="F6" s="159"/>
      <c r="G6" s="160"/>
      <c r="H6"/>
    </row>
    <row r="7" spans="1:8" ht="17.649999999999999" customHeight="1" x14ac:dyDescent="0.25">
      <c r="A7" s="155"/>
      <c r="B7" s="71" t="s">
        <v>79</v>
      </c>
      <c r="C7" s="170"/>
      <c r="D7" s="159"/>
      <c r="E7" s="159"/>
      <c r="F7" s="159"/>
      <c r="G7" s="160"/>
      <c r="H7"/>
    </row>
    <row r="8" spans="1:8" ht="17.649999999999999" customHeight="1" x14ac:dyDescent="0.25">
      <c r="A8" s="155"/>
      <c r="B8" s="71" t="s">
        <v>80</v>
      </c>
      <c r="C8" s="74"/>
      <c r="D8" s="74"/>
      <c r="E8" s="74"/>
      <c r="F8" s="74"/>
      <c r="G8" s="74"/>
      <c r="H8"/>
    </row>
    <row r="9" spans="1:8" ht="18.399999999999999" customHeight="1" x14ac:dyDescent="0.25">
      <c r="A9" s="155"/>
      <c r="B9" s="71" t="s">
        <v>81</v>
      </c>
      <c r="C9" s="75">
        <f>C4-C8</f>
        <v>0</v>
      </c>
      <c r="D9" s="75">
        <f>D4-D8</f>
        <v>0</v>
      </c>
      <c r="E9" s="75">
        <f>E4-E8</f>
        <v>0</v>
      </c>
      <c r="F9" s="75">
        <f>F4-F8</f>
        <v>0</v>
      </c>
      <c r="G9" s="75">
        <f>G4-G8</f>
        <v>0</v>
      </c>
      <c r="H9"/>
    </row>
    <row r="10" spans="1:8" ht="17.649999999999999" customHeight="1" x14ac:dyDescent="0.25">
      <c r="A10" s="155"/>
      <c r="B10" s="71" t="s">
        <v>82</v>
      </c>
      <c r="C10" s="171"/>
      <c r="D10" s="159"/>
      <c r="E10" s="159"/>
      <c r="F10" s="159"/>
      <c r="G10" s="160"/>
      <c r="H10"/>
    </row>
    <row r="11" spans="1:8" ht="13.5" customHeight="1" x14ac:dyDescent="0.25">
      <c r="A11" s="155"/>
      <c r="B11" s="174" t="s">
        <v>36</v>
      </c>
      <c r="C11" s="169"/>
      <c r="D11" s="175"/>
      <c r="E11" s="175"/>
      <c r="F11" s="175"/>
      <c r="G11" s="176"/>
      <c r="H11"/>
    </row>
    <row r="12" spans="1:8" ht="13.5" customHeight="1" x14ac:dyDescent="0.25">
      <c r="A12" s="155"/>
      <c r="B12" s="173"/>
      <c r="C12" s="177"/>
      <c r="D12" s="178"/>
      <c r="E12" s="178"/>
      <c r="F12" s="178"/>
      <c r="G12" s="179"/>
      <c r="H12"/>
    </row>
    <row r="13" spans="1:8" ht="23.25" customHeight="1" x14ac:dyDescent="0.25">
      <c r="A13" s="155"/>
      <c r="B13" s="180" t="s">
        <v>83</v>
      </c>
      <c r="C13" s="143"/>
      <c r="D13" s="143"/>
      <c r="E13" s="143"/>
      <c r="F13" s="143"/>
      <c r="G13" s="144"/>
      <c r="H13"/>
    </row>
    <row r="14" spans="1:8" ht="22.15" customHeight="1" x14ac:dyDescent="0.25">
      <c r="A14" s="155"/>
      <c r="B14" s="71" t="s">
        <v>26</v>
      </c>
      <c r="C14" s="72" t="s">
        <v>71</v>
      </c>
      <c r="D14" s="72" t="s">
        <v>72</v>
      </c>
      <c r="E14" s="72" t="s">
        <v>73</v>
      </c>
      <c r="F14" s="72" t="s">
        <v>74</v>
      </c>
      <c r="G14" s="72" t="s">
        <v>75</v>
      </c>
      <c r="H14"/>
    </row>
    <row r="15" spans="1:8" ht="17.649999999999999" customHeight="1" x14ac:dyDescent="0.25">
      <c r="A15" s="155"/>
      <c r="B15" s="71" t="s">
        <v>76</v>
      </c>
      <c r="C15" s="73"/>
      <c r="D15" s="73"/>
      <c r="E15" s="73"/>
      <c r="F15" s="73"/>
      <c r="G15" s="73"/>
      <c r="H15"/>
    </row>
    <row r="16" spans="1:8" ht="17.649999999999999" customHeight="1" x14ac:dyDescent="0.25">
      <c r="A16" s="155"/>
      <c r="B16" s="71" t="s">
        <v>28</v>
      </c>
      <c r="C16" s="73"/>
      <c r="D16" s="73"/>
      <c r="E16" s="73"/>
      <c r="F16" s="73"/>
      <c r="G16" s="73"/>
      <c r="H16"/>
    </row>
    <row r="17" spans="1:8" ht="17.649999999999999" customHeight="1" x14ac:dyDescent="0.25">
      <c r="A17" s="155"/>
      <c r="B17" s="71" t="s">
        <v>77</v>
      </c>
      <c r="C17" s="169"/>
      <c r="D17" s="159"/>
      <c r="E17" s="159"/>
      <c r="F17" s="159"/>
      <c r="G17" s="160"/>
      <c r="H17"/>
    </row>
    <row r="18" spans="1:8" ht="17.649999999999999" customHeight="1" x14ac:dyDescent="0.25">
      <c r="A18" s="155"/>
      <c r="B18" s="71" t="s">
        <v>78</v>
      </c>
      <c r="C18" s="170"/>
      <c r="D18" s="159"/>
      <c r="E18" s="159"/>
      <c r="F18" s="159"/>
      <c r="G18" s="160"/>
      <c r="H18"/>
    </row>
    <row r="19" spans="1:8" ht="17.649999999999999" customHeight="1" x14ac:dyDescent="0.25">
      <c r="A19" s="155"/>
      <c r="B19" s="71" t="s">
        <v>79</v>
      </c>
      <c r="C19" s="170"/>
      <c r="D19" s="159"/>
      <c r="E19" s="159"/>
      <c r="F19" s="159"/>
      <c r="G19" s="160"/>
      <c r="H19"/>
    </row>
    <row r="20" spans="1:8" ht="17.649999999999999" customHeight="1" x14ac:dyDescent="0.25">
      <c r="A20" s="155"/>
      <c r="B20" s="71" t="s">
        <v>80</v>
      </c>
      <c r="C20" s="74"/>
      <c r="D20" s="74"/>
      <c r="E20" s="74"/>
      <c r="F20" s="74"/>
      <c r="G20" s="74"/>
      <c r="H20"/>
    </row>
    <row r="21" spans="1:8" ht="18.399999999999999" customHeight="1" x14ac:dyDescent="0.25">
      <c r="A21" s="155"/>
      <c r="B21" s="71" t="s">
        <v>81</v>
      </c>
      <c r="C21" s="75">
        <f>C16-C20</f>
        <v>0</v>
      </c>
      <c r="D21" s="75">
        <f>D16-D20</f>
        <v>0</v>
      </c>
      <c r="E21" s="75">
        <f>E16-E20</f>
        <v>0</v>
      </c>
      <c r="F21" s="75">
        <f>F16-F20</f>
        <v>0</v>
      </c>
      <c r="G21" s="75">
        <f>G16-G20</f>
        <v>0</v>
      </c>
      <c r="H21"/>
    </row>
    <row r="22" spans="1:8" ht="17.649999999999999" customHeight="1" x14ac:dyDescent="0.25">
      <c r="A22" s="155"/>
      <c r="B22" s="71" t="s">
        <v>82</v>
      </c>
      <c r="C22" s="171"/>
      <c r="D22" s="159"/>
      <c r="E22" s="159"/>
      <c r="F22" s="159"/>
      <c r="G22" s="160"/>
      <c r="H22"/>
    </row>
    <row r="23" spans="1:8" ht="13.5" customHeight="1" x14ac:dyDescent="0.25">
      <c r="A23" s="155"/>
      <c r="B23" s="174" t="s">
        <v>36</v>
      </c>
      <c r="C23" s="169"/>
      <c r="D23" s="175"/>
      <c r="E23" s="175"/>
      <c r="F23" s="175"/>
      <c r="G23" s="176"/>
      <c r="H23"/>
    </row>
    <row r="24" spans="1:8" ht="13.5" customHeight="1" x14ac:dyDescent="0.25">
      <c r="A24" s="173"/>
      <c r="B24" s="173"/>
      <c r="C24" s="177"/>
      <c r="D24" s="178"/>
      <c r="E24" s="178"/>
      <c r="F24" s="178"/>
      <c r="G24" s="179"/>
      <c r="H24"/>
    </row>
  </sheetData>
  <mergeCells count="15">
    <mergeCell ref="A2:A24"/>
    <mergeCell ref="B11:B12"/>
    <mergeCell ref="B23:B24"/>
    <mergeCell ref="C11:G12"/>
    <mergeCell ref="C23:G24"/>
    <mergeCell ref="B13:G13"/>
    <mergeCell ref="C17:G17"/>
    <mergeCell ref="C18:G18"/>
    <mergeCell ref="C19:G19"/>
    <mergeCell ref="C22:G22"/>
    <mergeCell ref="B1:G1"/>
    <mergeCell ref="C5:G5"/>
    <mergeCell ref="C6:G6"/>
    <mergeCell ref="C7:G7"/>
    <mergeCell ref="C10:G10"/>
  </mergeCells>
  <phoneticPr fontId="48" type="noConversion"/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3"/>
  <sheetViews>
    <sheetView topLeftCell="A7" workbookViewId="0">
      <selection activeCell="F3" sqref="F3:H8"/>
    </sheetView>
  </sheetViews>
  <sheetFormatPr defaultColWidth="9" defaultRowHeight="14" x14ac:dyDescent="0.25"/>
  <cols>
    <col min="1" max="1" width="17" style="1" customWidth="1"/>
    <col min="2" max="3" width="11.36328125" style="1" customWidth="1"/>
    <col min="4" max="4" width="11.6328125" style="1" customWidth="1"/>
    <col min="5" max="5" width="14.36328125" style="1" customWidth="1"/>
    <col min="6" max="6" width="12" style="1" customWidth="1"/>
    <col min="7" max="7" width="13.08984375" style="1" customWidth="1"/>
    <col min="8" max="8" width="13.90625" style="1" customWidth="1"/>
    <col min="9" max="9" width="10.90625" style="1" customWidth="1"/>
    <col min="10" max="10" width="12" style="1" customWidth="1"/>
  </cols>
  <sheetData>
    <row r="1" spans="1:10" ht="23.25" customHeight="1" x14ac:dyDescent="0.25">
      <c r="A1" s="51"/>
      <c r="B1" s="181" t="s">
        <v>84</v>
      </c>
      <c r="C1" s="143"/>
      <c r="D1" s="143"/>
      <c r="E1" s="143"/>
      <c r="F1" s="143"/>
      <c r="G1" s="143"/>
      <c r="H1" s="143"/>
      <c r="I1" s="143"/>
      <c r="J1" s="144"/>
    </row>
    <row r="2" spans="1:10" ht="39.75" customHeight="1" x14ac:dyDescent="0.25">
      <c r="A2" s="187" t="s">
        <v>10</v>
      </c>
      <c r="B2" s="18" t="s">
        <v>85</v>
      </c>
      <c r="C2" s="18" t="s">
        <v>85</v>
      </c>
      <c r="D2" s="11" t="s">
        <v>65</v>
      </c>
      <c r="E2" s="52" t="s">
        <v>86</v>
      </c>
      <c r="F2" s="53" t="s">
        <v>27</v>
      </c>
      <c r="G2" s="54" t="s">
        <v>28</v>
      </c>
      <c r="H2" s="54" t="s">
        <v>87</v>
      </c>
      <c r="I2" s="54" t="s">
        <v>62</v>
      </c>
      <c r="J2" s="18" t="s">
        <v>88</v>
      </c>
    </row>
    <row r="3" spans="1:10" ht="13.9" customHeight="1" x14ac:dyDescent="0.25">
      <c r="A3" s="152"/>
      <c r="B3" s="55"/>
      <c r="C3" s="55"/>
      <c r="D3" s="11">
        <v>1</v>
      </c>
      <c r="E3" s="56">
        <f t="shared" ref="E3:E8" si="0">B3-C3</f>
        <v>0</v>
      </c>
      <c r="F3" s="57"/>
      <c r="G3" s="58"/>
      <c r="H3" s="59"/>
      <c r="I3" s="60" t="e">
        <f t="shared" ref="I3:I8" si="1">ROUND(H3*20/E3,1)</f>
        <v>#DIV/0!</v>
      </c>
      <c r="J3" s="50" t="e">
        <f t="shared" ref="J3:J8" si="2">I3/25*100</f>
        <v>#DIV/0!</v>
      </c>
    </row>
    <row r="4" spans="1:10" ht="13.9" customHeight="1" x14ac:dyDescent="0.25">
      <c r="A4" s="152"/>
      <c r="B4" s="55"/>
      <c r="C4" s="55"/>
      <c r="D4" s="11">
        <v>2</v>
      </c>
      <c r="E4" s="56">
        <f t="shared" si="0"/>
        <v>0</v>
      </c>
      <c r="F4" s="57"/>
      <c r="G4" s="58"/>
      <c r="H4" s="59"/>
      <c r="I4" s="60" t="e">
        <f t="shared" si="1"/>
        <v>#DIV/0!</v>
      </c>
      <c r="J4" s="50" t="e">
        <f t="shared" si="2"/>
        <v>#DIV/0!</v>
      </c>
    </row>
    <row r="5" spans="1:10" ht="13.9" customHeight="1" x14ac:dyDescent="0.25">
      <c r="A5" s="152"/>
      <c r="B5" s="55"/>
      <c r="C5" s="55"/>
      <c r="D5" s="11">
        <v>3</v>
      </c>
      <c r="E5" s="56">
        <f t="shared" si="0"/>
        <v>0</v>
      </c>
      <c r="F5" s="57"/>
      <c r="G5" s="58"/>
      <c r="H5" s="59"/>
      <c r="I5" s="60" t="e">
        <f t="shared" si="1"/>
        <v>#DIV/0!</v>
      </c>
      <c r="J5" s="50" t="e">
        <f t="shared" si="2"/>
        <v>#DIV/0!</v>
      </c>
    </row>
    <row r="6" spans="1:10" ht="13.9" customHeight="1" x14ac:dyDescent="0.25">
      <c r="A6" s="152"/>
      <c r="B6" s="55"/>
      <c r="C6" s="55"/>
      <c r="D6" s="11">
        <v>4</v>
      </c>
      <c r="E6" s="56">
        <f t="shared" si="0"/>
        <v>0</v>
      </c>
      <c r="F6" s="57"/>
      <c r="G6" s="58"/>
      <c r="H6" s="59"/>
      <c r="I6" s="60" t="e">
        <f t="shared" si="1"/>
        <v>#DIV/0!</v>
      </c>
      <c r="J6" s="50" t="e">
        <f t="shared" si="2"/>
        <v>#DIV/0!</v>
      </c>
    </row>
    <row r="7" spans="1:10" ht="13.9" customHeight="1" x14ac:dyDescent="0.25">
      <c r="A7" s="152"/>
      <c r="B7" s="55"/>
      <c r="C7" s="55"/>
      <c r="D7" s="11">
        <v>5</v>
      </c>
      <c r="E7" s="56">
        <f t="shared" si="0"/>
        <v>0</v>
      </c>
      <c r="F7" s="57"/>
      <c r="G7" s="58"/>
      <c r="H7" s="59"/>
      <c r="I7" s="60" t="e">
        <f t="shared" si="1"/>
        <v>#DIV/0!</v>
      </c>
      <c r="J7" s="50" t="e">
        <f t="shared" si="2"/>
        <v>#DIV/0!</v>
      </c>
    </row>
    <row r="8" spans="1:10" ht="13.9" customHeight="1" x14ac:dyDescent="0.25">
      <c r="A8" s="152"/>
      <c r="B8" s="55"/>
      <c r="C8" s="55"/>
      <c r="D8" s="11">
        <v>6</v>
      </c>
      <c r="E8" s="56">
        <f t="shared" si="0"/>
        <v>0</v>
      </c>
      <c r="F8" s="57"/>
      <c r="G8" s="58"/>
      <c r="H8" s="59"/>
      <c r="I8" s="60" t="e">
        <f t="shared" si="1"/>
        <v>#DIV/0!</v>
      </c>
      <c r="J8" s="50" t="e">
        <f t="shared" si="2"/>
        <v>#DIV/0!</v>
      </c>
    </row>
    <row r="9" spans="1:10" ht="27" customHeight="1" x14ac:dyDescent="0.25">
      <c r="A9" s="152"/>
      <c r="B9" s="184"/>
      <c r="C9" s="188"/>
      <c r="D9" s="11" t="s">
        <v>35</v>
      </c>
      <c r="E9" s="61" t="s">
        <v>89</v>
      </c>
      <c r="F9" s="62" t="str">
        <f>IFERROR(ROUNDUP(F15,1),"")</f>
        <v/>
      </c>
      <c r="G9" s="61" t="s">
        <v>89</v>
      </c>
      <c r="H9" s="61" t="s">
        <v>89</v>
      </c>
      <c r="I9" s="62" t="str">
        <f>IFERROR(ROUNDUP(I15,1),"")</f>
        <v/>
      </c>
      <c r="J9" s="184"/>
    </row>
    <row r="10" spans="1:10" ht="26.65" customHeight="1" x14ac:dyDescent="0.25">
      <c r="A10" s="152"/>
      <c r="B10" s="189"/>
      <c r="C10" s="155"/>
      <c r="D10" s="11" t="s">
        <v>90</v>
      </c>
      <c r="E10" s="182" t="e">
        <f>I9*SQRT(5/_xlfn.CHISQ.INV(0.975,5))</f>
        <v>#VALUE!</v>
      </c>
      <c r="F10" s="144"/>
      <c r="G10" s="61" t="s">
        <v>91</v>
      </c>
      <c r="H10" s="182" t="e">
        <f>I9*SQRT(5/_xlfn.CHISQ.INV(0.025,5))</f>
        <v>#VALUE!</v>
      </c>
      <c r="I10" s="144"/>
      <c r="J10" s="152"/>
    </row>
    <row r="11" spans="1:10" ht="13.9" customHeight="1" x14ac:dyDescent="0.25">
      <c r="A11" s="152"/>
      <c r="B11" s="189"/>
      <c r="C11" s="155"/>
      <c r="D11" s="183" t="s">
        <v>92</v>
      </c>
      <c r="E11" s="144"/>
      <c r="F11" s="63" t="e">
        <f>ROUND(AVERAGE(I3:I8)-TINV(0.05,6-1)*STDEV(I3:I8)/SQRT(6),1)</f>
        <v>#DIV/0!</v>
      </c>
      <c r="G11" s="183" t="s">
        <v>93</v>
      </c>
      <c r="H11" s="144"/>
      <c r="I11" s="63" t="e">
        <f>ROUND(AVERAGE(I3:I8)+TINV(0.05,6-1)*STDEV(I3:I8)/SQRT(6),1)</f>
        <v>#DIV/0!</v>
      </c>
      <c r="J11" s="152"/>
    </row>
    <row r="12" spans="1:10" ht="13.9" customHeight="1" x14ac:dyDescent="0.25">
      <c r="A12" s="152"/>
      <c r="B12" s="189"/>
      <c r="C12" s="155"/>
      <c r="D12" s="184" t="s">
        <v>94</v>
      </c>
      <c r="E12" s="144"/>
      <c r="F12" s="64" t="e">
        <f>F11/25*100</f>
        <v>#DIV/0!</v>
      </c>
      <c r="G12" s="184" t="s">
        <v>95</v>
      </c>
      <c r="H12" s="144"/>
      <c r="I12" s="64" t="e">
        <f>I11/25*100</f>
        <v>#DIV/0!</v>
      </c>
      <c r="J12" s="152"/>
    </row>
    <row r="13" spans="1:10" ht="13.9" customHeight="1" x14ac:dyDescent="0.25">
      <c r="A13" s="152"/>
      <c r="B13" s="189"/>
      <c r="C13" s="155"/>
      <c r="D13" s="185" t="s">
        <v>37</v>
      </c>
      <c r="E13" s="144"/>
      <c r="F13" s="63" t="e">
        <f>AVERAGE(F3:F8)</f>
        <v>#DIV/0!</v>
      </c>
      <c r="G13" s="63" t="e">
        <f>AVERAGE(G3:G8)</f>
        <v>#DIV/0!</v>
      </c>
      <c r="H13" s="63" t="e">
        <f>AVERAGE(H3:H8)</f>
        <v>#DIV/0!</v>
      </c>
      <c r="I13" s="63" t="e">
        <f>AVERAGE(I3:I8)</f>
        <v>#DIV/0!</v>
      </c>
      <c r="J13" s="152"/>
    </row>
    <row r="14" spans="1:10" ht="13.9" customHeight="1" x14ac:dyDescent="0.25">
      <c r="A14" s="152"/>
      <c r="B14" s="189"/>
      <c r="C14" s="155"/>
      <c r="D14" s="186" t="s">
        <v>38</v>
      </c>
      <c r="E14" s="144"/>
      <c r="F14" s="63" t="e">
        <f>STDEV(F3:F8)</f>
        <v>#DIV/0!</v>
      </c>
      <c r="G14" s="63" t="e">
        <f>STDEV(G3:G8)</f>
        <v>#DIV/0!</v>
      </c>
      <c r="H14" s="63" t="e">
        <f>STDEV(H3:H8)</f>
        <v>#DIV/0!</v>
      </c>
      <c r="I14" s="63" t="e">
        <f>STDEV(I3:I8)</f>
        <v>#DIV/0!</v>
      </c>
      <c r="J14" s="152"/>
    </row>
    <row r="15" spans="1:10" ht="13.9" customHeight="1" x14ac:dyDescent="0.25">
      <c r="A15" s="152"/>
      <c r="B15" s="190"/>
      <c r="C15" s="173"/>
      <c r="D15" s="186" t="s">
        <v>39</v>
      </c>
      <c r="E15" s="144"/>
      <c r="F15" s="65" t="e">
        <f>F14/F13*100</f>
        <v>#DIV/0!</v>
      </c>
      <c r="G15" s="63" t="e">
        <f>G14/G13*100</f>
        <v>#DIV/0!</v>
      </c>
      <c r="H15" s="63" t="e">
        <f>H14/H13*100</f>
        <v>#DIV/0!</v>
      </c>
      <c r="I15" s="63" t="e">
        <f>I14/I13*100</f>
        <v>#DIV/0!</v>
      </c>
      <c r="J15" s="153"/>
    </row>
    <row r="16" spans="1:10" ht="23.25" customHeight="1" x14ac:dyDescent="0.25">
      <c r="A16" s="152"/>
      <c r="B16" s="181" t="s">
        <v>96</v>
      </c>
      <c r="C16" s="143"/>
      <c r="D16" s="143"/>
      <c r="E16" s="143"/>
      <c r="F16" s="143"/>
      <c r="G16" s="143"/>
      <c r="H16" s="143"/>
      <c r="I16" s="143"/>
      <c r="J16" s="144"/>
    </row>
    <row r="17" spans="1:10" ht="39.75" customHeight="1" x14ac:dyDescent="0.25">
      <c r="A17" s="152"/>
      <c r="B17" s="18" t="s">
        <v>85</v>
      </c>
      <c r="C17" s="18" t="s">
        <v>97</v>
      </c>
      <c r="D17" s="11" t="s">
        <v>65</v>
      </c>
      <c r="E17" s="52" t="s">
        <v>86</v>
      </c>
      <c r="F17" s="53" t="s">
        <v>27</v>
      </c>
      <c r="G17" s="54" t="s">
        <v>28</v>
      </c>
      <c r="H17" s="54" t="s">
        <v>87</v>
      </c>
      <c r="I17" s="54" t="s">
        <v>62</v>
      </c>
      <c r="J17" s="50" t="s">
        <v>88</v>
      </c>
    </row>
    <row r="18" spans="1:10" ht="13.9" customHeight="1" x14ac:dyDescent="0.25">
      <c r="A18" s="152"/>
      <c r="B18" s="55"/>
      <c r="C18" s="55"/>
      <c r="D18" s="11">
        <v>1</v>
      </c>
      <c r="E18" s="56">
        <f t="shared" ref="E18:E23" si="3">B18-C18</f>
        <v>0</v>
      </c>
      <c r="F18" s="57"/>
      <c r="G18" s="58"/>
      <c r="H18" s="59"/>
      <c r="I18" s="60" t="e">
        <f t="shared" ref="I18:I23" si="4">ROUND(H18*20/E18,1)</f>
        <v>#DIV/0!</v>
      </c>
      <c r="J18" s="50" t="e">
        <f t="shared" ref="J18:J23" si="5">I18/25*100</f>
        <v>#DIV/0!</v>
      </c>
    </row>
    <row r="19" spans="1:10" ht="13.9" customHeight="1" x14ac:dyDescent="0.25">
      <c r="A19" s="152"/>
      <c r="B19" s="55"/>
      <c r="C19" s="55"/>
      <c r="D19" s="11">
        <v>2</v>
      </c>
      <c r="E19" s="56">
        <f t="shared" si="3"/>
        <v>0</v>
      </c>
      <c r="F19" s="57"/>
      <c r="G19" s="58"/>
      <c r="H19" s="59"/>
      <c r="I19" s="60" t="e">
        <f t="shared" si="4"/>
        <v>#DIV/0!</v>
      </c>
      <c r="J19" s="50" t="e">
        <f t="shared" si="5"/>
        <v>#DIV/0!</v>
      </c>
    </row>
    <row r="20" spans="1:10" ht="13.9" customHeight="1" x14ac:dyDescent="0.25">
      <c r="A20" s="152"/>
      <c r="B20" s="55"/>
      <c r="C20" s="55"/>
      <c r="D20" s="11">
        <v>3</v>
      </c>
      <c r="E20" s="56">
        <f t="shared" si="3"/>
        <v>0</v>
      </c>
      <c r="F20" s="57"/>
      <c r="G20" s="58"/>
      <c r="H20" s="59"/>
      <c r="I20" s="60" t="e">
        <f t="shared" si="4"/>
        <v>#DIV/0!</v>
      </c>
      <c r="J20" s="50" t="e">
        <f t="shared" si="5"/>
        <v>#DIV/0!</v>
      </c>
    </row>
    <row r="21" spans="1:10" ht="13.9" customHeight="1" x14ac:dyDescent="0.25">
      <c r="A21" s="152"/>
      <c r="B21" s="55"/>
      <c r="C21" s="55"/>
      <c r="D21" s="11">
        <v>4</v>
      </c>
      <c r="E21" s="56">
        <f t="shared" si="3"/>
        <v>0</v>
      </c>
      <c r="F21" s="57"/>
      <c r="G21" s="58"/>
      <c r="H21" s="59"/>
      <c r="I21" s="60" t="e">
        <f t="shared" si="4"/>
        <v>#DIV/0!</v>
      </c>
      <c r="J21" s="50" t="e">
        <f t="shared" si="5"/>
        <v>#DIV/0!</v>
      </c>
    </row>
    <row r="22" spans="1:10" ht="13.9" customHeight="1" x14ac:dyDescent="0.25">
      <c r="A22" s="152"/>
      <c r="B22" s="55"/>
      <c r="C22" s="55"/>
      <c r="D22" s="11">
        <v>5</v>
      </c>
      <c r="E22" s="56">
        <f t="shared" si="3"/>
        <v>0</v>
      </c>
      <c r="F22" s="57"/>
      <c r="G22" s="58"/>
      <c r="H22" s="59"/>
      <c r="I22" s="60" t="e">
        <f t="shared" si="4"/>
        <v>#DIV/0!</v>
      </c>
      <c r="J22" s="50" t="e">
        <f t="shared" si="5"/>
        <v>#DIV/0!</v>
      </c>
    </row>
    <row r="23" spans="1:10" ht="13.9" customHeight="1" x14ac:dyDescent="0.25">
      <c r="A23" s="152"/>
      <c r="B23" s="55"/>
      <c r="C23" s="55"/>
      <c r="D23" s="11">
        <v>6</v>
      </c>
      <c r="E23" s="56">
        <f t="shared" si="3"/>
        <v>0</v>
      </c>
      <c r="F23" s="57"/>
      <c r="G23" s="58"/>
      <c r="H23" s="59"/>
      <c r="I23" s="60" t="e">
        <f t="shared" si="4"/>
        <v>#DIV/0!</v>
      </c>
      <c r="J23" s="50" t="e">
        <f t="shared" si="5"/>
        <v>#DIV/0!</v>
      </c>
    </row>
    <row r="24" spans="1:10" ht="27" customHeight="1" x14ac:dyDescent="0.25">
      <c r="A24" s="152"/>
      <c r="B24" s="184"/>
      <c r="C24" s="188"/>
      <c r="D24" s="11" t="s">
        <v>35</v>
      </c>
      <c r="E24" s="61" t="s">
        <v>89</v>
      </c>
      <c r="F24" s="62" t="str">
        <f>IFERROR(ROUNDUP(F30,1),"")</f>
        <v/>
      </c>
      <c r="G24" s="61"/>
      <c r="H24" s="61"/>
      <c r="I24" s="62" t="str">
        <f>IFERROR(ROUNDUP(I30,1),"")</f>
        <v/>
      </c>
      <c r="J24" s="184" t="s">
        <v>98</v>
      </c>
    </row>
    <row r="25" spans="1:10" ht="26.65" customHeight="1" x14ac:dyDescent="0.25">
      <c r="A25" s="152"/>
      <c r="B25" s="189"/>
      <c r="C25" s="155"/>
      <c r="D25" s="11" t="s">
        <v>90</v>
      </c>
      <c r="E25" s="182" t="e">
        <f>I24*SQRT(5/_xlfn.CHISQ.INV(0.975,5))</f>
        <v>#VALUE!</v>
      </c>
      <c r="F25" s="144"/>
      <c r="G25" s="61" t="s">
        <v>91</v>
      </c>
      <c r="H25" s="182" t="e">
        <f>I24*SQRT(5/_xlfn.CHISQ.INV(0.025,5))</f>
        <v>#VALUE!</v>
      </c>
      <c r="I25" s="144"/>
      <c r="J25" s="152"/>
    </row>
    <row r="26" spans="1:10" ht="13.9" customHeight="1" x14ac:dyDescent="0.25">
      <c r="A26" s="152"/>
      <c r="B26" s="189"/>
      <c r="C26" s="155"/>
      <c r="D26" s="183" t="s">
        <v>92</v>
      </c>
      <c r="E26" s="144"/>
      <c r="F26" s="63" t="e">
        <f>ROUND(AVERAGE(I18:I23)-TINV(0.05,6-1)*STDEV(I18:I23)/SQRT(6),1)</f>
        <v>#DIV/0!</v>
      </c>
      <c r="G26" s="183" t="s">
        <v>93</v>
      </c>
      <c r="H26" s="144"/>
      <c r="I26" s="63" t="e">
        <f>ROUND(AVERAGE(I18:I23)+TINV(0.05,6-1)*STDEV(I18:I23)/SQRT(6),1)</f>
        <v>#DIV/0!</v>
      </c>
      <c r="J26" s="152"/>
    </row>
    <row r="27" spans="1:10" ht="13.9" customHeight="1" x14ac:dyDescent="0.25">
      <c r="A27" s="152"/>
      <c r="B27" s="189"/>
      <c r="C27" s="155"/>
      <c r="D27" s="184" t="s">
        <v>94</v>
      </c>
      <c r="E27" s="144"/>
      <c r="F27" s="64" t="e">
        <f>F26/25*100</f>
        <v>#DIV/0!</v>
      </c>
      <c r="G27" s="184" t="s">
        <v>95</v>
      </c>
      <c r="H27" s="144"/>
      <c r="I27" s="64" t="e">
        <f>I26/25*100</f>
        <v>#DIV/0!</v>
      </c>
      <c r="J27" s="153"/>
    </row>
    <row r="28" spans="1:10" ht="13.9" customHeight="1" x14ac:dyDescent="0.25">
      <c r="A28" s="152"/>
      <c r="B28" s="189"/>
      <c r="C28" s="155"/>
      <c r="D28" s="185" t="s">
        <v>37</v>
      </c>
      <c r="E28" s="144"/>
      <c r="F28" s="63" t="e">
        <f>AVERAGE(F18:F23)</f>
        <v>#DIV/0!</v>
      </c>
      <c r="G28" s="63" t="e">
        <f>AVERAGE(G18:G23)</f>
        <v>#DIV/0!</v>
      </c>
      <c r="H28" s="63" t="e">
        <f>AVERAGE(H18:H23)</f>
        <v>#DIV/0!</v>
      </c>
      <c r="I28" s="63" t="e">
        <f>AVERAGE(I18:I23)</f>
        <v>#DIV/0!</v>
      </c>
      <c r="J28" s="66" t="e">
        <f>AVERAGE(I3:I8,I18:I23)</f>
        <v>#DIV/0!</v>
      </c>
    </row>
    <row r="29" spans="1:10" ht="13.9" customHeight="1" x14ac:dyDescent="0.25">
      <c r="A29" s="152"/>
      <c r="B29" s="189"/>
      <c r="C29" s="155"/>
      <c r="D29" s="186" t="s">
        <v>38</v>
      </c>
      <c r="E29" s="144"/>
      <c r="F29" s="63" t="e">
        <f>STDEV(F18:F23)</f>
        <v>#DIV/0!</v>
      </c>
      <c r="G29" s="63" t="e">
        <f>STDEV(G18:G23)</f>
        <v>#DIV/0!</v>
      </c>
      <c r="H29" s="63" t="e">
        <f>STDEV(H18:H23)</f>
        <v>#DIV/0!</v>
      </c>
      <c r="I29" s="63" t="e">
        <f>STDEV(I18:I23)</f>
        <v>#DIV/0!</v>
      </c>
      <c r="J29" s="67" t="e">
        <f>STDEV(I3:I8,I18:I23)</f>
        <v>#DIV/0!</v>
      </c>
    </row>
    <row r="30" spans="1:10" ht="13.9" customHeight="1" x14ac:dyDescent="0.25">
      <c r="A30" s="152"/>
      <c r="B30" s="190"/>
      <c r="C30" s="173"/>
      <c r="D30" s="186" t="s">
        <v>39</v>
      </c>
      <c r="E30" s="144"/>
      <c r="F30" s="65" t="e">
        <f>F29/F28*100</f>
        <v>#DIV/0!</v>
      </c>
      <c r="G30" s="63" t="e">
        <f>G29/G28*100</f>
        <v>#DIV/0!</v>
      </c>
      <c r="H30" s="63" t="e">
        <f>H29/H28*100</f>
        <v>#DIV/0!</v>
      </c>
      <c r="I30" s="63" t="e">
        <f>I29/I28*100</f>
        <v>#DIV/0!</v>
      </c>
      <c r="J30" s="67" t="str">
        <f>IFERROR(ROUNDUP(J29/J28*100,1),"")</f>
        <v/>
      </c>
    </row>
    <row r="31" spans="1:10" ht="26.65" customHeight="1" x14ac:dyDescent="0.25">
      <c r="A31" s="152"/>
      <c r="B31" s="186" t="s">
        <v>99</v>
      </c>
      <c r="C31" s="188"/>
      <c r="D31" s="191" t="s">
        <v>90</v>
      </c>
      <c r="E31" s="144"/>
      <c r="F31" s="68" t="e">
        <f>J30*SQRT(11/_xlfn.CHISQ.INV(0.975,11))</f>
        <v>#VALUE!</v>
      </c>
      <c r="G31" s="68" t="s">
        <v>91</v>
      </c>
      <c r="H31" s="191" t="e">
        <f>J30*SQRT(11/_xlfn.CHISQ.INV(0.025,11))</f>
        <v>#VALUE!</v>
      </c>
      <c r="I31" s="144"/>
      <c r="J31" s="19"/>
    </row>
    <row r="32" spans="1:10" ht="13.9" customHeight="1" x14ac:dyDescent="0.25">
      <c r="A32" s="152"/>
      <c r="B32" s="189"/>
      <c r="C32" s="155"/>
      <c r="D32" s="192" t="s">
        <v>92</v>
      </c>
      <c r="E32" s="144"/>
      <c r="F32" s="63" t="e">
        <f>AVERAGE(I3:I8,I18:I23)-TINV(0.05,12-1)*STDEV(I3:I8,I18:I23)/SQRT(12)</f>
        <v>#DIV/0!</v>
      </c>
      <c r="G32" s="192" t="s">
        <v>93</v>
      </c>
      <c r="H32" s="144"/>
      <c r="I32" s="69" t="e">
        <f>AVERAGE(I3:I8,I18:I23)+TINV(0.05,12-1)*STDEV(I3:I8,I18:I23)/SQRT(12)</f>
        <v>#DIV/0!</v>
      </c>
      <c r="J32" s="19"/>
    </row>
    <row r="33" spans="1:10" ht="13.9" customHeight="1" x14ac:dyDescent="0.25">
      <c r="A33" s="153"/>
      <c r="B33" s="190"/>
      <c r="C33" s="173"/>
      <c r="D33" s="185" t="s">
        <v>94</v>
      </c>
      <c r="E33" s="144"/>
      <c r="F33" s="65" t="e">
        <f>F32/25*100</f>
        <v>#DIV/0!</v>
      </c>
      <c r="G33" s="185" t="s">
        <v>95</v>
      </c>
      <c r="H33" s="144"/>
      <c r="I33" s="65" t="e">
        <f>I32/25*100</f>
        <v>#DIV/0!</v>
      </c>
      <c r="J33" s="19"/>
    </row>
  </sheetData>
  <mergeCells count="32">
    <mergeCell ref="A2:A33"/>
    <mergeCell ref="J9:J15"/>
    <mergeCell ref="J24:J27"/>
    <mergeCell ref="B9:C15"/>
    <mergeCell ref="B24:C30"/>
    <mergeCell ref="B31:C33"/>
    <mergeCell ref="D31:E31"/>
    <mergeCell ref="H31:I31"/>
    <mergeCell ref="D32:E32"/>
    <mergeCell ref="G32:H32"/>
    <mergeCell ref="D33:E33"/>
    <mergeCell ref="G33:H33"/>
    <mergeCell ref="D27:E27"/>
    <mergeCell ref="G27:H27"/>
    <mergeCell ref="D28:E28"/>
    <mergeCell ref="D29:E29"/>
    <mergeCell ref="D30:E30"/>
    <mergeCell ref="B16:J16"/>
    <mergeCell ref="E25:F25"/>
    <mergeCell ref="H25:I25"/>
    <mergeCell ref="D26:E26"/>
    <mergeCell ref="G26:H26"/>
    <mergeCell ref="D12:E12"/>
    <mergeCell ref="G12:H12"/>
    <mergeCell ref="D13:E13"/>
    <mergeCell ref="D14:E14"/>
    <mergeCell ref="D15:E15"/>
    <mergeCell ref="B1:J1"/>
    <mergeCell ref="E10:F10"/>
    <mergeCell ref="H10:I10"/>
    <mergeCell ref="D11:E11"/>
    <mergeCell ref="G11:H11"/>
  </mergeCells>
  <phoneticPr fontId="48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L28"/>
  <sheetViews>
    <sheetView topLeftCell="A6" workbookViewId="0">
      <selection activeCell="B16" sqref="B16:C24"/>
    </sheetView>
  </sheetViews>
  <sheetFormatPr defaultColWidth="9" defaultRowHeight="14" x14ac:dyDescent="0.25"/>
  <cols>
    <col min="1" max="1" width="9.6328125" style="1" customWidth="1"/>
    <col min="2" max="2" width="12.26953125" style="1" customWidth="1"/>
    <col min="3" max="3" width="11.36328125" style="1" customWidth="1"/>
    <col min="4" max="4" width="18.7265625" style="1" customWidth="1"/>
    <col min="5" max="5" width="20.36328125" style="1" customWidth="1"/>
    <col min="6" max="6" width="14.6328125" style="1" customWidth="1"/>
    <col min="7" max="7" width="16.453125" style="1" customWidth="1"/>
    <col min="8" max="8" width="16.6328125" style="1" customWidth="1"/>
    <col min="9" max="10" width="16.453125" style="1" customWidth="1"/>
    <col min="11" max="11" width="12.08984375" style="1" customWidth="1"/>
    <col min="12" max="12" width="9" style="1" customWidth="1"/>
  </cols>
  <sheetData>
    <row r="1" spans="1:12" ht="25.15" customHeight="1" x14ac:dyDescent="0.25">
      <c r="A1" s="193" t="s">
        <v>100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4"/>
    </row>
    <row r="2" spans="1:12" ht="13.5" customHeight="1" x14ac:dyDescent="0.25">
      <c r="A2" s="192" t="s">
        <v>25</v>
      </c>
      <c r="B2" s="188"/>
      <c r="C2" s="198" t="s">
        <v>85</v>
      </c>
      <c r="D2" s="198" t="s">
        <v>97</v>
      </c>
      <c r="E2" s="186" t="s">
        <v>65</v>
      </c>
      <c r="F2" s="20" t="s">
        <v>101</v>
      </c>
      <c r="G2" s="192" t="s">
        <v>28</v>
      </c>
      <c r="H2" s="192" t="s">
        <v>87</v>
      </c>
      <c r="I2" s="199" t="s">
        <v>102</v>
      </c>
      <c r="J2" s="192" t="s">
        <v>103</v>
      </c>
      <c r="K2" s="200"/>
      <c r="L2" s="188"/>
    </row>
    <row r="3" spans="1:12" ht="13.9" customHeight="1" x14ac:dyDescent="0.25">
      <c r="A3" s="190"/>
      <c r="B3" s="173"/>
      <c r="C3" s="153"/>
      <c r="D3" s="153"/>
      <c r="E3" s="153"/>
      <c r="F3" s="20" t="s">
        <v>104</v>
      </c>
      <c r="G3" s="153"/>
      <c r="H3" s="153"/>
      <c r="I3" s="153"/>
      <c r="J3" s="190"/>
      <c r="K3" s="201"/>
      <c r="L3" s="173"/>
    </row>
    <row r="4" spans="1:12" ht="13.9" customHeight="1" x14ac:dyDescent="0.25">
      <c r="A4" s="202" t="s">
        <v>10</v>
      </c>
      <c r="B4" s="188"/>
      <c r="C4" s="21"/>
      <c r="D4" s="21"/>
      <c r="E4" s="19">
        <v>1</v>
      </c>
      <c r="F4" s="22">
        <f>C4-D4</f>
        <v>0</v>
      </c>
      <c r="G4" s="23"/>
      <c r="H4" s="24"/>
      <c r="I4" s="25" t="e">
        <f>ROUND(H4*20/F4,1)</f>
        <v>#DIV/0!</v>
      </c>
      <c r="J4" s="203" t="e">
        <f t="shared" ref="J4" si="0">SUM(I4:I6)/3</f>
        <v>#DIV/0!</v>
      </c>
      <c r="K4" s="200"/>
      <c r="L4" s="188"/>
    </row>
    <row r="5" spans="1:12" ht="13.9" customHeight="1" x14ac:dyDescent="0.25">
      <c r="A5" s="189"/>
      <c r="B5" s="155"/>
      <c r="C5" s="21"/>
      <c r="D5" s="21"/>
      <c r="E5" s="19">
        <v>2</v>
      </c>
      <c r="F5" s="22">
        <f>C5-D5</f>
        <v>0</v>
      </c>
      <c r="G5" s="23"/>
      <c r="H5" s="24"/>
      <c r="I5" s="25" t="e">
        <f>ROUND(H5*20/F5,1)</f>
        <v>#DIV/0!</v>
      </c>
      <c r="J5" s="189"/>
      <c r="K5" s="138"/>
      <c r="L5" s="155"/>
    </row>
    <row r="6" spans="1:12" ht="13.9" customHeight="1" x14ac:dyDescent="0.25">
      <c r="A6" s="190"/>
      <c r="B6" s="173"/>
      <c r="C6" s="21"/>
      <c r="D6" s="21"/>
      <c r="E6" s="19">
        <v>3</v>
      </c>
      <c r="F6" s="22">
        <f>C6-D6</f>
        <v>0</v>
      </c>
      <c r="G6" s="23"/>
      <c r="H6" s="24"/>
      <c r="I6" s="25" t="e">
        <f>ROUND(H6*20/F6,1)</f>
        <v>#DIV/0!</v>
      </c>
      <c r="J6" s="190"/>
      <c r="K6" s="201"/>
      <c r="L6" s="173"/>
    </row>
    <row r="7" spans="1:12" ht="13.5" customHeight="1" x14ac:dyDescent="0.25">
      <c r="A7" s="193" t="s">
        <v>105</v>
      </c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188"/>
    </row>
    <row r="8" spans="1:12" ht="13.5" customHeight="1" x14ac:dyDescent="0.25">
      <c r="A8" s="190"/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173"/>
    </row>
    <row r="9" spans="1:12" ht="25" customHeight="1" x14ac:dyDescent="0.25">
      <c r="A9" s="26">
        <v>46162</v>
      </c>
      <c r="B9" s="17"/>
      <c r="C9" s="17"/>
      <c r="D9" s="17"/>
      <c r="E9" s="27"/>
      <c r="F9" s="28" t="s">
        <v>106</v>
      </c>
      <c r="G9" s="28" t="s">
        <v>107</v>
      </c>
      <c r="H9" s="28" t="s">
        <v>108</v>
      </c>
      <c r="I9" s="28" t="s">
        <v>109</v>
      </c>
      <c r="J9" s="28" t="s">
        <v>110</v>
      </c>
      <c r="K9" s="194" t="s">
        <v>111</v>
      </c>
      <c r="L9" s="144"/>
    </row>
    <row r="10" spans="1:12" ht="25" customHeight="1" x14ac:dyDescent="0.25">
      <c r="A10" s="26"/>
      <c r="B10" s="29"/>
      <c r="C10" s="30"/>
      <c r="D10" s="29"/>
      <c r="E10" s="31"/>
      <c r="F10" s="32"/>
      <c r="G10" s="32"/>
      <c r="H10" s="33"/>
      <c r="I10" s="32"/>
      <c r="J10" s="32"/>
      <c r="K10" s="195"/>
      <c r="L10" s="144"/>
    </row>
    <row r="11" spans="1:12" ht="25" customHeight="1" x14ac:dyDescent="0.25">
      <c r="A11" s="34" t="s">
        <v>40</v>
      </c>
      <c r="B11" s="35" t="s">
        <v>41</v>
      </c>
      <c r="C11" s="36" t="s">
        <v>42</v>
      </c>
      <c r="D11" s="35" t="s">
        <v>43</v>
      </c>
      <c r="E11" s="35" t="s">
        <v>44</v>
      </c>
      <c r="F11" s="31" t="s">
        <v>45</v>
      </c>
      <c r="G11" s="31" t="s">
        <v>46</v>
      </c>
      <c r="H11" s="29" t="s">
        <v>47</v>
      </c>
      <c r="I11" s="31" t="s">
        <v>48</v>
      </c>
      <c r="J11" s="31" t="s">
        <v>49</v>
      </c>
      <c r="K11" s="196" t="s">
        <v>50</v>
      </c>
      <c r="L11" s="144"/>
    </row>
    <row r="12" spans="1:12" ht="20.149999999999999" customHeight="1" x14ac:dyDescent="0.25">
      <c r="A12" s="37" t="s">
        <v>10</v>
      </c>
      <c r="B12" s="38"/>
      <c r="C12" s="39"/>
      <c r="D12" s="40"/>
      <c r="E12" s="40"/>
      <c r="F12" s="38"/>
      <c r="G12" s="38"/>
      <c r="H12" s="38"/>
      <c r="I12" s="38"/>
      <c r="J12" s="38"/>
      <c r="K12" s="197"/>
      <c r="L12" s="144"/>
    </row>
    <row r="13" spans="1:12" ht="25.15" customHeight="1" x14ac:dyDescent="0.25">
      <c r="A13" s="204" t="s">
        <v>112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4"/>
    </row>
    <row r="14" spans="1:12" ht="13.5" customHeight="1" x14ac:dyDescent="0.25">
      <c r="A14" s="209" t="s">
        <v>10</v>
      </c>
      <c r="B14" s="198" t="s">
        <v>85</v>
      </c>
      <c r="C14" s="198" t="s">
        <v>97</v>
      </c>
      <c r="D14" s="41" t="s">
        <v>113</v>
      </c>
      <c r="E14" s="207" t="s">
        <v>65</v>
      </c>
      <c r="F14" s="211" t="s">
        <v>114</v>
      </c>
      <c r="G14" s="211" t="s">
        <v>115</v>
      </c>
      <c r="H14" s="44" t="s">
        <v>116</v>
      </c>
      <c r="I14" s="43" t="s">
        <v>117</v>
      </c>
      <c r="J14" s="211" t="s">
        <v>118</v>
      </c>
      <c r="K14" s="43" t="s">
        <v>119</v>
      </c>
      <c r="L14" s="211" t="s">
        <v>120</v>
      </c>
    </row>
    <row r="15" spans="1:12" ht="13.9" customHeight="1" x14ac:dyDescent="0.25">
      <c r="A15" s="152"/>
      <c r="B15" s="153"/>
      <c r="C15" s="153"/>
      <c r="D15" s="41" t="s">
        <v>40</v>
      </c>
      <c r="E15" s="153"/>
      <c r="F15" s="153"/>
      <c r="G15" s="153"/>
      <c r="H15" s="44" t="s">
        <v>121</v>
      </c>
      <c r="I15" s="43" t="s">
        <v>121</v>
      </c>
      <c r="J15" s="153"/>
      <c r="K15" s="43" t="s">
        <v>122</v>
      </c>
      <c r="L15" s="153"/>
    </row>
    <row r="16" spans="1:12" ht="13.9" customHeight="1" x14ac:dyDescent="0.25">
      <c r="A16" s="152"/>
      <c r="B16" s="45"/>
      <c r="C16" s="45"/>
      <c r="D16" s="207" t="s">
        <v>123</v>
      </c>
      <c r="E16" s="42">
        <v>1</v>
      </c>
      <c r="F16" s="46">
        <f t="shared" ref="F16:F24" si="1">B16-C16</f>
        <v>0</v>
      </c>
      <c r="G16" s="47"/>
      <c r="H16" s="47"/>
      <c r="I16" s="48"/>
      <c r="J16" s="212"/>
      <c r="K16" s="49" t="e">
        <f>ROUND((H16-I16)/J16*100,1)</f>
        <v>#DIV/0!</v>
      </c>
      <c r="L16" s="216" t="e">
        <f>SUM(K16:K18)/3</f>
        <v>#DIV/0!</v>
      </c>
    </row>
    <row r="17" spans="1:12" ht="13.9" customHeight="1" x14ac:dyDescent="0.25">
      <c r="A17" s="152"/>
      <c r="B17" s="45"/>
      <c r="C17" s="45"/>
      <c r="D17" s="152"/>
      <c r="E17" s="42">
        <v>2</v>
      </c>
      <c r="F17" s="46">
        <f t="shared" si="1"/>
        <v>0</v>
      </c>
      <c r="G17" s="47"/>
      <c r="H17" s="47"/>
      <c r="I17" s="48"/>
      <c r="J17" s="152"/>
      <c r="K17" s="49" t="e">
        <f>ROUND((H17-I17)/J16*100,1)</f>
        <v>#DIV/0!</v>
      </c>
      <c r="L17" s="152"/>
    </row>
    <row r="18" spans="1:12" ht="14.65" customHeight="1" x14ac:dyDescent="0.25">
      <c r="A18" s="152"/>
      <c r="B18" s="45"/>
      <c r="C18" s="45"/>
      <c r="D18" s="153"/>
      <c r="E18" s="42">
        <v>3</v>
      </c>
      <c r="F18" s="46">
        <f t="shared" si="1"/>
        <v>0</v>
      </c>
      <c r="G18" s="47"/>
      <c r="H18" s="47"/>
      <c r="I18" s="48"/>
      <c r="J18" s="153"/>
      <c r="K18" s="49" t="e">
        <f>ROUND((H18-I18)/J16*100,1)</f>
        <v>#DIV/0!</v>
      </c>
      <c r="L18" s="153"/>
    </row>
    <row r="19" spans="1:12" ht="13.9" customHeight="1" x14ac:dyDescent="0.25">
      <c r="A19" s="152"/>
      <c r="B19" s="45"/>
      <c r="C19" s="45"/>
      <c r="D19" s="210" t="s">
        <v>124</v>
      </c>
      <c r="E19" s="42">
        <v>1</v>
      </c>
      <c r="F19" s="46">
        <f t="shared" si="1"/>
        <v>0</v>
      </c>
      <c r="G19" s="47"/>
      <c r="H19" s="47"/>
      <c r="I19" s="48"/>
      <c r="J19" s="213"/>
      <c r="K19" s="49" t="e">
        <f>ROUND((H19-I19)/J19*100,1)</f>
        <v>#DIV/0!</v>
      </c>
      <c r="L19" s="216" t="e">
        <f>SUM(K19:K21)/3</f>
        <v>#DIV/0!</v>
      </c>
    </row>
    <row r="20" spans="1:12" ht="13.9" customHeight="1" x14ac:dyDescent="0.25">
      <c r="A20" s="152"/>
      <c r="B20" s="45"/>
      <c r="C20" s="45"/>
      <c r="D20" s="152"/>
      <c r="E20" s="42">
        <v>2</v>
      </c>
      <c r="F20" s="46">
        <f t="shared" si="1"/>
        <v>0</v>
      </c>
      <c r="G20" s="47"/>
      <c r="H20" s="47"/>
      <c r="I20" s="48"/>
      <c r="J20" s="214"/>
      <c r="K20" s="49" t="e">
        <f>ROUND((H20-I20)/J19*100,1)</f>
        <v>#DIV/0!</v>
      </c>
      <c r="L20" s="152"/>
    </row>
    <row r="21" spans="1:12" ht="14.65" customHeight="1" x14ac:dyDescent="0.25">
      <c r="A21" s="152"/>
      <c r="B21" s="45"/>
      <c r="C21" s="45"/>
      <c r="D21" s="153"/>
      <c r="E21" s="42">
        <v>3</v>
      </c>
      <c r="F21" s="46">
        <f t="shared" si="1"/>
        <v>0</v>
      </c>
      <c r="G21" s="47"/>
      <c r="H21" s="47"/>
      <c r="I21" s="48"/>
      <c r="J21" s="215"/>
      <c r="K21" s="49" t="e">
        <f>ROUND((H21-I21)/J19*100,1)</f>
        <v>#DIV/0!</v>
      </c>
      <c r="L21" s="153"/>
    </row>
    <row r="22" spans="1:12" ht="13.9" customHeight="1" x14ac:dyDescent="0.25">
      <c r="A22" s="152"/>
      <c r="B22" s="45"/>
      <c r="C22" s="45"/>
      <c r="D22" s="210" t="s">
        <v>125</v>
      </c>
      <c r="E22" s="42">
        <v>1</v>
      </c>
      <c r="F22" s="46">
        <f t="shared" si="1"/>
        <v>0</v>
      </c>
      <c r="G22" s="47"/>
      <c r="H22" s="47"/>
      <c r="I22" s="48"/>
      <c r="J22" s="213"/>
      <c r="K22" s="49" t="e">
        <f>ROUND((H22-I22)/J22*100,1)</f>
        <v>#DIV/0!</v>
      </c>
      <c r="L22" s="216" t="e">
        <f>SUM(K22:K24)/3</f>
        <v>#DIV/0!</v>
      </c>
    </row>
    <row r="23" spans="1:12" ht="13.9" customHeight="1" x14ac:dyDescent="0.25">
      <c r="A23" s="152"/>
      <c r="B23" s="45"/>
      <c r="C23" s="45"/>
      <c r="D23" s="152"/>
      <c r="E23" s="42">
        <v>2</v>
      </c>
      <c r="F23" s="46">
        <f t="shared" si="1"/>
        <v>0</v>
      </c>
      <c r="G23" s="47"/>
      <c r="H23" s="47"/>
      <c r="I23" s="48"/>
      <c r="J23" s="214"/>
      <c r="K23" s="49" t="e">
        <f>ROUND((H23-I23)/J22*100,1)</f>
        <v>#DIV/0!</v>
      </c>
      <c r="L23" s="152"/>
    </row>
    <row r="24" spans="1:12" ht="14.65" customHeight="1" x14ac:dyDescent="0.25">
      <c r="A24" s="152"/>
      <c r="B24" s="45"/>
      <c r="C24" s="45"/>
      <c r="D24" s="153"/>
      <c r="E24" s="42">
        <v>3</v>
      </c>
      <c r="F24" s="46">
        <f t="shared" si="1"/>
        <v>0</v>
      </c>
      <c r="G24" s="47"/>
      <c r="H24" s="47"/>
      <c r="I24" s="48"/>
      <c r="J24" s="215"/>
      <c r="K24" s="49" t="e">
        <f>ROUND((H24-I24)/J22*100,1)</f>
        <v>#DIV/0!</v>
      </c>
      <c r="L24" s="153"/>
    </row>
    <row r="25" spans="1:12" ht="17.149999999999999" customHeight="1" x14ac:dyDescent="0.25">
      <c r="A25" s="152"/>
      <c r="B25" s="218"/>
      <c r="C25" s="188"/>
      <c r="D25" s="205" t="s">
        <v>126</v>
      </c>
      <c r="E25" s="143"/>
      <c r="F25" s="144"/>
      <c r="G25" s="206" t="e">
        <f t="shared" ref="G25" si="2">SUM(K16:K24)/9</f>
        <v>#DIV/0!</v>
      </c>
      <c r="H25" s="143"/>
      <c r="I25" s="143"/>
      <c r="J25" s="143"/>
      <c r="K25" s="143"/>
      <c r="L25" s="144"/>
    </row>
    <row r="26" spans="1:12" ht="17.149999999999999" customHeight="1" x14ac:dyDescent="0.25">
      <c r="A26" s="152"/>
      <c r="B26" s="189"/>
      <c r="C26" s="155"/>
      <c r="D26" s="207" t="s">
        <v>127</v>
      </c>
      <c r="E26" s="143"/>
      <c r="F26" s="144"/>
      <c r="G26" s="208" t="str">
        <f t="shared" ref="G26" si="3">IFERROR(STDEV(K16:K24)/AVERAGE(K16:K24)*100,"")</f>
        <v/>
      </c>
      <c r="H26" s="143"/>
      <c r="I26" s="143"/>
      <c r="J26" s="143"/>
      <c r="K26" s="143"/>
      <c r="L26" s="144"/>
    </row>
    <row r="27" spans="1:12" ht="17.149999999999999" customHeight="1" x14ac:dyDescent="0.25">
      <c r="A27" s="152"/>
      <c r="B27" s="189"/>
      <c r="C27" s="155"/>
      <c r="D27" s="184" t="s">
        <v>128</v>
      </c>
      <c r="E27" s="144"/>
      <c r="F27" s="217" t="e">
        <f>ROUND(AVERAGEA(K16:K24)-TINV(0.05,8)*STDEVA(K16:K24)/SQRT(9),1)</f>
        <v>#DIV/0!</v>
      </c>
      <c r="G27" s="143"/>
      <c r="H27" s="144"/>
      <c r="I27" s="184" t="s">
        <v>129</v>
      </c>
      <c r="J27" s="144"/>
      <c r="K27" s="217" t="e">
        <f>ROUND(AVERAGEA(K16:K24)+TINV(0.05,9-1)*STDEVA(K16:K24)/SQRT(9),1)</f>
        <v>#DIV/0!</v>
      </c>
      <c r="L27" s="144"/>
    </row>
    <row r="28" spans="1:12" ht="17.149999999999999" customHeight="1" x14ac:dyDescent="0.25">
      <c r="A28" s="153"/>
      <c r="B28" s="190"/>
      <c r="C28" s="173"/>
      <c r="D28" s="205" t="s">
        <v>36</v>
      </c>
      <c r="E28" s="143"/>
      <c r="F28" s="144"/>
      <c r="G28" s="219"/>
      <c r="H28" s="143"/>
      <c r="I28" s="143"/>
      <c r="J28" s="143"/>
      <c r="K28" s="143"/>
      <c r="L28" s="144"/>
    </row>
  </sheetData>
  <mergeCells count="45">
    <mergeCell ref="B25:C28"/>
    <mergeCell ref="J19:J21"/>
    <mergeCell ref="J22:J24"/>
    <mergeCell ref="L14:L15"/>
    <mergeCell ref="L16:L18"/>
    <mergeCell ref="L19:L21"/>
    <mergeCell ref="L22:L24"/>
    <mergeCell ref="D27:E27"/>
    <mergeCell ref="F27:H27"/>
    <mergeCell ref="I27:J27"/>
    <mergeCell ref="K27:L27"/>
    <mergeCell ref="D28:F28"/>
    <mergeCell ref="G28:L28"/>
    <mergeCell ref="A13:L13"/>
    <mergeCell ref="D25:F25"/>
    <mergeCell ref="G25:L25"/>
    <mergeCell ref="D26:F26"/>
    <mergeCell ref="G26:L26"/>
    <mergeCell ref="A14:A28"/>
    <mergeCell ref="B14:B15"/>
    <mergeCell ref="C14:C15"/>
    <mergeCell ref="D16:D18"/>
    <mergeCell ref="D19:D21"/>
    <mergeCell ref="D22:D24"/>
    <mergeCell ref="E14:E15"/>
    <mergeCell ref="F14:F15"/>
    <mergeCell ref="G14:G15"/>
    <mergeCell ref="J14:J15"/>
    <mergeCell ref="J16:J18"/>
    <mergeCell ref="A1:L1"/>
    <mergeCell ref="K9:L9"/>
    <mergeCell ref="K10:L10"/>
    <mergeCell ref="K11:L11"/>
    <mergeCell ref="K12:L12"/>
    <mergeCell ref="C2:C3"/>
    <mergeCell ref="D2:D3"/>
    <mergeCell ref="E2:E3"/>
    <mergeCell ref="G2:G3"/>
    <mergeCell ref="H2:H3"/>
    <mergeCell ref="I2:I3"/>
    <mergeCell ref="A2:B3"/>
    <mergeCell ref="J2:L3"/>
    <mergeCell ref="A4:B6"/>
    <mergeCell ref="J4:L6"/>
    <mergeCell ref="A7:L8"/>
  </mergeCells>
  <phoneticPr fontId="48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9"/>
  <sheetViews>
    <sheetView workbookViewId="0">
      <selection activeCell="E5" sqref="E5"/>
    </sheetView>
  </sheetViews>
  <sheetFormatPr defaultColWidth="9" defaultRowHeight="14" x14ac:dyDescent="0.25"/>
  <cols>
    <col min="1" max="7" width="13.08984375" style="1" customWidth="1"/>
  </cols>
  <sheetData>
    <row r="1" spans="1:7" ht="23.25" customHeight="1" x14ac:dyDescent="0.25">
      <c r="A1" s="10"/>
      <c r="B1" s="168" t="s">
        <v>130</v>
      </c>
      <c r="C1" s="143"/>
      <c r="D1" s="143"/>
      <c r="E1" s="143"/>
      <c r="F1" s="143"/>
      <c r="G1" s="144"/>
    </row>
    <row r="2" spans="1:7" ht="19" customHeight="1" x14ac:dyDescent="0.25">
      <c r="A2" s="221" t="s">
        <v>10</v>
      </c>
      <c r="B2" s="222"/>
      <c r="C2" s="223" t="s">
        <v>131</v>
      </c>
      <c r="D2" s="220" t="s">
        <v>52</v>
      </c>
      <c r="E2" s="144"/>
      <c r="F2" s="220" t="s">
        <v>54</v>
      </c>
      <c r="G2" s="144"/>
    </row>
    <row r="3" spans="1:7" ht="13.5" customHeight="1" x14ac:dyDescent="0.25">
      <c r="A3" s="152"/>
      <c r="B3" s="153"/>
      <c r="C3" s="153"/>
      <c r="D3" s="12" t="s">
        <v>132</v>
      </c>
      <c r="E3" s="13" t="s">
        <v>133</v>
      </c>
      <c r="F3" s="12" t="s">
        <v>132</v>
      </c>
      <c r="G3" s="13" t="s">
        <v>133</v>
      </c>
    </row>
    <row r="4" spans="1:7" hidden="1" x14ac:dyDescent="0.25">
      <c r="A4" s="152"/>
      <c r="B4" s="14"/>
      <c r="C4" s="15"/>
      <c r="D4" s="16"/>
      <c r="E4" s="13" t="s">
        <v>134</v>
      </c>
      <c r="F4" s="16"/>
      <c r="G4" s="13" t="s">
        <v>134</v>
      </c>
    </row>
    <row r="5" spans="1:7" hidden="1" x14ac:dyDescent="0.25">
      <c r="A5" s="152"/>
      <c r="B5" s="14"/>
      <c r="C5" s="15"/>
      <c r="D5" s="16"/>
      <c r="E5" s="13" t="e">
        <f>ROUND(D5/D4,2)</f>
        <v>#DIV/0!</v>
      </c>
      <c r="F5" s="16"/>
      <c r="G5" s="13" t="e">
        <f>ROUND(F5/F4,2)</f>
        <v>#DIV/0!</v>
      </c>
    </row>
    <row r="6" spans="1:7" hidden="1" x14ac:dyDescent="0.25">
      <c r="A6" s="152"/>
      <c r="B6" s="14"/>
      <c r="C6" s="15"/>
      <c r="D6" s="16"/>
      <c r="E6" s="13" t="e">
        <f>ROUND(D6/D4,2)</f>
        <v>#DIV/0!</v>
      </c>
      <c r="F6" s="16"/>
      <c r="G6" s="13" t="e">
        <f>ROUND(F6/F4,2)</f>
        <v>#DIV/0!</v>
      </c>
    </row>
    <row r="7" spans="1:7" hidden="1" x14ac:dyDescent="0.25">
      <c r="A7" s="152"/>
      <c r="B7" s="14"/>
      <c r="C7" s="15"/>
      <c r="D7" s="16"/>
      <c r="E7" s="13" t="e">
        <f>ROUND(D7/D4,2)</f>
        <v>#DIV/0!</v>
      </c>
      <c r="F7" s="16"/>
      <c r="G7" s="13" t="e">
        <f>ROUND(F7/F4,2)</f>
        <v>#DIV/0!</v>
      </c>
    </row>
    <row r="8" spans="1:7" hidden="1" x14ac:dyDescent="0.25">
      <c r="A8" s="152"/>
      <c r="B8" s="14"/>
      <c r="C8" s="15"/>
      <c r="D8" s="16"/>
      <c r="E8" s="13" t="e">
        <f>ROUND(D8/D4,2)</f>
        <v>#DIV/0!</v>
      </c>
      <c r="F8" s="16"/>
      <c r="G8" s="13" t="e">
        <f>ROUND(F8/F4,2)</f>
        <v>#DIV/0!</v>
      </c>
    </row>
    <row r="9" spans="1:7" hidden="1" x14ac:dyDescent="0.25">
      <c r="A9" s="153"/>
      <c r="B9" s="14"/>
      <c r="C9" s="15"/>
      <c r="D9" s="16"/>
      <c r="E9" s="13" t="e">
        <f>ROUND(D9/D4,2)</f>
        <v>#DIV/0!</v>
      </c>
      <c r="F9" s="16"/>
      <c r="G9" s="13" t="e">
        <f>ROUND(F9/F4,2)</f>
        <v>#DIV/0!</v>
      </c>
    </row>
  </sheetData>
  <mergeCells count="6">
    <mergeCell ref="B1:G1"/>
    <mergeCell ref="D2:E2"/>
    <mergeCell ref="F2:G2"/>
    <mergeCell ref="A2:A9"/>
    <mergeCell ref="B2:B3"/>
    <mergeCell ref="C2:C3"/>
  </mergeCells>
  <phoneticPr fontId="48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10"/>
  <sheetViews>
    <sheetView topLeftCell="A3" workbookViewId="0">
      <selection activeCell="C16" sqref="C16"/>
    </sheetView>
  </sheetViews>
  <sheetFormatPr defaultColWidth="9" defaultRowHeight="14" x14ac:dyDescent="0.25"/>
  <cols>
    <col min="1" max="2" width="11.36328125" style="1" customWidth="1"/>
    <col min="3" max="3" width="43.08984375" style="1" customWidth="1"/>
    <col min="4" max="4" width="15.6328125" style="1" customWidth="1"/>
    <col min="5" max="5" width="16.90625" style="1" customWidth="1"/>
    <col min="6" max="6" width="27" style="1" customWidth="1"/>
    <col min="7" max="7" width="21.08984375" style="1" customWidth="1"/>
  </cols>
  <sheetData>
    <row r="1" spans="1:7" ht="19" customHeight="1" x14ac:dyDescent="0.25">
      <c r="A1" s="2" t="s">
        <v>85</v>
      </c>
      <c r="B1" s="2" t="s">
        <v>97</v>
      </c>
      <c r="C1" s="3" t="s">
        <v>40</v>
      </c>
      <c r="D1" s="4" t="s">
        <v>86</v>
      </c>
      <c r="E1" s="5" t="s">
        <v>141</v>
      </c>
      <c r="F1" s="5" t="s">
        <v>142</v>
      </c>
      <c r="G1" s="5" t="s">
        <v>143</v>
      </c>
    </row>
    <row r="2" spans="1:7" ht="19" customHeight="1" x14ac:dyDescent="0.25">
      <c r="A2" s="6"/>
      <c r="B2" s="6"/>
      <c r="C2" s="7"/>
      <c r="D2" s="8">
        <f t="shared" ref="D2:D10" si="0">A2-B2</f>
        <v>0</v>
      </c>
      <c r="E2" s="7"/>
      <c r="F2" s="7"/>
      <c r="G2" s="9" t="e">
        <f t="shared" ref="G2:G10" si="1">ROUND(F2*20/D2,1)</f>
        <v>#DIV/0!</v>
      </c>
    </row>
    <row r="3" spans="1:7" ht="19" customHeight="1" x14ac:dyDescent="0.25">
      <c r="A3" s="6"/>
      <c r="B3" s="6"/>
      <c r="C3" s="7"/>
      <c r="D3" s="8">
        <f t="shared" si="0"/>
        <v>0</v>
      </c>
      <c r="E3" s="7"/>
      <c r="F3" s="7"/>
      <c r="G3" s="9" t="e">
        <f t="shared" si="1"/>
        <v>#DIV/0!</v>
      </c>
    </row>
    <row r="4" spans="1:7" ht="19" customHeight="1" x14ac:dyDescent="0.25">
      <c r="A4" s="6"/>
      <c r="B4" s="6"/>
      <c r="C4" s="7"/>
      <c r="D4" s="8">
        <f t="shared" si="0"/>
        <v>0</v>
      </c>
      <c r="E4" s="7"/>
      <c r="F4" s="7"/>
      <c r="G4" s="9" t="e">
        <f t="shared" si="1"/>
        <v>#DIV/0!</v>
      </c>
    </row>
    <row r="5" spans="1:7" ht="19" customHeight="1" x14ac:dyDescent="0.25">
      <c r="A5" s="6"/>
      <c r="B5" s="6"/>
      <c r="C5" s="7"/>
      <c r="D5" s="8">
        <f t="shared" si="0"/>
        <v>0</v>
      </c>
      <c r="E5" s="7"/>
      <c r="F5" s="7"/>
      <c r="G5" s="9" t="e">
        <f t="shared" si="1"/>
        <v>#DIV/0!</v>
      </c>
    </row>
    <row r="6" spans="1:7" ht="19" customHeight="1" x14ac:dyDescent="0.25">
      <c r="A6" s="6"/>
      <c r="B6" s="6"/>
      <c r="C6" s="7"/>
      <c r="D6" s="8">
        <f t="shared" si="0"/>
        <v>0</v>
      </c>
      <c r="E6" s="7"/>
      <c r="F6" s="7"/>
      <c r="G6" s="9" t="e">
        <f t="shared" si="1"/>
        <v>#DIV/0!</v>
      </c>
    </row>
    <row r="7" spans="1:7" ht="19" customHeight="1" x14ac:dyDescent="0.25">
      <c r="A7" s="6"/>
      <c r="B7" s="6"/>
      <c r="C7" s="7"/>
      <c r="D7" s="8">
        <f t="shared" si="0"/>
        <v>0</v>
      </c>
      <c r="E7" s="7"/>
      <c r="F7" s="7"/>
      <c r="G7" s="9" t="e">
        <f t="shared" si="1"/>
        <v>#DIV/0!</v>
      </c>
    </row>
    <row r="8" spans="1:7" ht="19" customHeight="1" x14ac:dyDescent="0.25">
      <c r="A8" s="6"/>
      <c r="B8" s="6"/>
      <c r="C8" s="7"/>
      <c r="D8" s="8">
        <f t="shared" si="0"/>
        <v>0</v>
      </c>
      <c r="E8" s="7"/>
      <c r="F8" s="7"/>
      <c r="G8" s="9" t="e">
        <f t="shared" si="1"/>
        <v>#DIV/0!</v>
      </c>
    </row>
    <row r="9" spans="1:7" ht="19" customHeight="1" x14ac:dyDescent="0.25">
      <c r="A9" s="6"/>
      <c r="B9" s="6"/>
      <c r="C9" s="7"/>
      <c r="D9" s="8">
        <f t="shared" si="0"/>
        <v>0</v>
      </c>
      <c r="E9" s="7"/>
      <c r="F9" s="7"/>
      <c r="G9" s="9" t="e">
        <f t="shared" si="1"/>
        <v>#DIV/0!</v>
      </c>
    </row>
    <row r="10" spans="1:7" ht="19" customHeight="1" x14ac:dyDescent="0.25">
      <c r="A10" s="6"/>
      <c r="B10" s="6"/>
      <c r="C10" s="7"/>
      <c r="D10" s="8">
        <f t="shared" si="0"/>
        <v>0</v>
      </c>
      <c r="E10" s="7"/>
      <c r="F10" s="7"/>
      <c r="G10" s="9" t="e">
        <f t="shared" si="1"/>
        <v>#DIV/0!</v>
      </c>
    </row>
  </sheetData>
  <phoneticPr fontId="48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L90"/>
  <sheetViews>
    <sheetView topLeftCell="A31" workbookViewId="0">
      <selection activeCell="B46" sqref="A46:XFD48"/>
    </sheetView>
  </sheetViews>
  <sheetFormatPr defaultColWidth="9" defaultRowHeight="14" x14ac:dyDescent="0.25"/>
  <cols>
    <col min="1" max="1" width="9" style="225"/>
    <col min="2" max="2" width="37.36328125" style="225" customWidth="1"/>
    <col min="3" max="3" width="9" style="225"/>
    <col min="4" max="4" width="9.08984375" style="225" bestFit="1" customWidth="1"/>
    <col min="5" max="5" width="9.08984375" style="226" bestFit="1" customWidth="1"/>
    <col min="6" max="6" width="14.7265625" style="225" customWidth="1"/>
    <col min="7" max="7" width="9.08984375" style="225" bestFit="1" customWidth="1"/>
    <col min="8" max="8" width="9.453125" style="225" bestFit="1" customWidth="1"/>
    <col min="9" max="9" width="9.08984375" style="225" bestFit="1" customWidth="1"/>
    <col min="10" max="10" width="16.6328125" style="225" customWidth="1"/>
    <col min="11" max="11" width="31.6328125" style="225" customWidth="1"/>
    <col min="12" max="12" width="9.08984375" style="225" bestFit="1" customWidth="1"/>
    <col min="13" max="16384" width="9" style="225"/>
  </cols>
  <sheetData>
    <row r="1" spans="1:12" x14ac:dyDescent="0.25">
      <c r="A1" s="225" t="s">
        <v>144</v>
      </c>
      <c r="B1" s="225" t="s">
        <v>145</v>
      </c>
      <c r="C1" s="225" t="s">
        <v>146</v>
      </c>
      <c r="D1" s="225" t="s">
        <v>147</v>
      </c>
      <c r="E1" s="226" t="s">
        <v>148</v>
      </c>
      <c r="F1" s="225" t="s">
        <v>149</v>
      </c>
      <c r="G1" s="225" t="s">
        <v>248</v>
      </c>
      <c r="H1" s="225" t="s">
        <v>249</v>
      </c>
      <c r="I1" s="225" t="s">
        <v>150</v>
      </c>
      <c r="J1" s="225" t="s">
        <v>250</v>
      </c>
      <c r="K1" s="225" t="s">
        <v>251</v>
      </c>
      <c r="L1" s="225" t="s">
        <v>259</v>
      </c>
    </row>
    <row r="2" spans="1:12" x14ac:dyDescent="0.25">
      <c r="A2" s="227" t="s">
        <v>151</v>
      </c>
      <c r="B2" s="228" t="s">
        <v>152</v>
      </c>
      <c r="C2" s="228" t="s">
        <v>153</v>
      </c>
      <c r="D2" s="228">
        <v>0</v>
      </c>
      <c r="E2" s="229" t="s">
        <v>154</v>
      </c>
      <c r="F2" s="228" t="s">
        <v>154</v>
      </c>
      <c r="G2" s="228" t="s">
        <v>154</v>
      </c>
      <c r="H2" s="228" t="s">
        <v>154</v>
      </c>
      <c r="I2" s="228" t="s">
        <v>154</v>
      </c>
      <c r="J2" s="230" t="s">
        <v>154</v>
      </c>
      <c r="K2" s="231">
        <v>46259.620972222219</v>
      </c>
      <c r="L2" s="225">
        <v>1</v>
      </c>
    </row>
    <row r="3" spans="1:12" x14ac:dyDescent="0.25">
      <c r="A3" s="227"/>
      <c r="B3" s="228" t="s">
        <v>155</v>
      </c>
      <c r="C3" s="228" t="s">
        <v>153</v>
      </c>
      <c r="D3" s="228">
        <v>0</v>
      </c>
      <c r="E3" s="229" t="s">
        <v>154</v>
      </c>
      <c r="F3" s="228" t="s">
        <v>154</v>
      </c>
      <c r="G3" s="228" t="s">
        <v>154</v>
      </c>
      <c r="H3" s="228" t="s">
        <v>154</v>
      </c>
      <c r="I3" s="228" t="s">
        <v>154</v>
      </c>
      <c r="J3" s="230" t="s">
        <v>154</v>
      </c>
      <c r="K3" s="231">
        <v>46259.634097222224</v>
      </c>
      <c r="L3" s="225">
        <v>1</v>
      </c>
    </row>
    <row r="4" spans="1:12" x14ac:dyDescent="0.25">
      <c r="A4" s="227"/>
      <c r="B4" s="228" t="s">
        <v>156</v>
      </c>
      <c r="C4" s="228" t="s">
        <v>153</v>
      </c>
      <c r="D4" s="232">
        <v>0</v>
      </c>
      <c r="E4" s="229" t="s">
        <v>154</v>
      </c>
      <c r="F4" s="228" t="s">
        <v>154</v>
      </c>
      <c r="G4" s="228" t="s">
        <v>154</v>
      </c>
      <c r="H4" s="228" t="s">
        <v>154</v>
      </c>
      <c r="I4" s="228" t="s">
        <v>154</v>
      </c>
      <c r="J4" s="230" t="s">
        <v>154</v>
      </c>
      <c r="K4" s="231">
        <v>46259.647175925929</v>
      </c>
      <c r="L4" s="225">
        <v>1</v>
      </c>
    </row>
    <row r="5" spans="1:12" x14ac:dyDescent="0.25">
      <c r="A5" s="227"/>
      <c r="B5" s="228" t="s">
        <v>157</v>
      </c>
      <c r="C5" s="228" t="s">
        <v>153</v>
      </c>
      <c r="D5" s="232">
        <v>0</v>
      </c>
      <c r="E5" s="229" t="s">
        <v>154</v>
      </c>
      <c r="F5" s="228" t="s">
        <v>154</v>
      </c>
      <c r="G5" s="228" t="s">
        <v>154</v>
      </c>
      <c r="H5" s="228" t="s">
        <v>154</v>
      </c>
      <c r="I5" s="228" t="s">
        <v>154</v>
      </c>
      <c r="J5" s="230" t="s">
        <v>154</v>
      </c>
      <c r="K5" s="231">
        <v>46259.660162037035</v>
      </c>
      <c r="L5" s="225">
        <v>1</v>
      </c>
    </row>
    <row r="6" spans="1:12" x14ac:dyDescent="0.25">
      <c r="A6" s="227"/>
      <c r="B6" s="228" t="s">
        <v>158</v>
      </c>
      <c r="C6" s="228" t="s">
        <v>153</v>
      </c>
      <c r="D6" s="232">
        <v>0</v>
      </c>
      <c r="E6" s="229" t="s">
        <v>154</v>
      </c>
      <c r="F6" s="228" t="s">
        <v>154</v>
      </c>
      <c r="G6" s="228" t="s">
        <v>154</v>
      </c>
      <c r="H6" s="228" t="s">
        <v>154</v>
      </c>
      <c r="I6" s="228" t="s">
        <v>154</v>
      </c>
      <c r="J6" s="230" t="s">
        <v>154</v>
      </c>
      <c r="K6" s="231">
        <v>46259.673136574071</v>
      </c>
      <c r="L6" s="225">
        <v>1</v>
      </c>
    </row>
    <row r="7" spans="1:12" x14ac:dyDescent="0.25">
      <c r="A7" s="227"/>
      <c r="B7" s="228" t="s">
        <v>159</v>
      </c>
      <c r="C7" s="228" t="s">
        <v>153</v>
      </c>
      <c r="D7" s="232">
        <v>0</v>
      </c>
      <c r="E7" s="229">
        <v>5.3579999999999997</v>
      </c>
      <c r="F7" s="232">
        <v>26285</v>
      </c>
      <c r="G7" s="228">
        <v>0.7</v>
      </c>
      <c r="H7" s="228">
        <v>59.27</v>
      </c>
      <c r="I7" s="228" t="s">
        <v>154</v>
      </c>
      <c r="J7" s="230" t="s">
        <v>154</v>
      </c>
      <c r="K7" s="231">
        <v>46259.686793981484</v>
      </c>
      <c r="L7" s="225">
        <v>1</v>
      </c>
    </row>
    <row r="8" spans="1:12" s="128" customFormat="1" x14ac:dyDescent="0.25">
      <c r="A8" s="227"/>
      <c r="B8" s="129" t="s">
        <v>160</v>
      </c>
      <c r="C8" s="129" t="s">
        <v>153</v>
      </c>
      <c r="D8" s="133">
        <v>0</v>
      </c>
      <c r="E8" s="130">
        <v>5.3579999999999997</v>
      </c>
      <c r="F8" s="133">
        <v>1248793</v>
      </c>
      <c r="G8" s="129">
        <v>38.159999999999997</v>
      </c>
      <c r="H8" s="129">
        <v>760.78</v>
      </c>
      <c r="I8" s="129" t="s">
        <v>154</v>
      </c>
      <c r="J8" s="131" t="s">
        <v>154</v>
      </c>
      <c r="K8" s="132">
        <v>46259.699884259258</v>
      </c>
      <c r="L8" s="128">
        <v>1</v>
      </c>
    </row>
    <row r="9" spans="1:12" s="128" customFormat="1" x14ac:dyDescent="0.25">
      <c r="A9" s="227"/>
      <c r="B9" s="129" t="s">
        <v>161</v>
      </c>
      <c r="C9" s="129" t="s">
        <v>153</v>
      </c>
      <c r="D9" s="133">
        <v>0</v>
      </c>
      <c r="E9" s="130">
        <v>5.3550000000000004</v>
      </c>
      <c r="F9" s="133">
        <v>1241227</v>
      </c>
      <c r="G9" s="129">
        <v>37.93</v>
      </c>
      <c r="H9" s="134">
        <v>1138.78</v>
      </c>
      <c r="I9" s="129" t="s">
        <v>154</v>
      </c>
      <c r="J9" s="131" t="s">
        <v>154</v>
      </c>
      <c r="K9" s="132">
        <v>46259.71297453704</v>
      </c>
      <c r="L9" s="128">
        <v>1</v>
      </c>
    </row>
    <row r="10" spans="1:12" s="128" customFormat="1" x14ac:dyDescent="0.25">
      <c r="A10" s="227"/>
      <c r="B10" s="129" t="s">
        <v>162</v>
      </c>
      <c r="C10" s="129" t="s">
        <v>153</v>
      </c>
      <c r="D10" s="133">
        <v>0</v>
      </c>
      <c r="E10" s="130">
        <v>5.351</v>
      </c>
      <c r="F10" s="133">
        <v>1244596</v>
      </c>
      <c r="G10" s="129">
        <v>38.03</v>
      </c>
      <c r="H10" s="129">
        <v>873.63</v>
      </c>
      <c r="I10" s="129" t="s">
        <v>154</v>
      </c>
      <c r="J10" s="131" t="s">
        <v>154</v>
      </c>
      <c r="K10" s="132">
        <v>46259.725960648146</v>
      </c>
      <c r="L10" s="128">
        <v>1</v>
      </c>
    </row>
    <row r="11" spans="1:12" s="128" customFormat="1" x14ac:dyDescent="0.25">
      <c r="A11" s="227"/>
      <c r="B11" s="129" t="s">
        <v>163</v>
      </c>
      <c r="C11" s="129" t="s">
        <v>153</v>
      </c>
      <c r="D11" s="133">
        <v>0</v>
      </c>
      <c r="E11" s="130">
        <v>5.35</v>
      </c>
      <c r="F11" s="133">
        <v>1245129</v>
      </c>
      <c r="G11" s="129">
        <v>38.049999999999997</v>
      </c>
      <c r="H11" s="129">
        <v>778.13</v>
      </c>
      <c r="I11" s="129" t="s">
        <v>154</v>
      </c>
      <c r="J11" s="131" t="s">
        <v>154</v>
      </c>
      <c r="K11" s="132">
        <v>46259.739074074074</v>
      </c>
      <c r="L11" s="128">
        <v>1</v>
      </c>
    </row>
    <row r="12" spans="1:12" s="128" customFormat="1" x14ac:dyDescent="0.25">
      <c r="A12" s="227"/>
      <c r="B12" s="129" t="s">
        <v>164</v>
      </c>
      <c r="C12" s="129" t="s">
        <v>153</v>
      </c>
      <c r="D12" s="133">
        <v>0</v>
      </c>
      <c r="E12" s="130">
        <v>5.3529999999999998</v>
      </c>
      <c r="F12" s="133">
        <v>1245640</v>
      </c>
      <c r="G12" s="129">
        <v>38.06</v>
      </c>
      <c r="H12" s="129">
        <v>712.89</v>
      </c>
      <c r="I12" s="129" t="s">
        <v>154</v>
      </c>
      <c r="J12" s="131" t="s">
        <v>154</v>
      </c>
      <c r="K12" s="132">
        <v>46259.752164351848</v>
      </c>
      <c r="L12" s="128">
        <v>1</v>
      </c>
    </row>
    <row r="13" spans="1:12" s="128" customFormat="1" x14ac:dyDescent="0.25">
      <c r="A13" s="227"/>
      <c r="B13" s="129" t="s">
        <v>165</v>
      </c>
      <c r="C13" s="129" t="s">
        <v>153</v>
      </c>
      <c r="D13" s="133">
        <v>0</v>
      </c>
      <c r="E13" s="130">
        <v>5.3529999999999998</v>
      </c>
      <c r="F13" s="133">
        <v>1243002</v>
      </c>
      <c r="G13" s="129">
        <v>37.979999999999997</v>
      </c>
      <c r="H13" s="129">
        <v>715.24</v>
      </c>
      <c r="I13" s="129" t="s">
        <v>154</v>
      </c>
      <c r="J13" s="131" t="s">
        <v>154</v>
      </c>
      <c r="K13" s="132">
        <v>46259.765138888892</v>
      </c>
      <c r="L13" s="128">
        <v>1</v>
      </c>
    </row>
    <row r="14" spans="1:12" x14ac:dyDescent="0.25">
      <c r="A14" s="227"/>
      <c r="B14" s="228" t="s">
        <v>166</v>
      </c>
      <c r="C14" s="228" t="s">
        <v>153</v>
      </c>
      <c r="D14" s="232">
        <v>0</v>
      </c>
      <c r="E14" s="229">
        <v>5.3550000000000004</v>
      </c>
      <c r="F14" s="232">
        <v>1237781</v>
      </c>
      <c r="G14" s="228">
        <v>37.82</v>
      </c>
      <c r="H14" s="228">
        <v>698.37</v>
      </c>
      <c r="I14" s="228" t="s">
        <v>154</v>
      </c>
      <c r="J14" s="230" t="s">
        <v>154</v>
      </c>
      <c r="K14" s="231">
        <v>46259.778101851851</v>
      </c>
      <c r="L14" s="225">
        <v>1</v>
      </c>
    </row>
    <row r="15" spans="1:12" x14ac:dyDescent="0.25">
      <c r="A15" s="227"/>
      <c r="B15" s="228" t="s">
        <v>167</v>
      </c>
      <c r="C15" s="228" t="s">
        <v>153</v>
      </c>
      <c r="D15" s="232">
        <v>0</v>
      </c>
      <c r="E15" s="229">
        <v>5.3570000000000002</v>
      </c>
      <c r="F15" s="232">
        <v>1239297</v>
      </c>
      <c r="G15" s="228">
        <v>37.869999999999997</v>
      </c>
      <c r="H15" s="228">
        <v>651.16999999999996</v>
      </c>
      <c r="I15" s="228" t="s">
        <v>154</v>
      </c>
      <c r="J15" s="230" t="s">
        <v>154</v>
      </c>
      <c r="K15" s="231">
        <v>46259.791076388887</v>
      </c>
      <c r="L15" s="225">
        <v>1</v>
      </c>
    </row>
    <row r="16" spans="1:12" s="128" customFormat="1" x14ac:dyDescent="0.25">
      <c r="A16" s="227"/>
      <c r="B16" s="129" t="s">
        <v>168</v>
      </c>
      <c r="C16" s="129" t="s">
        <v>153</v>
      </c>
      <c r="D16" s="133">
        <v>0</v>
      </c>
      <c r="E16" s="130" t="s">
        <v>154</v>
      </c>
      <c r="F16" s="129" t="s">
        <v>154</v>
      </c>
      <c r="G16" s="129" t="s">
        <v>154</v>
      </c>
      <c r="H16" s="129" t="s">
        <v>154</v>
      </c>
      <c r="I16" s="129" t="s">
        <v>154</v>
      </c>
      <c r="J16" s="131" t="s">
        <v>154</v>
      </c>
      <c r="K16" s="132">
        <v>46259.804097222222</v>
      </c>
      <c r="L16" s="128">
        <v>1</v>
      </c>
    </row>
    <row r="17" spans="1:12" s="128" customFormat="1" x14ac:dyDescent="0.25">
      <c r="A17" s="227"/>
      <c r="B17" s="129" t="s">
        <v>252</v>
      </c>
      <c r="C17" s="129" t="s">
        <v>153</v>
      </c>
      <c r="D17" s="133">
        <v>0</v>
      </c>
      <c r="E17" s="130">
        <v>5.359</v>
      </c>
      <c r="F17" s="133">
        <v>1233543</v>
      </c>
      <c r="G17" s="129">
        <v>37.69</v>
      </c>
      <c r="H17" s="129">
        <v>868.33</v>
      </c>
      <c r="I17" s="129" t="s">
        <v>154</v>
      </c>
      <c r="J17" s="131" t="s">
        <v>154</v>
      </c>
      <c r="K17" s="132">
        <v>46259.817071759258</v>
      </c>
      <c r="L17" s="128">
        <v>1</v>
      </c>
    </row>
    <row r="18" spans="1:12" s="128" customFormat="1" x14ac:dyDescent="0.25">
      <c r="A18" s="227"/>
      <c r="B18" s="129" t="s">
        <v>176</v>
      </c>
      <c r="C18" s="129" t="s">
        <v>153</v>
      </c>
      <c r="D18" s="133">
        <v>0</v>
      </c>
      <c r="E18" s="130" t="s">
        <v>154</v>
      </c>
      <c r="F18" s="129" t="s">
        <v>154</v>
      </c>
      <c r="G18" s="129" t="s">
        <v>154</v>
      </c>
      <c r="H18" s="129" t="s">
        <v>154</v>
      </c>
      <c r="I18" s="129" t="s">
        <v>154</v>
      </c>
      <c r="J18" s="131" t="s">
        <v>154</v>
      </c>
      <c r="K18" s="132">
        <v>46259.830057870371</v>
      </c>
      <c r="L18" s="128">
        <v>1</v>
      </c>
    </row>
    <row r="19" spans="1:12" s="128" customFormat="1" x14ac:dyDescent="0.25">
      <c r="A19" s="227"/>
      <c r="B19" s="129" t="s">
        <v>177</v>
      </c>
      <c r="C19" s="129" t="s">
        <v>153</v>
      </c>
      <c r="D19" s="133">
        <v>0</v>
      </c>
      <c r="E19" s="130">
        <v>5.3620000000000001</v>
      </c>
      <c r="F19" s="133">
        <v>1231696</v>
      </c>
      <c r="G19" s="134">
        <v>37.64</v>
      </c>
      <c r="H19" s="129">
        <v>847.36</v>
      </c>
      <c r="I19" s="129" t="s">
        <v>154</v>
      </c>
      <c r="J19" s="131" t="s">
        <v>154</v>
      </c>
      <c r="K19" s="132">
        <v>46259.84302083333</v>
      </c>
      <c r="L19" s="128">
        <v>1</v>
      </c>
    </row>
    <row r="20" spans="1:12" x14ac:dyDescent="0.25">
      <c r="A20" s="227"/>
      <c r="B20" s="228" t="s">
        <v>175</v>
      </c>
      <c r="C20" s="228" t="s">
        <v>153</v>
      </c>
      <c r="D20" s="232">
        <v>0</v>
      </c>
      <c r="E20" s="229" t="s">
        <v>154</v>
      </c>
      <c r="F20" s="228" t="s">
        <v>154</v>
      </c>
      <c r="G20" s="233" t="s">
        <v>154</v>
      </c>
      <c r="H20" s="228" t="s">
        <v>154</v>
      </c>
      <c r="I20" s="228" t="s">
        <v>154</v>
      </c>
      <c r="J20" s="230" t="s">
        <v>154</v>
      </c>
      <c r="K20" s="231">
        <v>46259.855995370373</v>
      </c>
      <c r="L20" s="225">
        <v>1</v>
      </c>
    </row>
    <row r="21" spans="1:12" s="128" customFormat="1" x14ac:dyDescent="0.25">
      <c r="A21" s="227"/>
      <c r="B21" s="129" t="s">
        <v>169</v>
      </c>
      <c r="C21" s="129" t="s">
        <v>170</v>
      </c>
      <c r="D21" s="133">
        <v>1</v>
      </c>
      <c r="E21" s="130">
        <v>5.35</v>
      </c>
      <c r="F21" s="133">
        <v>52252</v>
      </c>
      <c r="G21" s="129">
        <v>1.5</v>
      </c>
      <c r="H21" s="129">
        <v>133.66999999999999</v>
      </c>
      <c r="I21" s="129">
        <v>1.5</v>
      </c>
      <c r="J21" s="131">
        <v>99.9</v>
      </c>
      <c r="K21" s="132">
        <v>46259.868969907409</v>
      </c>
      <c r="L21" s="128">
        <v>1</v>
      </c>
    </row>
    <row r="22" spans="1:12" s="128" customFormat="1" x14ac:dyDescent="0.25">
      <c r="A22" s="227"/>
      <c r="B22" s="129" t="s">
        <v>171</v>
      </c>
      <c r="C22" s="129" t="s">
        <v>170</v>
      </c>
      <c r="D22" s="133">
        <v>2</v>
      </c>
      <c r="E22" s="130">
        <v>5.3540000000000001</v>
      </c>
      <c r="F22" s="133">
        <v>621728</v>
      </c>
      <c r="G22" s="129">
        <v>18.95</v>
      </c>
      <c r="H22" s="129">
        <v>445.28</v>
      </c>
      <c r="I22" s="129">
        <v>18.690000000000001</v>
      </c>
      <c r="J22" s="131">
        <v>101.4</v>
      </c>
      <c r="K22" s="132">
        <v>46259.881932870368</v>
      </c>
      <c r="L22" s="128">
        <v>1</v>
      </c>
    </row>
    <row r="23" spans="1:12" s="128" customFormat="1" x14ac:dyDescent="0.25">
      <c r="A23" s="227"/>
      <c r="B23" s="129" t="s">
        <v>172</v>
      </c>
      <c r="C23" s="129" t="s">
        <v>170</v>
      </c>
      <c r="D23" s="129">
        <v>3</v>
      </c>
      <c r="E23" s="130">
        <v>5.3550000000000004</v>
      </c>
      <c r="F23" s="133">
        <v>1236429</v>
      </c>
      <c r="G23" s="129">
        <v>37.78</v>
      </c>
      <c r="H23" s="129">
        <v>760.82</v>
      </c>
      <c r="I23" s="129">
        <v>37.380000000000003</v>
      </c>
      <c r="J23" s="131">
        <v>101.1</v>
      </c>
      <c r="K23" s="132">
        <v>46259.894895833335</v>
      </c>
      <c r="L23" s="128">
        <v>1</v>
      </c>
    </row>
    <row r="24" spans="1:12" s="128" customFormat="1" x14ac:dyDescent="0.25">
      <c r="A24" s="227"/>
      <c r="B24" s="129" t="s">
        <v>173</v>
      </c>
      <c r="C24" s="129" t="s">
        <v>170</v>
      </c>
      <c r="D24" s="133">
        <v>4</v>
      </c>
      <c r="E24" s="130">
        <v>5.3570000000000002</v>
      </c>
      <c r="F24" s="133">
        <v>1823466</v>
      </c>
      <c r="G24" s="129">
        <v>55.77</v>
      </c>
      <c r="H24" s="129">
        <v>865.08</v>
      </c>
      <c r="I24" s="129">
        <v>56.07</v>
      </c>
      <c r="J24" s="131">
        <v>99.5</v>
      </c>
      <c r="K24" s="132">
        <v>46259.907870370371</v>
      </c>
      <c r="L24" s="128">
        <v>1</v>
      </c>
    </row>
    <row r="25" spans="1:12" s="128" customFormat="1" x14ac:dyDescent="0.25">
      <c r="A25" s="227"/>
      <c r="B25" s="129" t="s">
        <v>174</v>
      </c>
      <c r="C25" s="129" t="s">
        <v>170</v>
      </c>
      <c r="D25" s="133">
        <v>5</v>
      </c>
      <c r="E25" s="130">
        <v>5.36</v>
      </c>
      <c r="F25" s="133">
        <v>2399221</v>
      </c>
      <c r="G25" s="129">
        <v>73.41</v>
      </c>
      <c r="H25" s="129">
        <v>889.11</v>
      </c>
      <c r="I25" s="129">
        <v>74.760000000000005</v>
      </c>
      <c r="J25" s="131">
        <v>98.2</v>
      </c>
      <c r="K25" s="132">
        <v>46259.920844907407</v>
      </c>
      <c r="L25" s="128">
        <v>1</v>
      </c>
    </row>
    <row r="26" spans="1:12" x14ac:dyDescent="0.25">
      <c r="A26" s="227"/>
      <c r="B26" s="228" t="s">
        <v>178</v>
      </c>
      <c r="C26" s="228" t="s">
        <v>153</v>
      </c>
      <c r="D26" s="232">
        <v>0</v>
      </c>
      <c r="E26" s="229" t="s">
        <v>154</v>
      </c>
      <c r="F26" s="228" t="s">
        <v>154</v>
      </c>
      <c r="G26" s="228" t="s">
        <v>154</v>
      </c>
      <c r="H26" s="228" t="s">
        <v>154</v>
      </c>
      <c r="I26" s="228" t="s">
        <v>154</v>
      </c>
      <c r="J26" s="230" t="s">
        <v>154</v>
      </c>
      <c r="K26" s="231">
        <v>46259.933807870373</v>
      </c>
      <c r="L26" s="225">
        <v>1</v>
      </c>
    </row>
    <row r="27" spans="1:12" x14ac:dyDescent="0.25">
      <c r="A27" s="227"/>
      <c r="B27" s="228" t="s">
        <v>179</v>
      </c>
      <c r="C27" s="228" t="s">
        <v>153</v>
      </c>
      <c r="D27" s="232">
        <v>0</v>
      </c>
      <c r="E27" s="229">
        <v>5.3559999999999999</v>
      </c>
      <c r="F27" s="232">
        <v>1237283</v>
      </c>
      <c r="G27" s="228">
        <v>37.81</v>
      </c>
      <c r="H27" s="228">
        <v>613.16</v>
      </c>
      <c r="I27" s="228" t="s">
        <v>154</v>
      </c>
      <c r="J27" s="230" t="s">
        <v>154</v>
      </c>
      <c r="K27" s="231">
        <v>46259.946782407409</v>
      </c>
      <c r="L27" s="225">
        <v>1</v>
      </c>
    </row>
    <row r="28" spans="1:12" x14ac:dyDescent="0.25">
      <c r="A28" s="227"/>
      <c r="B28" s="228" t="s">
        <v>180</v>
      </c>
      <c r="C28" s="228" t="s">
        <v>153</v>
      </c>
      <c r="D28" s="232">
        <v>0</v>
      </c>
      <c r="E28" s="229">
        <v>5.3559999999999999</v>
      </c>
      <c r="F28" s="232">
        <v>1242120</v>
      </c>
      <c r="G28" s="228">
        <v>37.96</v>
      </c>
      <c r="H28" s="228">
        <v>814.45</v>
      </c>
      <c r="I28" s="228" t="s">
        <v>154</v>
      </c>
      <c r="J28" s="230" t="s">
        <v>154</v>
      </c>
      <c r="K28" s="231">
        <v>46259.959756944445</v>
      </c>
      <c r="L28" s="225">
        <v>1</v>
      </c>
    </row>
    <row r="29" spans="1:12" x14ac:dyDescent="0.25">
      <c r="A29" s="227"/>
      <c r="B29" s="228" t="s">
        <v>181</v>
      </c>
      <c r="C29" s="228" t="s">
        <v>153</v>
      </c>
      <c r="D29" s="232">
        <v>0</v>
      </c>
      <c r="E29" s="229" t="s">
        <v>154</v>
      </c>
      <c r="F29" s="228" t="s">
        <v>154</v>
      </c>
      <c r="G29" s="228" t="s">
        <v>154</v>
      </c>
      <c r="H29" s="228" t="s">
        <v>154</v>
      </c>
      <c r="I29" s="228" t="s">
        <v>154</v>
      </c>
      <c r="J29" s="230" t="s">
        <v>154</v>
      </c>
      <c r="K29" s="231">
        <v>46259.972719907404</v>
      </c>
      <c r="L29" s="225">
        <v>1</v>
      </c>
    </row>
    <row r="30" spans="1:12" s="128" customFormat="1" x14ac:dyDescent="0.25">
      <c r="A30" s="227"/>
      <c r="B30" s="129" t="s">
        <v>194</v>
      </c>
      <c r="C30" s="129" t="s">
        <v>153</v>
      </c>
      <c r="D30" s="133">
        <v>0</v>
      </c>
      <c r="E30" s="130" t="s">
        <v>154</v>
      </c>
      <c r="F30" s="129" t="s">
        <v>154</v>
      </c>
      <c r="G30" s="129" t="s">
        <v>154</v>
      </c>
      <c r="H30" s="129" t="s">
        <v>154</v>
      </c>
      <c r="I30" s="129" t="s">
        <v>154</v>
      </c>
      <c r="J30" s="131" t="s">
        <v>154</v>
      </c>
      <c r="K30" s="132">
        <v>46259.985671296294</v>
      </c>
      <c r="L30" s="128">
        <v>1</v>
      </c>
    </row>
    <row r="31" spans="1:12" s="128" customFormat="1" x14ac:dyDescent="0.25">
      <c r="A31" s="227"/>
      <c r="B31" s="129" t="s">
        <v>195</v>
      </c>
      <c r="C31" s="129" t="s">
        <v>153</v>
      </c>
      <c r="D31" s="133">
        <v>0</v>
      </c>
      <c r="E31" s="130" t="s">
        <v>154</v>
      </c>
      <c r="F31" s="129" t="s">
        <v>154</v>
      </c>
      <c r="G31" s="129" t="s">
        <v>154</v>
      </c>
      <c r="H31" s="129" t="s">
        <v>154</v>
      </c>
      <c r="I31" s="129" t="s">
        <v>154</v>
      </c>
      <c r="J31" s="131" t="s">
        <v>154</v>
      </c>
      <c r="K31" s="132">
        <v>46259.99863425926</v>
      </c>
      <c r="L31" s="128">
        <v>1</v>
      </c>
    </row>
    <row r="32" spans="1:12" s="128" customFormat="1" x14ac:dyDescent="0.25">
      <c r="A32" s="227"/>
      <c r="B32" s="129" t="s">
        <v>196</v>
      </c>
      <c r="C32" s="129" t="s">
        <v>153</v>
      </c>
      <c r="D32" s="133">
        <v>0</v>
      </c>
      <c r="E32" s="130" t="s">
        <v>154</v>
      </c>
      <c r="F32" s="129" t="s">
        <v>154</v>
      </c>
      <c r="G32" s="129" t="s">
        <v>154</v>
      </c>
      <c r="H32" s="129" t="s">
        <v>154</v>
      </c>
      <c r="I32" s="129" t="s">
        <v>154</v>
      </c>
      <c r="J32" s="131" t="s">
        <v>154</v>
      </c>
      <c r="K32" s="132">
        <v>46260.011597222219</v>
      </c>
      <c r="L32" s="128">
        <v>1</v>
      </c>
    </row>
    <row r="33" spans="1:12" s="128" customFormat="1" x14ac:dyDescent="0.25">
      <c r="A33" s="227"/>
      <c r="B33" s="129" t="s">
        <v>197</v>
      </c>
      <c r="C33" s="129" t="s">
        <v>153</v>
      </c>
      <c r="D33" s="133">
        <v>0</v>
      </c>
      <c r="E33" s="130">
        <v>5.3570000000000002</v>
      </c>
      <c r="F33" s="133">
        <v>50162</v>
      </c>
      <c r="G33" s="129">
        <v>1.43</v>
      </c>
      <c r="H33" s="129">
        <v>73.31</v>
      </c>
      <c r="I33" s="129" t="s">
        <v>154</v>
      </c>
      <c r="J33" s="131" t="s">
        <v>154</v>
      </c>
      <c r="K33" s="132">
        <v>46260.024548611109</v>
      </c>
      <c r="L33" s="128">
        <v>1</v>
      </c>
    </row>
    <row r="34" spans="1:12" s="128" customFormat="1" x14ac:dyDescent="0.25">
      <c r="A34" s="227"/>
      <c r="B34" s="129" t="s">
        <v>198</v>
      </c>
      <c r="C34" s="129" t="s">
        <v>153</v>
      </c>
      <c r="D34" s="133">
        <v>0</v>
      </c>
      <c r="E34" s="130">
        <v>5.3550000000000004</v>
      </c>
      <c r="F34" s="133">
        <v>50495</v>
      </c>
      <c r="G34" s="129">
        <v>1.44</v>
      </c>
      <c r="H34" s="129">
        <v>99.98</v>
      </c>
      <c r="I34" s="129" t="s">
        <v>154</v>
      </c>
      <c r="J34" s="131" t="s">
        <v>154</v>
      </c>
      <c r="K34" s="132">
        <v>46260.037523148145</v>
      </c>
      <c r="L34" s="128">
        <v>1</v>
      </c>
    </row>
    <row r="35" spans="1:12" s="128" customFormat="1" x14ac:dyDescent="0.25">
      <c r="A35" s="227"/>
      <c r="B35" s="129" t="s">
        <v>199</v>
      </c>
      <c r="C35" s="129" t="s">
        <v>153</v>
      </c>
      <c r="D35" s="133">
        <v>0</v>
      </c>
      <c r="E35" s="130">
        <v>5.3529999999999998</v>
      </c>
      <c r="F35" s="133">
        <v>48512</v>
      </c>
      <c r="G35" s="129">
        <v>1.38</v>
      </c>
      <c r="H35" s="129">
        <v>143.05000000000001</v>
      </c>
      <c r="I35" s="129" t="s">
        <v>154</v>
      </c>
      <c r="J35" s="131" t="s">
        <v>154</v>
      </c>
      <c r="K35" s="132">
        <v>46260.050474537034</v>
      </c>
      <c r="L35" s="128">
        <v>1</v>
      </c>
    </row>
    <row r="36" spans="1:12" x14ac:dyDescent="0.25">
      <c r="A36" s="227"/>
      <c r="B36" s="228" t="s">
        <v>193</v>
      </c>
      <c r="C36" s="228" t="s">
        <v>153</v>
      </c>
      <c r="D36" s="232">
        <v>0</v>
      </c>
      <c r="E36" s="229" t="s">
        <v>154</v>
      </c>
      <c r="F36" s="228" t="s">
        <v>154</v>
      </c>
      <c r="G36" s="228" t="s">
        <v>154</v>
      </c>
      <c r="H36" s="228" t="s">
        <v>154</v>
      </c>
      <c r="I36" s="228" t="s">
        <v>154</v>
      </c>
      <c r="J36" s="230" t="s">
        <v>154</v>
      </c>
      <c r="K36" s="231">
        <v>46260.063460648147</v>
      </c>
      <c r="L36" s="225">
        <v>1</v>
      </c>
    </row>
    <row r="37" spans="1:12" x14ac:dyDescent="0.25">
      <c r="A37" s="227"/>
      <c r="B37" s="228" t="s">
        <v>191</v>
      </c>
      <c r="C37" s="228" t="s">
        <v>153</v>
      </c>
      <c r="D37" s="232">
        <v>0</v>
      </c>
      <c r="E37" s="229">
        <v>5.35</v>
      </c>
      <c r="F37" s="232">
        <v>1204622</v>
      </c>
      <c r="G37" s="228">
        <v>36.81</v>
      </c>
      <c r="H37" s="228">
        <v>684.73</v>
      </c>
      <c r="I37" s="228" t="s">
        <v>154</v>
      </c>
      <c r="J37" s="230" t="s">
        <v>154</v>
      </c>
      <c r="K37" s="231">
        <v>46260.076458333337</v>
      </c>
      <c r="L37" s="225">
        <v>1</v>
      </c>
    </row>
    <row r="38" spans="1:12" x14ac:dyDescent="0.25">
      <c r="A38" s="227"/>
      <c r="B38" s="228" t="s">
        <v>192</v>
      </c>
      <c r="C38" s="228" t="s">
        <v>153</v>
      </c>
      <c r="D38" s="232">
        <v>0</v>
      </c>
      <c r="E38" s="229">
        <v>5.3520000000000003</v>
      </c>
      <c r="F38" s="232">
        <v>1187630</v>
      </c>
      <c r="G38" s="228">
        <v>36.29</v>
      </c>
      <c r="H38" s="228">
        <v>679.26</v>
      </c>
      <c r="I38" s="228" t="s">
        <v>154</v>
      </c>
      <c r="J38" s="230" t="s">
        <v>154</v>
      </c>
      <c r="K38" s="231">
        <v>46260.089444444442</v>
      </c>
      <c r="L38" s="225">
        <v>1</v>
      </c>
    </row>
    <row r="39" spans="1:12" s="128" customFormat="1" x14ac:dyDescent="0.25">
      <c r="A39" s="227"/>
      <c r="B39" s="129" t="s">
        <v>201</v>
      </c>
      <c r="C39" s="129" t="s">
        <v>153</v>
      </c>
      <c r="D39" s="133">
        <v>0</v>
      </c>
      <c r="E39" s="130">
        <v>5.351</v>
      </c>
      <c r="F39" s="133">
        <v>1178655</v>
      </c>
      <c r="G39" s="129">
        <v>36.01</v>
      </c>
      <c r="H39" s="129">
        <v>763.86</v>
      </c>
      <c r="I39" s="129" t="s">
        <v>154</v>
      </c>
      <c r="J39" s="131" t="s">
        <v>154</v>
      </c>
      <c r="K39" s="132">
        <v>46260.102418981478</v>
      </c>
      <c r="L39" s="128">
        <v>1</v>
      </c>
    </row>
    <row r="40" spans="1:12" s="128" customFormat="1" x14ac:dyDescent="0.25">
      <c r="A40" s="227"/>
      <c r="B40" s="129" t="s">
        <v>202</v>
      </c>
      <c r="C40" s="129" t="s">
        <v>153</v>
      </c>
      <c r="D40" s="129">
        <v>0</v>
      </c>
      <c r="E40" s="130">
        <v>5.3540000000000001</v>
      </c>
      <c r="F40" s="133">
        <v>1180869</v>
      </c>
      <c r="G40" s="129">
        <v>36.08</v>
      </c>
      <c r="H40" s="129">
        <v>657.17</v>
      </c>
      <c r="I40" s="129" t="s">
        <v>154</v>
      </c>
      <c r="J40" s="131" t="s">
        <v>154</v>
      </c>
      <c r="K40" s="132">
        <v>46260.115393518521</v>
      </c>
      <c r="L40" s="128">
        <v>1</v>
      </c>
    </row>
    <row r="41" spans="1:12" s="128" customFormat="1" x14ac:dyDescent="0.25">
      <c r="A41" s="227"/>
      <c r="B41" s="129" t="s">
        <v>203</v>
      </c>
      <c r="C41" s="129" t="s">
        <v>153</v>
      </c>
      <c r="D41" s="133">
        <v>0</v>
      </c>
      <c r="E41" s="130">
        <v>5.3520000000000003</v>
      </c>
      <c r="F41" s="133">
        <v>1168061</v>
      </c>
      <c r="G41" s="129">
        <v>35.69</v>
      </c>
      <c r="H41" s="129">
        <v>556.69000000000005</v>
      </c>
      <c r="I41" s="129" t="s">
        <v>154</v>
      </c>
      <c r="J41" s="131" t="s">
        <v>154</v>
      </c>
      <c r="K41" s="132">
        <v>46260.128368055557</v>
      </c>
      <c r="L41" s="128">
        <v>1</v>
      </c>
    </row>
    <row r="42" spans="1:12" x14ac:dyDescent="0.25">
      <c r="A42" s="227"/>
      <c r="B42" s="228" t="s">
        <v>204</v>
      </c>
      <c r="C42" s="228" t="s">
        <v>153</v>
      </c>
      <c r="D42" s="232">
        <v>0</v>
      </c>
      <c r="E42" s="229">
        <v>5.3529999999999998</v>
      </c>
      <c r="F42" s="232">
        <v>1186593</v>
      </c>
      <c r="G42" s="228">
        <v>36.25</v>
      </c>
      <c r="H42" s="228">
        <v>706.51</v>
      </c>
      <c r="I42" s="228" t="s">
        <v>154</v>
      </c>
      <c r="J42" s="230" t="s">
        <v>154</v>
      </c>
      <c r="K42" s="231">
        <v>46260.141319444447</v>
      </c>
      <c r="L42" s="225">
        <v>1</v>
      </c>
    </row>
    <row r="43" spans="1:12" x14ac:dyDescent="0.25">
      <c r="A43" s="227"/>
      <c r="B43" s="228" t="s">
        <v>205</v>
      </c>
      <c r="C43" s="228" t="s">
        <v>153</v>
      </c>
      <c r="D43" s="232">
        <v>0</v>
      </c>
      <c r="E43" s="229">
        <v>5.3529999999999998</v>
      </c>
      <c r="F43" s="232">
        <v>1169154</v>
      </c>
      <c r="G43" s="228">
        <v>35.72</v>
      </c>
      <c r="H43" s="228">
        <v>446.79</v>
      </c>
      <c r="I43" s="228" t="s">
        <v>154</v>
      </c>
      <c r="J43" s="230" t="s">
        <v>154</v>
      </c>
      <c r="K43" s="231">
        <v>46260.154282407406</v>
      </c>
      <c r="L43" s="225">
        <v>1</v>
      </c>
    </row>
    <row r="44" spans="1:12" x14ac:dyDescent="0.25">
      <c r="A44" s="227"/>
      <c r="B44" s="228" t="s">
        <v>206</v>
      </c>
      <c r="C44" s="228" t="s">
        <v>153</v>
      </c>
      <c r="D44" s="232">
        <v>0</v>
      </c>
      <c r="E44" s="229">
        <v>5.3540000000000001</v>
      </c>
      <c r="F44" s="232">
        <v>1184180</v>
      </c>
      <c r="G44" s="228">
        <v>36.18</v>
      </c>
      <c r="H44" s="228">
        <v>813.41</v>
      </c>
      <c r="I44" s="228" t="s">
        <v>154</v>
      </c>
      <c r="J44" s="230" t="s">
        <v>154</v>
      </c>
      <c r="K44" s="231">
        <v>46260.167256944442</v>
      </c>
      <c r="L44" s="225">
        <v>1</v>
      </c>
    </row>
    <row r="45" spans="1:12" x14ac:dyDescent="0.25">
      <c r="A45" s="227"/>
      <c r="B45" s="228" t="s">
        <v>200</v>
      </c>
      <c r="C45" s="228" t="s">
        <v>153</v>
      </c>
      <c r="D45" s="232">
        <v>0</v>
      </c>
      <c r="E45" s="229" t="s">
        <v>154</v>
      </c>
      <c r="F45" s="228" t="s">
        <v>154</v>
      </c>
      <c r="G45" s="228" t="s">
        <v>154</v>
      </c>
      <c r="H45" s="228" t="s">
        <v>154</v>
      </c>
      <c r="I45" s="228" t="s">
        <v>154</v>
      </c>
      <c r="J45" s="230" t="s">
        <v>154</v>
      </c>
      <c r="K45" s="231">
        <v>46260.180243055554</v>
      </c>
      <c r="L45" s="225">
        <v>1</v>
      </c>
    </row>
    <row r="46" spans="1:12" s="128" customFormat="1" x14ac:dyDescent="0.25">
      <c r="A46" s="227"/>
      <c r="B46" s="129" t="s">
        <v>208</v>
      </c>
      <c r="C46" s="129" t="s">
        <v>153</v>
      </c>
      <c r="D46" s="133">
        <v>0</v>
      </c>
      <c r="E46" s="130">
        <v>5.3559999999999999</v>
      </c>
      <c r="F46" s="133">
        <v>1721549</v>
      </c>
      <c r="G46" s="129">
        <v>52.65</v>
      </c>
      <c r="H46" s="129">
        <v>676.23</v>
      </c>
      <c r="I46" s="129" t="s">
        <v>154</v>
      </c>
      <c r="J46" s="131" t="s">
        <v>154</v>
      </c>
      <c r="K46" s="132">
        <v>46260.193206018521</v>
      </c>
      <c r="L46" s="128">
        <v>1</v>
      </c>
    </row>
    <row r="47" spans="1:12" s="128" customFormat="1" x14ac:dyDescent="0.25">
      <c r="A47" s="227"/>
      <c r="B47" s="129" t="s">
        <v>209</v>
      </c>
      <c r="C47" s="129" t="s">
        <v>153</v>
      </c>
      <c r="D47" s="133">
        <v>0</v>
      </c>
      <c r="E47" s="130">
        <v>5.3550000000000004</v>
      </c>
      <c r="F47" s="133">
        <v>1724343</v>
      </c>
      <c r="G47" s="129">
        <v>52.73</v>
      </c>
      <c r="H47" s="129">
        <v>864.33</v>
      </c>
      <c r="I47" s="129" t="s">
        <v>154</v>
      </c>
      <c r="J47" s="131" t="s">
        <v>154</v>
      </c>
      <c r="K47" s="132">
        <v>46260.206203703703</v>
      </c>
      <c r="L47" s="128">
        <v>1</v>
      </c>
    </row>
    <row r="48" spans="1:12" s="128" customFormat="1" x14ac:dyDescent="0.25">
      <c r="A48" s="227"/>
      <c r="B48" s="129" t="s">
        <v>210</v>
      </c>
      <c r="C48" s="129" t="s">
        <v>153</v>
      </c>
      <c r="D48" s="133">
        <v>0</v>
      </c>
      <c r="E48" s="130">
        <v>5.3529999999999998</v>
      </c>
      <c r="F48" s="133">
        <v>1699026</v>
      </c>
      <c r="G48" s="129">
        <v>51.96</v>
      </c>
      <c r="H48" s="129">
        <v>959.69</v>
      </c>
      <c r="I48" s="129" t="s">
        <v>154</v>
      </c>
      <c r="J48" s="131" t="s">
        <v>154</v>
      </c>
      <c r="K48" s="132">
        <v>46260.219155092593</v>
      </c>
      <c r="L48" s="128">
        <v>1</v>
      </c>
    </row>
    <row r="49" spans="1:12" x14ac:dyDescent="0.25">
      <c r="A49" s="227"/>
      <c r="B49" s="228" t="s">
        <v>207</v>
      </c>
      <c r="C49" s="228" t="s">
        <v>153</v>
      </c>
      <c r="D49" s="232">
        <v>0</v>
      </c>
      <c r="E49" s="229" t="s">
        <v>154</v>
      </c>
      <c r="F49" s="228" t="s">
        <v>154</v>
      </c>
      <c r="G49" s="228" t="s">
        <v>154</v>
      </c>
      <c r="H49" s="228" t="s">
        <v>154</v>
      </c>
      <c r="I49" s="228" t="s">
        <v>154</v>
      </c>
      <c r="J49" s="230" t="s">
        <v>154</v>
      </c>
      <c r="K49" s="231">
        <v>46260.232129629629</v>
      </c>
      <c r="L49" s="225">
        <v>1</v>
      </c>
    </row>
    <row r="50" spans="1:12" x14ac:dyDescent="0.25">
      <c r="A50" s="227"/>
      <c r="B50" s="228" t="s">
        <v>212</v>
      </c>
      <c r="C50" s="228" t="s">
        <v>153</v>
      </c>
      <c r="D50" s="232">
        <v>0</v>
      </c>
      <c r="E50" s="229">
        <v>5.3529999999999998</v>
      </c>
      <c r="F50" s="232">
        <v>1148903</v>
      </c>
      <c r="G50" s="228">
        <v>35.1</v>
      </c>
      <c r="H50" s="228">
        <v>970.82</v>
      </c>
      <c r="I50" s="228" t="s">
        <v>154</v>
      </c>
      <c r="J50" s="230" t="s">
        <v>154</v>
      </c>
      <c r="K50" s="231">
        <v>46260.245104166665</v>
      </c>
      <c r="L50" s="225">
        <v>1</v>
      </c>
    </row>
    <row r="51" spans="1:12" x14ac:dyDescent="0.25">
      <c r="A51" s="227"/>
      <c r="B51" s="228" t="s">
        <v>213</v>
      </c>
      <c r="C51" s="228" t="s">
        <v>153</v>
      </c>
      <c r="D51" s="232">
        <v>0</v>
      </c>
      <c r="E51" s="229">
        <v>5.3529999999999998</v>
      </c>
      <c r="F51" s="232">
        <v>1156830</v>
      </c>
      <c r="G51" s="228">
        <v>35.340000000000003</v>
      </c>
      <c r="H51" s="228">
        <v>700.04</v>
      </c>
      <c r="I51" s="228" t="s">
        <v>154</v>
      </c>
      <c r="J51" s="230" t="s">
        <v>154</v>
      </c>
      <c r="K51" s="231">
        <v>46260.258090277777</v>
      </c>
      <c r="L51" s="225">
        <v>1</v>
      </c>
    </row>
    <row r="52" spans="1:12" x14ac:dyDescent="0.25">
      <c r="A52" s="227"/>
      <c r="B52" s="228" t="s">
        <v>211</v>
      </c>
      <c r="C52" s="228" t="s">
        <v>153</v>
      </c>
      <c r="D52" s="232">
        <v>0</v>
      </c>
      <c r="E52" s="229" t="s">
        <v>154</v>
      </c>
      <c r="F52" s="228" t="s">
        <v>154</v>
      </c>
      <c r="G52" s="228" t="s">
        <v>154</v>
      </c>
      <c r="H52" s="228" t="s">
        <v>154</v>
      </c>
      <c r="I52" s="228" t="s">
        <v>154</v>
      </c>
      <c r="J52" s="230" t="s">
        <v>154</v>
      </c>
      <c r="K52" s="231">
        <v>46260.271041666667</v>
      </c>
      <c r="L52" s="225">
        <v>1</v>
      </c>
    </row>
    <row r="53" spans="1:12" s="128" customFormat="1" x14ac:dyDescent="0.25">
      <c r="A53" s="227"/>
      <c r="B53" s="129" t="s">
        <v>182</v>
      </c>
      <c r="C53" s="129" t="s">
        <v>153</v>
      </c>
      <c r="D53" s="133">
        <v>0</v>
      </c>
      <c r="E53" s="130">
        <v>5.351</v>
      </c>
      <c r="F53" s="133">
        <v>23497</v>
      </c>
      <c r="G53" s="129">
        <v>0.62</v>
      </c>
      <c r="H53" s="129">
        <v>76.180000000000007</v>
      </c>
      <c r="I53" s="129" t="s">
        <v>154</v>
      </c>
      <c r="J53" s="131" t="s">
        <v>154</v>
      </c>
      <c r="K53" s="132">
        <v>46260.284016203703</v>
      </c>
      <c r="L53" s="128">
        <v>1</v>
      </c>
    </row>
    <row r="54" spans="1:12" s="128" customFormat="1" x14ac:dyDescent="0.25">
      <c r="A54" s="227"/>
      <c r="B54" s="129" t="s">
        <v>183</v>
      </c>
      <c r="C54" s="129" t="s">
        <v>153</v>
      </c>
      <c r="D54" s="133">
        <v>0</v>
      </c>
      <c r="E54" s="130">
        <v>5.3609999999999998</v>
      </c>
      <c r="F54" s="133">
        <v>24159</v>
      </c>
      <c r="G54" s="129">
        <v>0.64</v>
      </c>
      <c r="H54" s="129">
        <v>22.25</v>
      </c>
      <c r="I54" s="129" t="s">
        <v>154</v>
      </c>
      <c r="J54" s="131" t="s">
        <v>154</v>
      </c>
      <c r="K54" s="132">
        <v>46260.296979166669</v>
      </c>
      <c r="L54" s="128">
        <v>1</v>
      </c>
    </row>
    <row r="55" spans="1:12" s="128" customFormat="1" x14ac:dyDescent="0.25">
      <c r="A55" s="227"/>
      <c r="B55" s="129" t="s">
        <v>184</v>
      </c>
      <c r="C55" s="129" t="s">
        <v>153</v>
      </c>
      <c r="D55" s="133">
        <v>0</v>
      </c>
      <c r="E55" s="130">
        <v>5.3449999999999998</v>
      </c>
      <c r="F55" s="133">
        <v>24841</v>
      </c>
      <c r="G55" s="129">
        <v>0.66</v>
      </c>
      <c r="H55" s="129">
        <v>53.7</v>
      </c>
      <c r="I55" s="129" t="s">
        <v>154</v>
      </c>
      <c r="J55" s="131" t="s">
        <v>154</v>
      </c>
      <c r="K55" s="132">
        <v>46260.309953703705</v>
      </c>
      <c r="L55" s="128">
        <v>1</v>
      </c>
    </row>
    <row r="56" spans="1:12" s="128" customFormat="1" x14ac:dyDescent="0.25">
      <c r="A56" s="227"/>
      <c r="B56" s="129" t="s">
        <v>185</v>
      </c>
      <c r="C56" s="129" t="s">
        <v>153</v>
      </c>
      <c r="D56" s="133">
        <v>0</v>
      </c>
      <c r="E56" s="130">
        <v>5.351</v>
      </c>
      <c r="F56" s="133">
        <v>47849</v>
      </c>
      <c r="G56" s="129">
        <v>1.36</v>
      </c>
      <c r="H56" s="129">
        <v>117.93</v>
      </c>
      <c r="I56" s="129" t="s">
        <v>154</v>
      </c>
      <c r="J56" s="131" t="s">
        <v>154</v>
      </c>
      <c r="K56" s="132">
        <v>46260.322928240741</v>
      </c>
      <c r="L56" s="128">
        <v>1</v>
      </c>
    </row>
    <row r="57" spans="1:12" s="128" customFormat="1" x14ac:dyDescent="0.25">
      <c r="A57" s="227"/>
      <c r="B57" s="129" t="s">
        <v>186</v>
      </c>
      <c r="C57" s="129" t="s">
        <v>153</v>
      </c>
      <c r="D57" s="133">
        <v>0</v>
      </c>
      <c r="E57" s="130">
        <v>5.36</v>
      </c>
      <c r="F57" s="133">
        <v>47949</v>
      </c>
      <c r="G57" s="129">
        <v>1.37</v>
      </c>
      <c r="H57" s="129">
        <v>134.11000000000001</v>
      </c>
      <c r="I57" s="129" t="s">
        <v>154</v>
      </c>
      <c r="J57" s="131" t="s">
        <v>154</v>
      </c>
      <c r="K57" s="132">
        <v>46260.3358912037</v>
      </c>
      <c r="L57" s="128">
        <v>1</v>
      </c>
    </row>
    <row r="58" spans="1:12" s="128" customFormat="1" x14ac:dyDescent="0.25">
      <c r="A58" s="227"/>
      <c r="B58" s="129" t="s">
        <v>187</v>
      </c>
      <c r="C58" s="129" t="s">
        <v>153</v>
      </c>
      <c r="D58" s="133">
        <v>0</v>
      </c>
      <c r="E58" s="130">
        <v>5.3559999999999999</v>
      </c>
      <c r="F58" s="133">
        <v>47928</v>
      </c>
      <c r="G58" s="129">
        <v>1.37</v>
      </c>
      <c r="H58" s="129">
        <v>106.17</v>
      </c>
      <c r="I58" s="129" t="s">
        <v>154</v>
      </c>
      <c r="J58" s="131" t="s">
        <v>154</v>
      </c>
      <c r="K58" s="132">
        <v>46260.348854166667</v>
      </c>
      <c r="L58" s="128">
        <v>1</v>
      </c>
    </row>
    <row r="59" spans="1:12" s="128" customFormat="1" x14ac:dyDescent="0.25">
      <c r="A59" s="227"/>
      <c r="B59" s="129" t="s">
        <v>188</v>
      </c>
      <c r="C59" s="129" t="s">
        <v>153</v>
      </c>
      <c r="D59" s="133">
        <v>0</v>
      </c>
      <c r="E59" s="130">
        <v>5.3609999999999998</v>
      </c>
      <c r="F59" s="133">
        <v>47209</v>
      </c>
      <c r="G59" s="129">
        <v>1.34</v>
      </c>
      <c r="H59" s="129">
        <v>112.19</v>
      </c>
      <c r="I59" s="129" t="s">
        <v>154</v>
      </c>
      <c r="J59" s="131" t="s">
        <v>154</v>
      </c>
      <c r="K59" s="132">
        <v>46260.361805555556</v>
      </c>
      <c r="L59" s="128">
        <v>1</v>
      </c>
    </row>
    <row r="60" spans="1:12" s="128" customFormat="1" x14ac:dyDescent="0.25">
      <c r="A60" s="227"/>
      <c r="B60" s="129" t="s">
        <v>189</v>
      </c>
      <c r="C60" s="129" t="s">
        <v>153</v>
      </c>
      <c r="D60" s="133">
        <v>0</v>
      </c>
      <c r="E60" s="130">
        <v>5.3520000000000003</v>
      </c>
      <c r="F60" s="133">
        <v>47820</v>
      </c>
      <c r="G60" s="129">
        <v>1.36</v>
      </c>
      <c r="H60" s="129">
        <v>80.239999999999995</v>
      </c>
      <c r="I60" s="129" t="s">
        <v>154</v>
      </c>
      <c r="J60" s="131" t="s">
        <v>154</v>
      </c>
      <c r="K60" s="132">
        <v>46260.374768518515</v>
      </c>
      <c r="L60" s="128">
        <v>1</v>
      </c>
    </row>
    <row r="61" spans="1:12" s="128" customFormat="1" x14ac:dyDescent="0.25">
      <c r="A61" s="227"/>
      <c r="B61" s="129" t="s">
        <v>190</v>
      </c>
      <c r="C61" s="129" t="s">
        <v>153</v>
      </c>
      <c r="D61" s="133">
        <v>0</v>
      </c>
      <c r="E61" s="130">
        <v>5.3529999999999998</v>
      </c>
      <c r="F61" s="133">
        <v>48345</v>
      </c>
      <c r="G61" s="129">
        <v>1.38</v>
      </c>
      <c r="H61" s="129">
        <v>119.46</v>
      </c>
      <c r="I61" s="129" t="s">
        <v>154</v>
      </c>
      <c r="J61" s="131" t="s">
        <v>154</v>
      </c>
      <c r="K61" s="132">
        <v>46260.387743055559</v>
      </c>
      <c r="L61" s="128">
        <v>1</v>
      </c>
    </row>
    <row r="62" spans="1:12" x14ac:dyDescent="0.25">
      <c r="A62" s="227"/>
      <c r="B62" s="228" t="s">
        <v>214</v>
      </c>
      <c r="C62" s="228" t="s">
        <v>153</v>
      </c>
      <c r="D62" s="232">
        <v>0</v>
      </c>
      <c r="E62" s="229">
        <v>5.3520000000000003</v>
      </c>
      <c r="F62" s="232">
        <v>1137692</v>
      </c>
      <c r="G62" s="228">
        <v>34.76</v>
      </c>
      <c r="H62" s="228">
        <v>646.03</v>
      </c>
      <c r="I62" s="228" t="s">
        <v>154</v>
      </c>
      <c r="J62" s="230" t="s">
        <v>154</v>
      </c>
      <c r="K62" s="231">
        <v>46260.400706018518</v>
      </c>
      <c r="L62" s="225">
        <v>1</v>
      </c>
    </row>
    <row r="63" spans="1:12" x14ac:dyDescent="0.25">
      <c r="A63" s="227"/>
      <c r="B63" s="228" t="s">
        <v>215</v>
      </c>
      <c r="C63" s="228" t="s">
        <v>153</v>
      </c>
      <c r="D63" s="232">
        <v>0</v>
      </c>
      <c r="E63" s="229">
        <v>5.3529999999999998</v>
      </c>
      <c r="F63" s="232">
        <v>1154984</v>
      </c>
      <c r="G63" s="228">
        <v>35.29</v>
      </c>
      <c r="H63" s="228">
        <v>677.75</v>
      </c>
      <c r="I63" s="228" t="s">
        <v>154</v>
      </c>
      <c r="J63" s="230" t="s">
        <v>154</v>
      </c>
      <c r="K63" s="231">
        <v>46260.413668981484</v>
      </c>
      <c r="L63" s="225">
        <v>1</v>
      </c>
    </row>
    <row r="64" spans="1:12" x14ac:dyDescent="0.25">
      <c r="A64" s="234" t="s">
        <v>216</v>
      </c>
      <c r="B64" s="235" t="s">
        <v>145</v>
      </c>
      <c r="C64" s="235" t="s">
        <v>146</v>
      </c>
      <c r="D64" s="235" t="s">
        <v>147</v>
      </c>
      <c r="E64" s="236" t="s">
        <v>148</v>
      </c>
      <c r="F64" s="235" t="s">
        <v>149</v>
      </c>
      <c r="G64" s="235" t="s">
        <v>248</v>
      </c>
      <c r="H64" s="235" t="s">
        <v>249</v>
      </c>
      <c r="I64" s="235" t="s">
        <v>150</v>
      </c>
      <c r="J64" s="237" t="s">
        <v>250</v>
      </c>
      <c r="K64" s="225" t="s">
        <v>251</v>
      </c>
      <c r="L64" s="225" t="s">
        <v>259</v>
      </c>
    </row>
    <row r="65" spans="1:12" x14ac:dyDescent="0.25">
      <c r="A65" s="234"/>
      <c r="B65" s="235" t="s">
        <v>152</v>
      </c>
      <c r="C65" s="235" t="s">
        <v>153</v>
      </c>
      <c r="D65" s="235">
        <v>0</v>
      </c>
      <c r="E65" s="236" t="s">
        <v>154</v>
      </c>
      <c r="F65" s="235" t="s">
        <v>154</v>
      </c>
      <c r="G65" s="235" t="s">
        <v>154</v>
      </c>
      <c r="H65" s="235" t="s">
        <v>154</v>
      </c>
      <c r="I65" s="235" t="s">
        <v>154</v>
      </c>
      <c r="J65" s="237" t="s">
        <v>154</v>
      </c>
      <c r="K65" s="231">
        <v>46260.473761574074</v>
      </c>
      <c r="L65" s="225">
        <v>1</v>
      </c>
    </row>
    <row r="66" spans="1:12" x14ac:dyDescent="0.25">
      <c r="A66" s="234"/>
      <c r="B66" s="235" t="s">
        <v>155</v>
      </c>
      <c r="C66" s="235" t="s">
        <v>153</v>
      </c>
      <c r="D66" s="235">
        <v>0</v>
      </c>
      <c r="E66" s="236" t="s">
        <v>154</v>
      </c>
      <c r="F66" s="235" t="s">
        <v>154</v>
      </c>
      <c r="G66" s="235" t="s">
        <v>154</v>
      </c>
      <c r="H66" s="235" t="s">
        <v>154</v>
      </c>
      <c r="I66" s="235" t="s">
        <v>154</v>
      </c>
      <c r="J66" s="237" t="s">
        <v>154</v>
      </c>
      <c r="K66" s="231">
        <v>46260.486840277779</v>
      </c>
      <c r="L66" s="225">
        <v>1</v>
      </c>
    </row>
    <row r="67" spans="1:12" x14ac:dyDescent="0.25">
      <c r="A67" s="234"/>
      <c r="B67" s="235" t="s">
        <v>156</v>
      </c>
      <c r="C67" s="235" t="s">
        <v>153</v>
      </c>
      <c r="D67" s="235">
        <v>0</v>
      </c>
      <c r="E67" s="236" t="s">
        <v>154</v>
      </c>
      <c r="F67" s="235" t="s">
        <v>154</v>
      </c>
      <c r="G67" s="235" t="s">
        <v>154</v>
      </c>
      <c r="H67" s="235" t="s">
        <v>154</v>
      </c>
      <c r="I67" s="235" t="s">
        <v>154</v>
      </c>
      <c r="J67" s="237" t="s">
        <v>154</v>
      </c>
      <c r="K67" s="231">
        <v>46260.499976851854</v>
      </c>
      <c r="L67" s="225">
        <v>1</v>
      </c>
    </row>
    <row r="68" spans="1:12" x14ac:dyDescent="0.25">
      <c r="A68" s="234"/>
      <c r="B68" s="235" t="s">
        <v>157</v>
      </c>
      <c r="C68" s="235" t="s">
        <v>153</v>
      </c>
      <c r="D68" s="238">
        <v>0</v>
      </c>
      <c r="E68" s="236" t="s">
        <v>154</v>
      </c>
      <c r="F68" s="235" t="s">
        <v>154</v>
      </c>
      <c r="G68" s="235" t="s">
        <v>154</v>
      </c>
      <c r="H68" s="235" t="s">
        <v>154</v>
      </c>
      <c r="I68" s="235" t="s">
        <v>154</v>
      </c>
      <c r="J68" s="237" t="s">
        <v>154</v>
      </c>
      <c r="K68" s="231">
        <v>46260.512986111113</v>
      </c>
      <c r="L68" s="225">
        <v>1</v>
      </c>
    </row>
    <row r="69" spans="1:12" x14ac:dyDescent="0.25">
      <c r="A69" s="234"/>
      <c r="B69" s="235" t="s">
        <v>158</v>
      </c>
      <c r="C69" s="235" t="s">
        <v>153</v>
      </c>
      <c r="D69" s="238">
        <v>0</v>
      </c>
      <c r="E69" s="236" t="s">
        <v>154</v>
      </c>
      <c r="F69" s="235" t="s">
        <v>154</v>
      </c>
      <c r="G69" s="235" t="s">
        <v>154</v>
      </c>
      <c r="H69" s="235" t="s">
        <v>154</v>
      </c>
      <c r="I69" s="235" t="s">
        <v>154</v>
      </c>
      <c r="J69" s="237" t="s">
        <v>154</v>
      </c>
      <c r="K69" s="231">
        <v>46260.526064814818</v>
      </c>
      <c r="L69" s="225">
        <v>1</v>
      </c>
    </row>
    <row r="70" spans="1:12" x14ac:dyDescent="0.25">
      <c r="A70" s="234"/>
      <c r="B70" s="235" t="s">
        <v>159</v>
      </c>
      <c r="C70" s="235" t="s">
        <v>153</v>
      </c>
      <c r="D70" s="238">
        <v>0</v>
      </c>
      <c r="E70" s="236">
        <v>5.3470000000000004</v>
      </c>
      <c r="F70" s="238">
        <v>21317</v>
      </c>
      <c r="G70" s="235">
        <v>0.74</v>
      </c>
      <c r="H70" s="235">
        <v>55.2</v>
      </c>
      <c r="I70" s="235" t="s">
        <v>154</v>
      </c>
      <c r="J70" s="237" t="s">
        <v>154</v>
      </c>
      <c r="K70" s="231">
        <v>46260.539143518516</v>
      </c>
      <c r="L70" s="225">
        <v>1</v>
      </c>
    </row>
    <row r="71" spans="1:12" x14ac:dyDescent="0.25">
      <c r="A71" s="234"/>
      <c r="B71" s="235" t="s">
        <v>217</v>
      </c>
      <c r="C71" s="235" t="s">
        <v>153</v>
      </c>
      <c r="D71" s="238">
        <v>0</v>
      </c>
      <c r="E71" s="236">
        <v>5.3390000000000004</v>
      </c>
      <c r="F71" s="238">
        <v>22003</v>
      </c>
      <c r="G71" s="235">
        <v>0.76</v>
      </c>
      <c r="H71" s="235">
        <v>54.4</v>
      </c>
      <c r="I71" s="235" t="s">
        <v>154</v>
      </c>
      <c r="J71" s="237" t="s">
        <v>154</v>
      </c>
      <c r="K71" s="231">
        <v>46260.552106481482</v>
      </c>
      <c r="L71" s="225">
        <v>1</v>
      </c>
    </row>
    <row r="72" spans="1:12" x14ac:dyDescent="0.25">
      <c r="A72" s="234"/>
      <c r="B72" s="235" t="s">
        <v>169</v>
      </c>
      <c r="C72" s="235" t="s">
        <v>170</v>
      </c>
      <c r="D72" s="238">
        <v>1</v>
      </c>
      <c r="E72" s="236">
        <v>5.3520000000000003</v>
      </c>
      <c r="F72" s="238">
        <v>41974</v>
      </c>
      <c r="G72" s="235">
        <v>1.52</v>
      </c>
      <c r="H72" s="235">
        <v>119.03</v>
      </c>
      <c r="I72" s="235">
        <v>1.52</v>
      </c>
      <c r="J72" s="237">
        <v>99.7</v>
      </c>
      <c r="K72" s="231">
        <v>46260.565081018518</v>
      </c>
      <c r="L72" s="225">
        <v>1</v>
      </c>
    </row>
    <row r="73" spans="1:12" x14ac:dyDescent="0.25">
      <c r="A73" s="234"/>
      <c r="B73" s="235" t="s">
        <v>171</v>
      </c>
      <c r="C73" s="235" t="s">
        <v>170</v>
      </c>
      <c r="D73" s="238">
        <v>2</v>
      </c>
      <c r="E73" s="236">
        <v>5.343</v>
      </c>
      <c r="F73" s="238">
        <v>529870</v>
      </c>
      <c r="G73" s="235">
        <v>19.87</v>
      </c>
      <c r="H73" s="235">
        <v>706.07</v>
      </c>
      <c r="I73" s="235">
        <v>18.95</v>
      </c>
      <c r="J73" s="237">
        <v>104.9</v>
      </c>
      <c r="K73" s="231">
        <v>46260.578055555554</v>
      </c>
      <c r="L73" s="225">
        <v>1</v>
      </c>
    </row>
    <row r="74" spans="1:12" x14ac:dyDescent="0.25">
      <c r="A74" s="234"/>
      <c r="B74" s="235" t="s">
        <v>172</v>
      </c>
      <c r="C74" s="235" t="s">
        <v>170</v>
      </c>
      <c r="D74" s="238">
        <v>3</v>
      </c>
      <c r="E74" s="236">
        <v>5.3440000000000003</v>
      </c>
      <c r="F74" s="238">
        <v>1016939</v>
      </c>
      <c r="G74" s="235">
        <v>38.200000000000003</v>
      </c>
      <c r="H74" s="235">
        <v>849.2</v>
      </c>
      <c r="I74" s="235">
        <v>37.9</v>
      </c>
      <c r="J74" s="237">
        <v>100.8</v>
      </c>
      <c r="K74" s="231">
        <v>46260.59101851852</v>
      </c>
      <c r="L74" s="225">
        <v>1</v>
      </c>
    </row>
    <row r="75" spans="1:12" x14ac:dyDescent="0.25">
      <c r="A75" s="234"/>
      <c r="B75" s="235" t="s">
        <v>173</v>
      </c>
      <c r="C75" s="235" t="s">
        <v>170</v>
      </c>
      <c r="D75" s="235">
        <v>4</v>
      </c>
      <c r="E75" s="236">
        <v>5.3479999999999999</v>
      </c>
      <c r="F75" s="238">
        <v>1481621</v>
      </c>
      <c r="G75" s="235">
        <v>55.68</v>
      </c>
      <c r="H75" s="235">
        <v>686.4</v>
      </c>
      <c r="I75" s="235">
        <v>56.86</v>
      </c>
      <c r="J75" s="237">
        <v>97.9</v>
      </c>
      <c r="K75" s="231">
        <v>46260.604016203702</v>
      </c>
      <c r="L75" s="225">
        <v>1</v>
      </c>
    </row>
    <row r="76" spans="1:12" x14ac:dyDescent="0.25">
      <c r="A76" s="234"/>
      <c r="B76" s="235" t="s">
        <v>174</v>
      </c>
      <c r="C76" s="235" t="s">
        <v>170</v>
      </c>
      <c r="D76" s="235">
        <v>5</v>
      </c>
      <c r="E76" s="236">
        <v>5.3449999999999998</v>
      </c>
      <c r="F76" s="238">
        <v>1950433</v>
      </c>
      <c r="G76" s="235">
        <v>73.319999999999993</v>
      </c>
      <c r="H76" s="239">
        <v>1135.53</v>
      </c>
      <c r="I76" s="235">
        <v>75.81</v>
      </c>
      <c r="J76" s="237">
        <v>96.7</v>
      </c>
      <c r="K76" s="231">
        <v>46260.617013888892</v>
      </c>
      <c r="L76" s="225">
        <v>1</v>
      </c>
    </row>
    <row r="77" spans="1:12" x14ac:dyDescent="0.25">
      <c r="A77" s="234"/>
      <c r="B77" s="235" t="s">
        <v>168</v>
      </c>
      <c r="C77" s="235" t="s">
        <v>153</v>
      </c>
      <c r="D77" s="238">
        <v>0</v>
      </c>
      <c r="E77" s="236" t="s">
        <v>154</v>
      </c>
      <c r="F77" s="235" t="s">
        <v>154</v>
      </c>
      <c r="G77" s="235" t="s">
        <v>154</v>
      </c>
      <c r="H77" s="235" t="s">
        <v>154</v>
      </c>
      <c r="I77" s="235" t="s">
        <v>154</v>
      </c>
      <c r="J77" s="237" t="s">
        <v>154</v>
      </c>
      <c r="K77" s="231">
        <v>46260.629976851851</v>
      </c>
      <c r="L77" s="225">
        <v>1</v>
      </c>
    </row>
    <row r="78" spans="1:12" x14ac:dyDescent="0.25">
      <c r="A78" s="234"/>
      <c r="B78" s="235" t="s">
        <v>218</v>
      </c>
      <c r="C78" s="235" t="s">
        <v>153</v>
      </c>
      <c r="D78" s="238">
        <v>0</v>
      </c>
      <c r="E78" s="236" t="s">
        <v>154</v>
      </c>
      <c r="F78" s="235" t="s">
        <v>154</v>
      </c>
      <c r="G78" s="235" t="s">
        <v>154</v>
      </c>
      <c r="H78" s="235" t="s">
        <v>154</v>
      </c>
      <c r="I78" s="235" t="s">
        <v>154</v>
      </c>
      <c r="J78" s="237" t="s">
        <v>154</v>
      </c>
      <c r="K78" s="231">
        <v>46260.643101851849</v>
      </c>
      <c r="L78" s="225">
        <v>1</v>
      </c>
    </row>
    <row r="79" spans="1:12" x14ac:dyDescent="0.25">
      <c r="A79" s="234"/>
      <c r="B79" s="235" t="s">
        <v>219</v>
      </c>
      <c r="C79" s="235" t="s">
        <v>153</v>
      </c>
      <c r="D79" s="238">
        <v>0</v>
      </c>
      <c r="E79" s="236">
        <v>5.3479999999999999</v>
      </c>
      <c r="F79" s="238">
        <v>995379</v>
      </c>
      <c r="G79" s="235">
        <v>37.39</v>
      </c>
      <c r="H79" s="235">
        <v>587.04</v>
      </c>
      <c r="I79" s="235" t="s">
        <v>154</v>
      </c>
      <c r="J79" s="237" t="s">
        <v>154</v>
      </c>
      <c r="K79" s="231">
        <v>46260.656192129631</v>
      </c>
      <c r="L79" s="225">
        <v>1</v>
      </c>
    </row>
    <row r="80" spans="1:12" x14ac:dyDescent="0.25">
      <c r="A80" s="234"/>
      <c r="B80" s="235" t="s">
        <v>220</v>
      </c>
      <c r="C80" s="235" t="s">
        <v>153</v>
      </c>
      <c r="D80" s="238">
        <v>0</v>
      </c>
      <c r="E80" s="236">
        <v>5.3490000000000002</v>
      </c>
      <c r="F80" s="238">
        <v>990491</v>
      </c>
      <c r="G80" s="235">
        <v>37.200000000000003</v>
      </c>
      <c r="H80" s="235">
        <v>869.46</v>
      </c>
      <c r="I80" s="235" t="s">
        <v>154</v>
      </c>
      <c r="J80" s="237" t="s">
        <v>154</v>
      </c>
      <c r="K80" s="231">
        <v>46260.66914351852</v>
      </c>
      <c r="L80" s="225">
        <v>1</v>
      </c>
    </row>
    <row r="81" spans="1:12" x14ac:dyDescent="0.25">
      <c r="A81" s="234"/>
      <c r="B81" s="235" t="s">
        <v>221</v>
      </c>
      <c r="C81" s="235" t="s">
        <v>153</v>
      </c>
      <c r="D81" s="238">
        <v>0</v>
      </c>
      <c r="E81" s="236">
        <v>5.3520000000000003</v>
      </c>
      <c r="F81" s="238">
        <v>1006678</v>
      </c>
      <c r="G81" s="235">
        <v>37.81</v>
      </c>
      <c r="H81" s="235">
        <v>558.61</v>
      </c>
      <c r="I81" s="235" t="s">
        <v>154</v>
      </c>
      <c r="J81" s="237" t="s">
        <v>154</v>
      </c>
      <c r="K81" s="231">
        <v>46260.682164351849</v>
      </c>
      <c r="L81" s="225">
        <v>1</v>
      </c>
    </row>
    <row r="82" spans="1:12" x14ac:dyDescent="0.25">
      <c r="A82" s="234"/>
      <c r="B82" s="235" t="s">
        <v>222</v>
      </c>
      <c r="C82" s="235" t="s">
        <v>153</v>
      </c>
      <c r="D82" s="238">
        <v>0</v>
      </c>
      <c r="E82" s="236">
        <v>5.3440000000000003</v>
      </c>
      <c r="F82" s="238">
        <v>1001642</v>
      </c>
      <c r="G82" s="235">
        <v>37.619999999999997</v>
      </c>
      <c r="H82" s="235">
        <v>827.56</v>
      </c>
      <c r="I82" s="235" t="s">
        <v>154</v>
      </c>
      <c r="J82" s="237" t="s">
        <v>154</v>
      </c>
      <c r="K82" s="231">
        <v>46260.695127314815</v>
      </c>
      <c r="L82" s="225">
        <v>1</v>
      </c>
    </row>
    <row r="83" spans="1:12" x14ac:dyDescent="0.25">
      <c r="A83" s="234"/>
      <c r="B83" s="235" t="s">
        <v>223</v>
      </c>
      <c r="C83" s="235" t="s">
        <v>153</v>
      </c>
      <c r="D83" s="238">
        <v>0</v>
      </c>
      <c r="E83" s="236">
        <v>5.3479999999999999</v>
      </c>
      <c r="F83" s="238">
        <v>981588</v>
      </c>
      <c r="G83" s="235">
        <v>36.869999999999997</v>
      </c>
      <c r="H83" s="235">
        <v>581.29999999999995</v>
      </c>
      <c r="I83" s="235" t="s">
        <v>154</v>
      </c>
      <c r="J83" s="237" t="s">
        <v>154</v>
      </c>
      <c r="K83" s="231">
        <v>46260.708090277774</v>
      </c>
      <c r="L83" s="225">
        <v>1</v>
      </c>
    </row>
    <row r="84" spans="1:12" x14ac:dyDescent="0.25">
      <c r="A84" s="234"/>
      <c r="B84" s="235" t="s">
        <v>224</v>
      </c>
      <c r="C84" s="235" t="s">
        <v>153</v>
      </c>
      <c r="D84" s="235">
        <v>0</v>
      </c>
      <c r="E84" s="236">
        <v>5.3449999999999998</v>
      </c>
      <c r="F84" s="238">
        <v>990061</v>
      </c>
      <c r="G84" s="235">
        <v>37.19</v>
      </c>
      <c r="H84" s="235">
        <v>668.28</v>
      </c>
      <c r="I84" s="235" t="s">
        <v>154</v>
      </c>
      <c r="J84" s="237" t="s">
        <v>154</v>
      </c>
      <c r="K84" s="231">
        <v>46260.721041666664</v>
      </c>
      <c r="L84" s="225">
        <v>1</v>
      </c>
    </row>
    <row r="85" spans="1:12" x14ac:dyDescent="0.25">
      <c r="A85" s="234"/>
      <c r="B85" s="235" t="s">
        <v>225</v>
      </c>
      <c r="C85" s="235" t="s">
        <v>153</v>
      </c>
      <c r="D85" s="235">
        <v>0</v>
      </c>
      <c r="E85" s="236">
        <v>5.34</v>
      </c>
      <c r="F85" s="238">
        <v>999414</v>
      </c>
      <c r="G85" s="235">
        <v>37.54</v>
      </c>
      <c r="H85" s="235">
        <v>778.23</v>
      </c>
      <c r="I85" s="235" t="s">
        <v>154</v>
      </c>
      <c r="J85" s="237" t="s">
        <v>154</v>
      </c>
      <c r="K85" s="231">
        <v>46260.73400462963</v>
      </c>
      <c r="L85" s="225">
        <v>1</v>
      </c>
    </row>
    <row r="86" spans="1:12" x14ac:dyDescent="0.25">
      <c r="A86" s="234"/>
      <c r="B86" s="235" t="s">
        <v>175</v>
      </c>
      <c r="C86" s="235" t="s">
        <v>153</v>
      </c>
      <c r="D86" s="235">
        <v>0</v>
      </c>
      <c r="E86" s="236" t="s">
        <v>154</v>
      </c>
      <c r="F86" s="235" t="s">
        <v>154</v>
      </c>
      <c r="G86" s="235" t="s">
        <v>154</v>
      </c>
      <c r="H86" s="235" t="s">
        <v>154</v>
      </c>
      <c r="I86" s="235" t="s">
        <v>154</v>
      </c>
      <c r="J86" s="237" t="s">
        <v>154</v>
      </c>
      <c r="K86" s="231">
        <v>46260.746979166666</v>
      </c>
      <c r="L86" s="225">
        <v>1</v>
      </c>
    </row>
    <row r="87" spans="1:12" x14ac:dyDescent="0.25">
      <c r="A87" s="234"/>
      <c r="B87" s="235" t="s">
        <v>178</v>
      </c>
      <c r="C87" s="235" t="s">
        <v>153</v>
      </c>
      <c r="D87" s="235">
        <v>0</v>
      </c>
      <c r="E87" s="236" t="s">
        <v>154</v>
      </c>
      <c r="F87" s="235" t="s">
        <v>154</v>
      </c>
      <c r="G87" s="235" t="s">
        <v>154</v>
      </c>
      <c r="H87" s="235" t="s">
        <v>154</v>
      </c>
      <c r="I87" s="235" t="s">
        <v>154</v>
      </c>
      <c r="J87" s="237" t="s">
        <v>154</v>
      </c>
      <c r="K87" s="231">
        <v>46260.759942129633</v>
      </c>
      <c r="L87" s="225">
        <v>1</v>
      </c>
    </row>
    <row r="88" spans="1:12" x14ac:dyDescent="0.25">
      <c r="A88" s="234"/>
      <c r="B88" s="235" t="s">
        <v>255</v>
      </c>
      <c r="C88" s="235" t="s">
        <v>153</v>
      </c>
      <c r="D88" s="235">
        <v>0</v>
      </c>
      <c r="E88" s="236" t="s">
        <v>154</v>
      </c>
      <c r="F88" s="235" t="s">
        <v>154</v>
      </c>
      <c r="G88" s="235" t="s">
        <v>154</v>
      </c>
      <c r="H88" s="235" t="s">
        <v>154</v>
      </c>
      <c r="I88" s="235" t="s">
        <v>154</v>
      </c>
      <c r="J88" s="237" t="s">
        <v>154</v>
      </c>
      <c r="K88" s="231">
        <v>46260.773032407407</v>
      </c>
      <c r="L88" s="225">
        <v>1</v>
      </c>
    </row>
    <row r="89" spans="1:12" x14ac:dyDescent="0.25">
      <c r="A89" s="234"/>
      <c r="B89" s="235" t="s">
        <v>256</v>
      </c>
      <c r="C89" s="235" t="s">
        <v>153</v>
      </c>
      <c r="D89" s="235">
        <v>0</v>
      </c>
      <c r="E89" s="236" t="s">
        <v>154</v>
      </c>
      <c r="F89" s="235" t="s">
        <v>154</v>
      </c>
      <c r="G89" s="235" t="s">
        <v>154</v>
      </c>
      <c r="H89" s="235" t="s">
        <v>154</v>
      </c>
      <c r="I89" s="235" t="s">
        <v>154</v>
      </c>
      <c r="J89" s="237" t="s">
        <v>154</v>
      </c>
      <c r="K89" s="231">
        <v>46260.786145833335</v>
      </c>
      <c r="L89" s="225">
        <v>1</v>
      </c>
    </row>
    <row r="90" spans="1:12" x14ac:dyDescent="0.25">
      <c r="A90" s="234"/>
      <c r="B90" s="235" t="s">
        <v>257</v>
      </c>
      <c r="C90" s="235" t="s">
        <v>153</v>
      </c>
      <c r="D90" s="235">
        <v>0</v>
      </c>
      <c r="E90" s="236" t="s">
        <v>154</v>
      </c>
      <c r="F90" s="235" t="s">
        <v>154</v>
      </c>
      <c r="G90" s="235" t="s">
        <v>154</v>
      </c>
      <c r="H90" s="235" t="s">
        <v>154</v>
      </c>
      <c r="I90" s="235" t="s">
        <v>154</v>
      </c>
      <c r="J90" s="237" t="s">
        <v>154</v>
      </c>
      <c r="K90" s="231">
        <v>46260.799097222225</v>
      </c>
      <c r="L90" s="225">
        <v>1</v>
      </c>
    </row>
  </sheetData>
  <mergeCells count="2">
    <mergeCell ref="A2:A63"/>
    <mergeCell ref="A64:A90"/>
  </mergeCells>
  <phoneticPr fontId="4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90"/>
  <sheetViews>
    <sheetView topLeftCell="A31" workbookViewId="0">
      <selection activeCell="G46" activeCellId="2" sqref="G33:G35 G39:G41 G46:G48"/>
    </sheetView>
  </sheetViews>
  <sheetFormatPr defaultColWidth="14.1796875" defaultRowHeight="14" x14ac:dyDescent="0.25"/>
  <cols>
    <col min="1" max="1" width="14.1796875" style="225"/>
    <col min="2" max="2" width="29.1796875" style="225" customWidth="1"/>
    <col min="3" max="3" width="14.1796875" style="225"/>
    <col min="4" max="4" width="14.36328125" style="225" bestFit="1" customWidth="1"/>
    <col min="5" max="5" width="14.36328125" style="226" bestFit="1" customWidth="1"/>
    <col min="6" max="8" width="14.36328125" style="225" bestFit="1" customWidth="1"/>
    <col min="9" max="9" width="14.26953125" style="225" bestFit="1" customWidth="1"/>
    <col min="10" max="10" width="15.7265625" style="225" bestFit="1" customWidth="1"/>
    <col min="11" max="11" width="16.90625" style="225" bestFit="1" customWidth="1"/>
    <col min="12" max="12" width="14.36328125" style="225" bestFit="1" customWidth="1"/>
    <col min="13" max="16384" width="14.1796875" style="225"/>
  </cols>
  <sheetData>
    <row r="1" spans="1:12" x14ac:dyDescent="0.25">
      <c r="A1" s="225" t="s">
        <v>144</v>
      </c>
      <c r="B1" s="225" t="s">
        <v>145</v>
      </c>
      <c r="C1" s="225" t="s">
        <v>146</v>
      </c>
      <c r="D1" s="225" t="s">
        <v>147</v>
      </c>
      <c r="E1" s="226" t="s">
        <v>148</v>
      </c>
      <c r="F1" s="225" t="s">
        <v>149</v>
      </c>
      <c r="G1" s="225" t="s">
        <v>248</v>
      </c>
      <c r="H1" s="225" t="s">
        <v>249</v>
      </c>
      <c r="I1" s="225" t="s">
        <v>150</v>
      </c>
      <c r="J1" s="225" t="s">
        <v>250</v>
      </c>
      <c r="K1" s="225" t="s">
        <v>251</v>
      </c>
      <c r="L1" s="225" t="s">
        <v>259</v>
      </c>
    </row>
    <row r="2" spans="1:12" x14ac:dyDescent="0.25">
      <c r="A2" s="227" t="s">
        <v>151</v>
      </c>
      <c r="B2" s="228" t="s">
        <v>152</v>
      </c>
      <c r="C2" s="228" t="s">
        <v>153</v>
      </c>
      <c r="D2" s="228">
        <v>0</v>
      </c>
      <c r="E2" s="229" t="s">
        <v>154</v>
      </c>
      <c r="F2" s="228" t="s">
        <v>154</v>
      </c>
      <c r="G2" s="228" t="s">
        <v>154</v>
      </c>
      <c r="H2" s="228" t="s">
        <v>154</v>
      </c>
      <c r="I2" s="228" t="s">
        <v>154</v>
      </c>
      <c r="J2" s="230" t="s">
        <v>154</v>
      </c>
      <c r="K2" s="231">
        <v>46259.620972222219</v>
      </c>
      <c r="L2" s="225">
        <v>1</v>
      </c>
    </row>
    <row r="3" spans="1:12" x14ac:dyDescent="0.25">
      <c r="A3" s="227"/>
      <c r="B3" s="228" t="s">
        <v>155</v>
      </c>
      <c r="C3" s="228" t="s">
        <v>153</v>
      </c>
      <c r="D3" s="228">
        <v>0</v>
      </c>
      <c r="E3" s="229" t="s">
        <v>154</v>
      </c>
      <c r="F3" s="228" t="s">
        <v>154</v>
      </c>
      <c r="G3" s="228" t="s">
        <v>154</v>
      </c>
      <c r="H3" s="228" t="s">
        <v>154</v>
      </c>
      <c r="I3" s="228" t="s">
        <v>154</v>
      </c>
      <c r="J3" s="230" t="s">
        <v>154</v>
      </c>
      <c r="K3" s="231">
        <v>46259.634097222224</v>
      </c>
      <c r="L3" s="225">
        <v>1</v>
      </c>
    </row>
    <row r="4" spans="1:12" x14ac:dyDescent="0.25">
      <c r="A4" s="227"/>
      <c r="B4" s="228" t="s">
        <v>156</v>
      </c>
      <c r="C4" s="228" t="s">
        <v>153</v>
      </c>
      <c r="D4" s="232">
        <v>0</v>
      </c>
      <c r="E4" s="229" t="s">
        <v>154</v>
      </c>
      <c r="F4" s="228" t="s">
        <v>154</v>
      </c>
      <c r="G4" s="228" t="s">
        <v>154</v>
      </c>
      <c r="H4" s="228" t="s">
        <v>154</v>
      </c>
      <c r="I4" s="228" t="s">
        <v>154</v>
      </c>
      <c r="J4" s="230" t="s">
        <v>154</v>
      </c>
      <c r="K4" s="231">
        <v>46259.647175925929</v>
      </c>
      <c r="L4" s="225">
        <v>1</v>
      </c>
    </row>
    <row r="5" spans="1:12" x14ac:dyDescent="0.25">
      <c r="A5" s="227"/>
      <c r="B5" s="228" t="s">
        <v>157</v>
      </c>
      <c r="C5" s="228" t="s">
        <v>153</v>
      </c>
      <c r="D5" s="232">
        <v>0</v>
      </c>
      <c r="E5" s="229" t="s">
        <v>154</v>
      </c>
      <c r="F5" s="228" t="s">
        <v>154</v>
      </c>
      <c r="G5" s="228" t="s">
        <v>154</v>
      </c>
      <c r="H5" s="228" t="s">
        <v>154</v>
      </c>
      <c r="I5" s="228" t="s">
        <v>154</v>
      </c>
      <c r="J5" s="230" t="s">
        <v>154</v>
      </c>
      <c r="K5" s="231">
        <v>46259.660162037035</v>
      </c>
      <c r="L5" s="225">
        <v>1</v>
      </c>
    </row>
    <row r="6" spans="1:12" x14ac:dyDescent="0.25">
      <c r="A6" s="227"/>
      <c r="B6" s="228" t="s">
        <v>158</v>
      </c>
      <c r="C6" s="228" t="s">
        <v>153</v>
      </c>
      <c r="D6" s="232">
        <v>0</v>
      </c>
      <c r="E6" s="229" t="s">
        <v>154</v>
      </c>
      <c r="F6" s="228" t="s">
        <v>154</v>
      </c>
      <c r="G6" s="228" t="s">
        <v>154</v>
      </c>
      <c r="H6" s="228" t="s">
        <v>154</v>
      </c>
      <c r="I6" s="228" t="s">
        <v>154</v>
      </c>
      <c r="J6" s="230" t="s">
        <v>154</v>
      </c>
      <c r="K6" s="231">
        <v>46259.673136574071</v>
      </c>
      <c r="L6" s="225">
        <v>1</v>
      </c>
    </row>
    <row r="7" spans="1:12" x14ac:dyDescent="0.25">
      <c r="A7" s="227"/>
      <c r="B7" s="228" t="s">
        <v>159</v>
      </c>
      <c r="C7" s="228" t="s">
        <v>153</v>
      </c>
      <c r="D7" s="232">
        <v>0</v>
      </c>
      <c r="E7" s="229">
        <v>7.7510000000000003</v>
      </c>
      <c r="F7" s="232">
        <v>43622</v>
      </c>
      <c r="G7" s="228">
        <v>0.74</v>
      </c>
      <c r="H7" s="228">
        <v>51.05</v>
      </c>
      <c r="I7" s="228" t="s">
        <v>154</v>
      </c>
      <c r="J7" s="230" t="s">
        <v>154</v>
      </c>
      <c r="K7" s="231">
        <v>46259.686793981484</v>
      </c>
      <c r="L7" s="225">
        <v>1</v>
      </c>
    </row>
    <row r="8" spans="1:12" s="128" customFormat="1" x14ac:dyDescent="0.25">
      <c r="A8" s="227"/>
      <c r="B8" s="129" t="s">
        <v>160</v>
      </c>
      <c r="C8" s="129" t="s">
        <v>153</v>
      </c>
      <c r="D8" s="133">
        <v>0</v>
      </c>
      <c r="E8" s="130">
        <v>7.7409999999999997</v>
      </c>
      <c r="F8" s="133">
        <v>2135016</v>
      </c>
      <c r="G8" s="129">
        <v>37.56</v>
      </c>
      <c r="H8" s="129">
        <v>574.80999999999995</v>
      </c>
      <c r="I8" s="129" t="s">
        <v>154</v>
      </c>
      <c r="J8" s="131" t="s">
        <v>154</v>
      </c>
      <c r="K8" s="132">
        <v>46259.699884259258</v>
      </c>
      <c r="L8" s="128">
        <v>1</v>
      </c>
    </row>
    <row r="9" spans="1:12" s="128" customFormat="1" x14ac:dyDescent="0.25">
      <c r="A9" s="227"/>
      <c r="B9" s="129" t="s">
        <v>161</v>
      </c>
      <c r="C9" s="129" t="s">
        <v>153</v>
      </c>
      <c r="D9" s="133">
        <v>0</v>
      </c>
      <c r="E9" s="130">
        <v>7.734</v>
      </c>
      <c r="F9" s="133">
        <v>2130683</v>
      </c>
      <c r="G9" s="129">
        <v>37.49</v>
      </c>
      <c r="H9" s="129">
        <v>602.15</v>
      </c>
      <c r="I9" s="129" t="s">
        <v>154</v>
      </c>
      <c r="J9" s="131" t="s">
        <v>154</v>
      </c>
      <c r="K9" s="132">
        <v>46259.71297453704</v>
      </c>
      <c r="L9" s="128">
        <v>1</v>
      </c>
    </row>
    <row r="10" spans="1:12" s="128" customFormat="1" x14ac:dyDescent="0.25">
      <c r="A10" s="227"/>
      <c r="B10" s="129" t="s">
        <v>162</v>
      </c>
      <c r="C10" s="129" t="s">
        <v>153</v>
      </c>
      <c r="D10" s="133">
        <v>0</v>
      </c>
      <c r="E10" s="130">
        <v>7.7249999999999996</v>
      </c>
      <c r="F10" s="133">
        <v>2136047</v>
      </c>
      <c r="G10" s="129">
        <v>37.58</v>
      </c>
      <c r="H10" s="129">
        <v>476.04</v>
      </c>
      <c r="I10" s="129" t="s">
        <v>154</v>
      </c>
      <c r="J10" s="131" t="s">
        <v>154</v>
      </c>
      <c r="K10" s="132">
        <v>46259.725960648146</v>
      </c>
      <c r="L10" s="128">
        <v>1</v>
      </c>
    </row>
    <row r="11" spans="1:12" s="128" customFormat="1" x14ac:dyDescent="0.25">
      <c r="A11" s="227"/>
      <c r="B11" s="129" t="s">
        <v>163</v>
      </c>
      <c r="C11" s="129" t="s">
        <v>153</v>
      </c>
      <c r="D11" s="133">
        <v>0</v>
      </c>
      <c r="E11" s="130">
        <v>7.7309999999999999</v>
      </c>
      <c r="F11" s="133">
        <v>2128942</v>
      </c>
      <c r="G11" s="129">
        <v>37.46</v>
      </c>
      <c r="H11" s="129">
        <v>460.63</v>
      </c>
      <c r="I11" s="129" t="s">
        <v>154</v>
      </c>
      <c r="J11" s="131" t="s">
        <v>154</v>
      </c>
      <c r="K11" s="132">
        <v>46259.739074074074</v>
      </c>
      <c r="L11" s="128">
        <v>1</v>
      </c>
    </row>
    <row r="12" spans="1:12" s="128" customFormat="1" x14ac:dyDescent="0.25">
      <c r="A12" s="227"/>
      <c r="B12" s="129" t="s">
        <v>164</v>
      </c>
      <c r="C12" s="129" t="s">
        <v>153</v>
      </c>
      <c r="D12" s="133">
        <v>0</v>
      </c>
      <c r="E12" s="130">
        <v>7.7210000000000001</v>
      </c>
      <c r="F12" s="133">
        <v>2119496</v>
      </c>
      <c r="G12" s="129">
        <v>37.29</v>
      </c>
      <c r="H12" s="129">
        <v>550.11</v>
      </c>
      <c r="I12" s="129" t="s">
        <v>154</v>
      </c>
      <c r="J12" s="131" t="s">
        <v>154</v>
      </c>
      <c r="K12" s="132">
        <v>46259.752164351848</v>
      </c>
      <c r="L12" s="128">
        <v>1</v>
      </c>
    </row>
    <row r="13" spans="1:12" s="128" customFormat="1" x14ac:dyDescent="0.25">
      <c r="A13" s="227"/>
      <c r="B13" s="129" t="s">
        <v>165</v>
      </c>
      <c r="C13" s="129" t="s">
        <v>153</v>
      </c>
      <c r="D13" s="133">
        <v>0</v>
      </c>
      <c r="E13" s="130">
        <v>7.7359999999999998</v>
      </c>
      <c r="F13" s="133">
        <v>2110202</v>
      </c>
      <c r="G13" s="129">
        <v>37.130000000000003</v>
      </c>
      <c r="H13" s="129">
        <v>538.46</v>
      </c>
      <c r="I13" s="129" t="s">
        <v>154</v>
      </c>
      <c r="J13" s="131" t="s">
        <v>154</v>
      </c>
      <c r="K13" s="132">
        <v>46259.765138888892</v>
      </c>
      <c r="L13" s="128">
        <v>1</v>
      </c>
    </row>
    <row r="14" spans="1:12" x14ac:dyDescent="0.25">
      <c r="A14" s="227"/>
      <c r="B14" s="228" t="s">
        <v>166</v>
      </c>
      <c r="C14" s="228" t="s">
        <v>153</v>
      </c>
      <c r="D14" s="232">
        <v>0</v>
      </c>
      <c r="E14" s="229">
        <v>7.7370000000000001</v>
      </c>
      <c r="F14" s="232">
        <v>2119852</v>
      </c>
      <c r="G14" s="228">
        <v>37.299999999999997</v>
      </c>
      <c r="H14" s="228">
        <v>502.99</v>
      </c>
      <c r="I14" s="228" t="s">
        <v>154</v>
      </c>
      <c r="J14" s="230" t="s">
        <v>154</v>
      </c>
      <c r="K14" s="231">
        <v>46259.778101851851</v>
      </c>
      <c r="L14" s="225">
        <v>1</v>
      </c>
    </row>
    <row r="15" spans="1:12" x14ac:dyDescent="0.25">
      <c r="A15" s="227"/>
      <c r="B15" s="228" t="s">
        <v>167</v>
      </c>
      <c r="C15" s="228" t="s">
        <v>153</v>
      </c>
      <c r="D15" s="232">
        <v>0</v>
      </c>
      <c r="E15" s="229">
        <v>7.7389999999999999</v>
      </c>
      <c r="F15" s="232">
        <v>2102415</v>
      </c>
      <c r="G15" s="228">
        <v>36.99</v>
      </c>
      <c r="H15" s="228">
        <v>402.84</v>
      </c>
      <c r="I15" s="228" t="s">
        <v>154</v>
      </c>
      <c r="J15" s="230" t="s">
        <v>154</v>
      </c>
      <c r="K15" s="231">
        <v>46259.791076388887</v>
      </c>
      <c r="L15" s="225">
        <v>1</v>
      </c>
    </row>
    <row r="16" spans="1:12" s="128" customFormat="1" x14ac:dyDescent="0.25">
      <c r="A16" s="227"/>
      <c r="B16" s="129" t="s">
        <v>168</v>
      </c>
      <c r="C16" s="129" t="s">
        <v>153</v>
      </c>
      <c r="D16" s="133">
        <v>0</v>
      </c>
      <c r="E16" s="130" t="s">
        <v>154</v>
      </c>
      <c r="F16" s="129" t="s">
        <v>154</v>
      </c>
      <c r="G16" s="129" t="s">
        <v>154</v>
      </c>
      <c r="H16" s="129" t="s">
        <v>154</v>
      </c>
      <c r="I16" s="129" t="s">
        <v>154</v>
      </c>
      <c r="J16" s="131" t="s">
        <v>154</v>
      </c>
      <c r="K16" s="132">
        <v>46259.804097222222</v>
      </c>
      <c r="L16" s="128">
        <v>1</v>
      </c>
    </row>
    <row r="17" spans="1:12" s="128" customFormat="1" x14ac:dyDescent="0.25">
      <c r="A17" s="227"/>
      <c r="B17" s="129" t="s">
        <v>252</v>
      </c>
      <c r="C17" s="129" t="s">
        <v>153</v>
      </c>
      <c r="D17" s="133">
        <v>0</v>
      </c>
      <c r="E17" s="130">
        <v>7.7439999999999998</v>
      </c>
      <c r="F17" s="133">
        <v>2109681</v>
      </c>
      <c r="G17" s="129">
        <v>37.119999999999997</v>
      </c>
      <c r="H17" s="129">
        <v>458.35</v>
      </c>
      <c r="I17" s="129" t="s">
        <v>154</v>
      </c>
      <c r="J17" s="131" t="s">
        <v>154</v>
      </c>
      <c r="K17" s="132">
        <v>46259.817071759258</v>
      </c>
      <c r="L17" s="128">
        <v>1</v>
      </c>
    </row>
    <row r="18" spans="1:12" s="128" customFormat="1" x14ac:dyDescent="0.25">
      <c r="A18" s="227"/>
      <c r="B18" s="129" t="s">
        <v>176</v>
      </c>
      <c r="C18" s="129" t="s">
        <v>153</v>
      </c>
      <c r="D18" s="133">
        <v>0</v>
      </c>
      <c r="E18" s="130" t="s">
        <v>154</v>
      </c>
      <c r="F18" s="129" t="s">
        <v>154</v>
      </c>
      <c r="G18" s="129" t="s">
        <v>154</v>
      </c>
      <c r="H18" s="129" t="s">
        <v>154</v>
      </c>
      <c r="I18" s="129" t="s">
        <v>154</v>
      </c>
      <c r="J18" s="131" t="s">
        <v>154</v>
      </c>
      <c r="K18" s="132">
        <v>46259.830057870371</v>
      </c>
      <c r="L18" s="128">
        <v>1</v>
      </c>
    </row>
    <row r="19" spans="1:12" s="128" customFormat="1" x14ac:dyDescent="0.25">
      <c r="A19" s="227"/>
      <c r="B19" s="129" t="s">
        <v>177</v>
      </c>
      <c r="C19" s="129" t="s">
        <v>153</v>
      </c>
      <c r="D19" s="133">
        <v>0</v>
      </c>
      <c r="E19" s="130">
        <v>7.7469999999999999</v>
      </c>
      <c r="F19" s="133">
        <v>2144338</v>
      </c>
      <c r="G19" s="134">
        <v>37.729999999999997</v>
      </c>
      <c r="H19" s="129">
        <v>499.1</v>
      </c>
      <c r="I19" s="129" t="s">
        <v>154</v>
      </c>
      <c r="J19" s="131" t="s">
        <v>154</v>
      </c>
      <c r="K19" s="132">
        <v>46259.84302083333</v>
      </c>
      <c r="L19" s="128">
        <v>1</v>
      </c>
    </row>
    <row r="20" spans="1:12" x14ac:dyDescent="0.25">
      <c r="A20" s="227"/>
      <c r="B20" s="228" t="s">
        <v>175</v>
      </c>
      <c r="C20" s="228" t="s">
        <v>153</v>
      </c>
      <c r="D20" s="232">
        <v>0</v>
      </c>
      <c r="E20" s="229" t="s">
        <v>154</v>
      </c>
      <c r="F20" s="228" t="s">
        <v>154</v>
      </c>
      <c r="G20" s="233" t="s">
        <v>154</v>
      </c>
      <c r="H20" s="228" t="s">
        <v>154</v>
      </c>
      <c r="I20" s="228" t="s">
        <v>154</v>
      </c>
      <c r="J20" s="230" t="s">
        <v>154</v>
      </c>
      <c r="K20" s="231">
        <v>46259.855995370373</v>
      </c>
      <c r="L20" s="225">
        <v>1</v>
      </c>
    </row>
    <row r="21" spans="1:12" s="128" customFormat="1" x14ac:dyDescent="0.25">
      <c r="A21" s="227"/>
      <c r="B21" s="129" t="s">
        <v>169</v>
      </c>
      <c r="C21" s="129" t="s">
        <v>170</v>
      </c>
      <c r="D21" s="133">
        <v>1</v>
      </c>
      <c r="E21" s="130">
        <v>7.74</v>
      </c>
      <c r="F21" s="133">
        <v>86126</v>
      </c>
      <c r="G21" s="129">
        <v>1.49</v>
      </c>
      <c r="H21" s="129">
        <v>117.21</v>
      </c>
      <c r="I21" s="129">
        <v>1.49</v>
      </c>
      <c r="J21" s="131">
        <v>99.9</v>
      </c>
      <c r="K21" s="132">
        <v>46259.868969907409</v>
      </c>
      <c r="L21" s="128">
        <v>1</v>
      </c>
    </row>
    <row r="22" spans="1:12" s="128" customFormat="1" x14ac:dyDescent="0.25">
      <c r="A22" s="227"/>
      <c r="B22" s="129" t="s">
        <v>171</v>
      </c>
      <c r="C22" s="129" t="s">
        <v>170</v>
      </c>
      <c r="D22" s="133">
        <v>2</v>
      </c>
      <c r="E22" s="130">
        <v>7.7460000000000004</v>
      </c>
      <c r="F22" s="133">
        <v>1067960</v>
      </c>
      <c r="G22" s="129">
        <v>18.78</v>
      </c>
      <c r="H22" s="129">
        <v>296.14999999999998</v>
      </c>
      <c r="I22" s="129">
        <v>18.600000000000001</v>
      </c>
      <c r="J22" s="131">
        <v>100.9</v>
      </c>
      <c r="K22" s="132">
        <v>46259.881932870368</v>
      </c>
      <c r="L22" s="128">
        <v>1</v>
      </c>
    </row>
    <row r="23" spans="1:12" s="128" customFormat="1" x14ac:dyDescent="0.25">
      <c r="A23" s="227"/>
      <c r="B23" s="129" t="s">
        <v>172</v>
      </c>
      <c r="C23" s="129" t="s">
        <v>170</v>
      </c>
      <c r="D23" s="129">
        <v>3</v>
      </c>
      <c r="E23" s="130">
        <v>7.7510000000000003</v>
      </c>
      <c r="F23" s="133">
        <v>2134754</v>
      </c>
      <c r="G23" s="129">
        <v>37.56</v>
      </c>
      <c r="H23" s="129">
        <v>452.84</v>
      </c>
      <c r="I23" s="129">
        <v>37.200000000000003</v>
      </c>
      <c r="J23" s="131">
        <v>101</v>
      </c>
      <c r="K23" s="132">
        <v>46259.894895833335</v>
      </c>
      <c r="L23" s="128">
        <v>1</v>
      </c>
    </row>
    <row r="24" spans="1:12" s="128" customFormat="1" x14ac:dyDescent="0.25">
      <c r="A24" s="227"/>
      <c r="B24" s="129" t="s">
        <v>173</v>
      </c>
      <c r="C24" s="129" t="s">
        <v>170</v>
      </c>
      <c r="D24" s="133">
        <v>4</v>
      </c>
      <c r="E24" s="130">
        <v>7.7530000000000001</v>
      </c>
      <c r="F24" s="133">
        <v>3153886</v>
      </c>
      <c r="G24" s="129">
        <v>55.5</v>
      </c>
      <c r="H24" s="129">
        <v>529.14</v>
      </c>
      <c r="I24" s="129">
        <v>55.8</v>
      </c>
      <c r="J24" s="131">
        <v>99.5</v>
      </c>
      <c r="K24" s="132">
        <v>46259.907870370371</v>
      </c>
      <c r="L24" s="128">
        <v>1</v>
      </c>
    </row>
    <row r="25" spans="1:12" s="128" customFormat="1" x14ac:dyDescent="0.25">
      <c r="A25" s="227"/>
      <c r="B25" s="129" t="s">
        <v>174</v>
      </c>
      <c r="C25" s="129" t="s">
        <v>170</v>
      </c>
      <c r="D25" s="133">
        <v>5</v>
      </c>
      <c r="E25" s="130">
        <v>7.75</v>
      </c>
      <c r="F25" s="133">
        <v>4173039</v>
      </c>
      <c r="G25" s="129">
        <v>73.45</v>
      </c>
      <c r="H25" s="129">
        <v>644.27</v>
      </c>
      <c r="I25" s="129">
        <v>74.41</v>
      </c>
      <c r="J25" s="131">
        <v>98.7</v>
      </c>
      <c r="K25" s="132">
        <v>46259.920844907407</v>
      </c>
      <c r="L25" s="128">
        <v>1</v>
      </c>
    </row>
    <row r="26" spans="1:12" x14ac:dyDescent="0.25">
      <c r="A26" s="227"/>
      <c r="B26" s="228" t="s">
        <v>178</v>
      </c>
      <c r="C26" s="228" t="s">
        <v>153</v>
      </c>
      <c r="D26" s="232">
        <v>0</v>
      </c>
      <c r="E26" s="229" t="s">
        <v>154</v>
      </c>
      <c r="F26" s="228" t="s">
        <v>154</v>
      </c>
      <c r="G26" s="228" t="s">
        <v>154</v>
      </c>
      <c r="H26" s="228" t="s">
        <v>154</v>
      </c>
      <c r="I26" s="228" t="s">
        <v>154</v>
      </c>
      <c r="J26" s="230" t="s">
        <v>154</v>
      </c>
      <c r="K26" s="231">
        <v>46259.933807870373</v>
      </c>
      <c r="L26" s="225">
        <v>1</v>
      </c>
    </row>
    <row r="27" spans="1:12" x14ac:dyDescent="0.25">
      <c r="A27" s="227"/>
      <c r="B27" s="228" t="s">
        <v>179</v>
      </c>
      <c r="C27" s="228" t="s">
        <v>153</v>
      </c>
      <c r="D27" s="232">
        <v>0</v>
      </c>
      <c r="E27" s="229">
        <v>7.7530000000000001</v>
      </c>
      <c r="F27" s="232">
        <v>2151545</v>
      </c>
      <c r="G27" s="228">
        <v>37.85</v>
      </c>
      <c r="H27" s="228">
        <v>497.73</v>
      </c>
      <c r="I27" s="228" t="s">
        <v>154</v>
      </c>
      <c r="J27" s="230" t="s">
        <v>154</v>
      </c>
      <c r="K27" s="231">
        <v>46259.946782407409</v>
      </c>
      <c r="L27" s="225">
        <v>1</v>
      </c>
    </row>
    <row r="28" spans="1:12" x14ac:dyDescent="0.25">
      <c r="A28" s="227"/>
      <c r="B28" s="228" t="s">
        <v>180</v>
      </c>
      <c r="C28" s="228" t="s">
        <v>153</v>
      </c>
      <c r="D28" s="232">
        <v>0</v>
      </c>
      <c r="E28" s="229">
        <v>7.7409999999999997</v>
      </c>
      <c r="F28" s="232">
        <v>2142674</v>
      </c>
      <c r="G28" s="228">
        <v>37.700000000000003</v>
      </c>
      <c r="H28" s="228">
        <v>447.7</v>
      </c>
      <c r="I28" s="228" t="s">
        <v>154</v>
      </c>
      <c r="J28" s="230" t="s">
        <v>154</v>
      </c>
      <c r="K28" s="231">
        <v>46259.959756944445</v>
      </c>
      <c r="L28" s="225">
        <v>1</v>
      </c>
    </row>
    <row r="29" spans="1:12" x14ac:dyDescent="0.25">
      <c r="A29" s="227"/>
      <c r="B29" s="228" t="s">
        <v>181</v>
      </c>
      <c r="C29" s="228" t="s">
        <v>153</v>
      </c>
      <c r="D29" s="232">
        <v>0</v>
      </c>
      <c r="E29" s="229" t="s">
        <v>154</v>
      </c>
      <c r="F29" s="228" t="s">
        <v>154</v>
      </c>
      <c r="G29" s="228" t="s">
        <v>154</v>
      </c>
      <c r="H29" s="228" t="s">
        <v>154</v>
      </c>
      <c r="I29" s="228" t="s">
        <v>154</v>
      </c>
      <c r="J29" s="230" t="s">
        <v>154</v>
      </c>
      <c r="K29" s="231">
        <v>46259.972719907404</v>
      </c>
      <c r="L29" s="225">
        <v>1</v>
      </c>
    </row>
    <row r="30" spans="1:12" s="128" customFormat="1" x14ac:dyDescent="0.25">
      <c r="A30" s="227"/>
      <c r="B30" s="129" t="s">
        <v>194</v>
      </c>
      <c r="C30" s="129" t="s">
        <v>153</v>
      </c>
      <c r="D30" s="133">
        <v>0</v>
      </c>
      <c r="E30" s="130" t="s">
        <v>154</v>
      </c>
      <c r="F30" s="129" t="s">
        <v>154</v>
      </c>
      <c r="G30" s="129" t="s">
        <v>154</v>
      </c>
      <c r="H30" s="129" t="s">
        <v>154</v>
      </c>
      <c r="I30" s="129" t="s">
        <v>154</v>
      </c>
      <c r="J30" s="131" t="s">
        <v>154</v>
      </c>
      <c r="K30" s="132">
        <v>46259.985671296294</v>
      </c>
      <c r="L30" s="128">
        <v>1</v>
      </c>
    </row>
    <row r="31" spans="1:12" s="128" customFormat="1" x14ac:dyDescent="0.25">
      <c r="A31" s="227"/>
      <c r="B31" s="129" t="s">
        <v>195</v>
      </c>
      <c r="C31" s="129" t="s">
        <v>153</v>
      </c>
      <c r="D31" s="133">
        <v>0</v>
      </c>
      <c r="E31" s="130" t="s">
        <v>154</v>
      </c>
      <c r="F31" s="129" t="s">
        <v>154</v>
      </c>
      <c r="G31" s="129" t="s">
        <v>154</v>
      </c>
      <c r="H31" s="129" t="s">
        <v>154</v>
      </c>
      <c r="I31" s="129" t="s">
        <v>154</v>
      </c>
      <c r="J31" s="131" t="s">
        <v>154</v>
      </c>
      <c r="K31" s="132">
        <v>46259.99863425926</v>
      </c>
      <c r="L31" s="128">
        <v>1</v>
      </c>
    </row>
    <row r="32" spans="1:12" s="128" customFormat="1" x14ac:dyDescent="0.25">
      <c r="A32" s="227"/>
      <c r="B32" s="129" t="s">
        <v>196</v>
      </c>
      <c r="C32" s="129" t="s">
        <v>153</v>
      </c>
      <c r="D32" s="133">
        <v>0</v>
      </c>
      <c r="E32" s="130" t="s">
        <v>154</v>
      </c>
      <c r="F32" s="129" t="s">
        <v>154</v>
      </c>
      <c r="G32" s="129" t="s">
        <v>154</v>
      </c>
      <c r="H32" s="129" t="s">
        <v>154</v>
      </c>
      <c r="I32" s="129" t="s">
        <v>154</v>
      </c>
      <c r="J32" s="131" t="s">
        <v>154</v>
      </c>
      <c r="K32" s="132">
        <v>46260.011597222219</v>
      </c>
      <c r="L32" s="128">
        <v>1</v>
      </c>
    </row>
    <row r="33" spans="1:12" s="128" customFormat="1" x14ac:dyDescent="0.25">
      <c r="A33" s="227"/>
      <c r="B33" s="129" t="s">
        <v>197</v>
      </c>
      <c r="C33" s="129" t="s">
        <v>153</v>
      </c>
      <c r="D33" s="133">
        <v>0</v>
      </c>
      <c r="E33" s="130">
        <v>7.7320000000000002</v>
      </c>
      <c r="F33" s="133">
        <v>87586</v>
      </c>
      <c r="G33" s="129">
        <v>1.51</v>
      </c>
      <c r="H33" s="129">
        <v>74.39</v>
      </c>
      <c r="I33" s="129" t="s">
        <v>154</v>
      </c>
      <c r="J33" s="131" t="s">
        <v>154</v>
      </c>
      <c r="K33" s="132">
        <v>46260.024548611109</v>
      </c>
      <c r="L33" s="128">
        <v>1</v>
      </c>
    </row>
    <row r="34" spans="1:12" s="128" customFormat="1" x14ac:dyDescent="0.25">
      <c r="A34" s="227"/>
      <c r="B34" s="129" t="s">
        <v>198</v>
      </c>
      <c r="C34" s="129" t="s">
        <v>153</v>
      </c>
      <c r="D34" s="133">
        <v>0</v>
      </c>
      <c r="E34" s="130">
        <v>7.7290000000000001</v>
      </c>
      <c r="F34" s="133">
        <v>86857</v>
      </c>
      <c r="G34" s="129">
        <v>1.5</v>
      </c>
      <c r="H34" s="129">
        <v>104.58</v>
      </c>
      <c r="I34" s="129" t="s">
        <v>154</v>
      </c>
      <c r="J34" s="131" t="s">
        <v>154</v>
      </c>
      <c r="K34" s="132">
        <v>46260.037523148145</v>
      </c>
      <c r="L34" s="128">
        <v>1</v>
      </c>
    </row>
    <row r="35" spans="1:12" s="128" customFormat="1" x14ac:dyDescent="0.25">
      <c r="A35" s="227"/>
      <c r="B35" s="129" t="s">
        <v>199</v>
      </c>
      <c r="C35" s="129" t="s">
        <v>153</v>
      </c>
      <c r="D35" s="133">
        <v>0</v>
      </c>
      <c r="E35" s="130">
        <v>7.7309999999999999</v>
      </c>
      <c r="F35" s="133">
        <v>88163</v>
      </c>
      <c r="G35" s="129">
        <v>1.52</v>
      </c>
      <c r="H35" s="129">
        <v>54.63</v>
      </c>
      <c r="I35" s="129" t="s">
        <v>154</v>
      </c>
      <c r="J35" s="131" t="s">
        <v>154</v>
      </c>
      <c r="K35" s="132">
        <v>46260.050474537034</v>
      </c>
      <c r="L35" s="128">
        <v>1</v>
      </c>
    </row>
    <row r="36" spans="1:12" x14ac:dyDescent="0.25">
      <c r="A36" s="227"/>
      <c r="B36" s="228" t="s">
        <v>193</v>
      </c>
      <c r="C36" s="228" t="s">
        <v>153</v>
      </c>
      <c r="D36" s="232">
        <v>0</v>
      </c>
      <c r="E36" s="229" t="s">
        <v>154</v>
      </c>
      <c r="F36" s="228" t="s">
        <v>154</v>
      </c>
      <c r="G36" s="228" t="s">
        <v>154</v>
      </c>
      <c r="H36" s="228" t="s">
        <v>154</v>
      </c>
      <c r="I36" s="228" t="s">
        <v>154</v>
      </c>
      <c r="J36" s="230" t="s">
        <v>154</v>
      </c>
      <c r="K36" s="231">
        <v>46260.063460648147</v>
      </c>
      <c r="L36" s="225">
        <v>1</v>
      </c>
    </row>
    <row r="37" spans="1:12" x14ac:dyDescent="0.25">
      <c r="A37" s="227"/>
      <c r="B37" s="228" t="s">
        <v>191</v>
      </c>
      <c r="C37" s="228" t="s">
        <v>153</v>
      </c>
      <c r="D37" s="232">
        <v>0</v>
      </c>
      <c r="E37" s="229">
        <v>7.7249999999999996</v>
      </c>
      <c r="F37" s="232">
        <v>2113714</v>
      </c>
      <c r="G37" s="228">
        <v>37.19</v>
      </c>
      <c r="H37" s="228">
        <v>517.04</v>
      </c>
      <c r="I37" s="228" t="s">
        <v>154</v>
      </c>
      <c r="J37" s="230" t="s">
        <v>154</v>
      </c>
      <c r="K37" s="231">
        <v>46260.076458333337</v>
      </c>
      <c r="L37" s="225">
        <v>1</v>
      </c>
    </row>
    <row r="38" spans="1:12" x14ac:dyDescent="0.25">
      <c r="A38" s="227"/>
      <c r="B38" s="228" t="s">
        <v>192</v>
      </c>
      <c r="C38" s="228" t="s">
        <v>153</v>
      </c>
      <c r="D38" s="232">
        <v>0</v>
      </c>
      <c r="E38" s="229">
        <v>7.7329999999999997</v>
      </c>
      <c r="F38" s="232">
        <v>2094364</v>
      </c>
      <c r="G38" s="228">
        <v>36.85</v>
      </c>
      <c r="H38" s="228">
        <v>452.51</v>
      </c>
      <c r="I38" s="228" t="s">
        <v>154</v>
      </c>
      <c r="J38" s="230" t="s">
        <v>154</v>
      </c>
      <c r="K38" s="231">
        <v>46260.089444444442</v>
      </c>
      <c r="L38" s="225">
        <v>1</v>
      </c>
    </row>
    <row r="39" spans="1:12" s="128" customFormat="1" x14ac:dyDescent="0.25">
      <c r="A39" s="227"/>
      <c r="B39" s="129" t="s">
        <v>201</v>
      </c>
      <c r="C39" s="129" t="s">
        <v>153</v>
      </c>
      <c r="D39" s="133">
        <v>0</v>
      </c>
      <c r="E39" s="130">
        <v>7.726</v>
      </c>
      <c r="F39" s="133">
        <v>2132887</v>
      </c>
      <c r="G39" s="129">
        <v>37.53</v>
      </c>
      <c r="H39" s="129">
        <v>488.46</v>
      </c>
      <c r="I39" s="129" t="s">
        <v>154</v>
      </c>
      <c r="J39" s="131" t="s">
        <v>154</v>
      </c>
      <c r="K39" s="132">
        <v>46260.102418981478</v>
      </c>
      <c r="L39" s="128">
        <v>1</v>
      </c>
    </row>
    <row r="40" spans="1:12" s="128" customFormat="1" x14ac:dyDescent="0.25">
      <c r="A40" s="227"/>
      <c r="B40" s="129" t="s">
        <v>202</v>
      </c>
      <c r="C40" s="129" t="s">
        <v>153</v>
      </c>
      <c r="D40" s="129">
        <v>0</v>
      </c>
      <c r="E40" s="130">
        <v>7.73</v>
      </c>
      <c r="F40" s="133">
        <v>2096780</v>
      </c>
      <c r="G40" s="129">
        <v>36.89</v>
      </c>
      <c r="H40" s="129">
        <v>381.32</v>
      </c>
      <c r="I40" s="129" t="s">
        <v>154</v>
      </c>
      <c r="J40" s="131" t="s">
        <v>154</v>
      </c>
      <c r="K40" s="132">
        <v>46260.115393518521</v>
      </c>
      <c r="L40" s="128">
        <v>1</v>
      </c>
    </row>
    <row r="41" spans="1:12" s="128" customFormat="1" x14ac:dyDescent="0.25">
      <c r="A41" s="227"/>
      <c r="B41" s="129" t="s">
        <v>203</v>
      </c>
      <c r="C41" s="129" t="s">
        <v>153</v>
      </c>
      <c r="D41" s="133">
        <v>0</v>
      </c>
      <c r="E41" s="130">
        <v>7.7359999999999998</v>
      </c>
      <c r="F41" s="133">
        <v>2093264</v>
      </c>
      <c r="G41" s="129">
        <v>36.83</v>
      </c>
      <c r="H41" s="129">
        <v>424.92</v>
      </c>
      <c r="I41" s="129" t="s">
        <v>154</v>
      </c>
      <c r="J41" s="131" t="s">
        <v>154</v>
      </c>
      <c r="K41" s="132">
        <v>46260.128368055557</v>
      </c>
      <c r="L41" s="128">
        <v>1</v>
      </c>
    </row>
    <row r="42" spans="1:12" x14ac:dyDescent="0.25">
      <c r="A42" s="227"/>
      <c r="B42" s="228" t="s">
        <v>204</v>
      </c>
      <c r="C42" s="228" t="s">
        <v>153</v>
      </c>
      <c r="D42" s="232">
        <v>0</v>
      </c>
      <c r="E42" s="229">
        <v>7.7350000000000003</v>
      </c>
      <c r="F42" s="232">
        <v>2101937</v>
      </c>
      <c r="G42" s="228">
        <v>36.979999999999997</v>
      </c>
      <c r="H42" s="228">
        <v>537.86</v>
      </c>
      <c r="I42" s="228" t="s">
        <v>154</v>
      </c>
      <c r="J42" s="230" t="s">
        <v>154</v>
      </c>
      <c r="K42" s="231">
        <v>46260.141319444447</v>
      </c>
      <c r="L42" s="225">
        <v>1</v>
      </c>
    </row>
    <row r="43" spans="1:12" x14ac:dyDescent="0.25">
      <c r="A43" s="227"/>
      <c r="B43" s="228" t="s">
        <v>205</v>
      </c>
      <c r="C43" s="228" t="s">
        <v>153</v>
      </c>
      <c r="D43" s="232">
        <v>0</v>
      </c>
      <c r="E43" s="229">
        <v>7.7380000000000004</v>
      </c>
      <c r="F43" s="232">
        <v>2118744</v>
      </c>
      <c r="G43" s="228">
        <v>37.28</v>
      </c>
      <c r="H43" s="228">
        <v>406.11</v>
      </c>
      <c r="I43" s="228" t="s">
        <v>154</v>
      </c>
      <c r="J43" s="230" t="s">
        <v>154</v>
      </c>
      <c r="K43" s="231">
        <v>46260.154282407406</v>
      </c>
      <c r="L43" s="225">
        <v>1</v>
      </c>
    </row>
    <row r="44" spans="1:12" x14ac:dyDescent="0.25">
      <c r="A44" s="227"/>
      <c r="B44" s="228" t="s">
        <v>206</v>
      </c>
      <c r="C44" s="228" t="s">
        <v>153</v>
      </c>
      <c r="D44" s="232">
        <v>0</v>
      </c>
      <c r="E44" s="229">
        <v>7.7389999999999999</v>
      </c>
      <c r="F44" s="232">
        <v>2093530</v>
      </c>
      <c r="G44" s="228">
        <v>36.83</v>
      </c>
      <c r="H44" s="228">
        <v>426.32</v>
      </c>
      <c r="I44" s="228" t="s">
        <v>154</v>
      </c>
      <c r="J44" s="230" t="s">
        <v>154</v>
      </c>
      <c r="K44" s="231">
        <v>46260.167256944442</v>
      </c>
      <c r="L44" s="225">
        <v>1</v>
      </c>
    </row>
    <row r="45" spans="1:12" x14ac:dyDescent="0.25">
      <c r="A45" s="227"/>
      <c r="B45" s="228" t="s">
        <v>200</v>
      </c>
      <c r="C45" s="228" t="s">
        <v>153</v>
      </c>
      <c r="D45" s="232">
        <v>0</v>
      </c>
      <c r="E45" s="229" t="s">
        <v>154</v>
      </c>
      <c r="F45" s="228" t="s">
        <v>154</v>
      </c>
      <c r="G45" s="228" t="s">
        <v>154</v>
      </c>
      <c r="H45" s="228" t="s">
        <v>154</v>
      </c>
      <c r="I45" s="228" t="s">
        <v>154</v>
      </c>
      <c r="J45" s="230" t="s">
        <v>154</v>
      </c>
      <c r="K45" s="231">
        <v>46260.180243055554</v>
      </c>
      <c r="L45" s="225">
        <v>1</v>
      </c>
    </row>
    <row r="46" spans="1:12" s="128" customFormat="1" x14ac:dyDescent="0.25">
      <c r="A46" s="227"/>
      <c r="B46" s="129" t="s">
        <v>208</v>
      </c>
      <c r="C46" s="129" t="s">
        <v>153</v>
      </c>
      <c r="D46" s="133">
        <v>0</v>
      </c>
      <c r="E46" s="130">
        <v>7.7409999999999997</v>
      </c>
      <c r="F46" s="133">
        <v>3097044</v>
      </c>
      <c r="G46" s="129">
        <v>54.5</v>
      </c>
      <c r="H46" s="129">
        <v>522.5</v>
      </c>
      <c r="I46" s="129" t="s">
        <v>154</v>
      </c>
      <c r="J46" s="131" t="s">
        <v>154</v>
      </c>
      <c r="K46" s="132">
        <v>46260.193206018521</v>
      </c>
      <c r="L46" s="128">
        <v>1</v>
      </c>
    </row>
    <row r="47" spans="1:12" s="128" customFormat="1" x14ac:dyDescent="0.25">
      <c r="A47" s="227"/>
      <c r="B47" s="129" t="s">
        <v>209</v>
      </c>
      <c r="C47" s="129" t="s">
        <v>153</v>
      </c>
      <c r="D47" s="133">
        <v>0</v>
      </c>
      <c r="E47" s="130">
        <v>7.7389999999999999</v>
      </c>
      <c r="F47" s="133">
        <v>3073930</v>
      </c>
      <c r="G47" s="129">
        <v>54.09</v>
      </c>
      <c r="H47" s="129">
        <v>525.66999999999996</v>
      </c>
      <c r="I47" s="129" t="s">
        <v>154</v>
      </c>
      <c r="J47" s="131" t="s">
        <v>154</v>
      </c>
      <c r="K47" s="132">
        <v>46260.206203703703</v>
      </c>
      <c r="L47" s="128">
        <v>1</v>
      </c>
    </row>
    <row r="48" spans="1:12" s="128" customFormat="1" x14ac:dyDescent="0.25">
      <c r="A48" s="227"/>
      <c r="B48" s="129" t="s">
        <v>210</v>
      </c>
      <c r="C48" s="129" t="s">
        <v>153</v>
      </c>
      <c r="D48" s="133">
        <v>0</v>
      </c>
      <c r="E48" s="130">
        <v>7.7409999999999997</v>
      </c>
      <c r="F48" s="133">
        <v>3076122</v>
      </c>
      <c r="G48" s="129">
        <v>54.13</v>
      </c>
      <c r="H48" s="129">
        <v>563.30999999999995</v>
      </c>
      <c r="I48" s="129" t="s">
        <v>154</v>
      </c>
      <c r="J48" s="131" t="s">
        <v>154</v>
      </c>
      <c r="K48" s="132">
        <v>46260.219155092593</v>
      </c>
      <c r="L48" s="128">
        <v>1</v>
      </c>
    </row>
    <row r="49" spans="1:12" x14ac:dyDescent="0.25">
      <c r="A49" s="227"/>
      <c r="B49" s="228" t="s">
        <v>207</v>
      </c>
      <c r="C49" s="228" t="s">
        <v>153</v>
      </c>
      <c r="D49" s="232">
        <v>0</v>
      </c>
      <c r="E49" s="229" t="s">
        <v>154</v>
      </c>
      <c r="F49" s="228" t="s">
        <v>154</v>
      </c>
      <c r="G49" s="228" t="s">
        <v>154</v>
      </c>
      <c r="H49" s="228" t="s">
        <v>154</v>
      </c>
      <c r="I49" s="228" t="s">
        <v>154</v>
      </c>
      <c r="J49" s="230" t="s">
        <v>154</v>
      </c>
      <c r="K49" s="231">
        <v>46260.232129629629</v>
      </c>
      <c r="L49" s="225">
        <v>1</v>
      </c>
    </row>
    <row r="50" spans="1:12" x14ac:dyDescent="0.25">
      <c r="A50" s="227"/>
      <c r="B50" s="228" t="s">
        <v>212</v>
      </c>
      <c r="C50" s="228" t="s">
        <v>153</v>
      </c>
      <c r="D50" s="232">
        <v>0</v>
      </c>
      <c r="E50" s="229">
        <v>7.7409999999999997</v>
      </c>
      <c r="F50" s="232">
        <v>2063643</v>
      </c>
      <c r="G50" s="228">
        <v>36.31</v>
      </c>
      <c r="H50" s="228">
        <v>536.42999999999995</v>
      </c>
      <c r="I50" s="228" t="s">
        <v>154</v>
      </c>
      <c r="J50" s="230" t="s">
        <v>154</v>
      </c>
      <c r="K50" s="231">
        <v>46260.245104166665</v>
      </c>
      <c r="L50" s="225">
        <v>1</v>
      </c>
    </row>
    <row r="51" spans="1:12" x14ac:dyDescent="0.25">
      <c r="A51" s="227"/>
      <c r="B51" s="228" t="s">
        <v>213</v>
      </c>
      <c r="C51" s="228" t="s">
        <v>153</v>
      </c>
      <c r="D51" s="232">
        <v>0</v>
      </c>
      <c r="E51" s="229">
        <v>7.734</v>
      </c>
      <c r="F51" s="232">
        <v>2050535</v>
      </c>
      <c r="G51" s="228">
        <v>36.08</v>
      </c>
      <c r="H51" s="228">
        <v>499.74</v>
      </c>
      <c r="I51" s="228" t="s">
        <v>154</v>
      </c>
      <c r="J51" s="230" t="s">
        <v>154</v>
      </c>
      <c r="K51" s="231">
        <v>46260.258090277777</v>
      </c>
      <c r="L51" s="225">
        <v>1</v>
      </c>
    </row>
    <row r="52" spans="1:12" x14ac:dyDescent="0.25">
      <c r="A52" s="227"/>
      <c r="B52" s="228" t="s">
        <v>211</v>
      </c>
      <c r="C52" s="228" t="s">
        <v>153</v>
      </c>
      <c r="D52" s="232">
        <v>0</v>
      </c>
      <c r="E52" s="229" t="s">
        <v>154</v>
      </c>
      <c r="F52" s="228" t="s">
        <v>154</v>
      </c>
      <c r="G52" s="228" t="s">
        <v>154</v>
      </c>
      <c r="H52" s="228" t="s">
        <v>154</v>
      </c>
      <c r="I52" s="228" t="s">
        <v>154</v>
      </c>
      <c r="J52" s="230" t="s">
        <v>154</v>
      </c>
      <c r="K52" s="231">
        <v>46260.271041666667</v>
      </c>
      <c r="L52" s="225">
        <v>1</v>
      </c>
    </row>
    <row r="53" spans="1:12" s="128" customFormat="1" ht="13.5" customHeight="1" x14ac:dyDescent="0.25">
      <c r="A53" s="227"/>
      <c r="B53" s="129" t="s">
        <v>182</v>
      </c>
      <c r="C53" s="129" t="s">
        <v>153</v>
      </c>
      <c r="D53" s="133">
        <v>0</v>
      </c>
      <c r="E53" s="130">
        <v>7.7320000000000002</v>
      </c>
      <c r="F53" s="133">
        <v>42043</v>
      </c>
      <c r="G53" s="129">
        <v>0.71</v>
      </c>
      <c r="H53" s="129">
        <v>58.48</v>
      </c>
      <c r="I53" s="129" t="s">
        <v>154</v>
      </c>
      <c r="J53" s="131" t="s">
        <v>154</v>
      </c>
      <c r="K53" s="132">
        <v>46260.284016203703</v>
      </c>
      <c r="L53" s="128">
        <v>1</v>
      </c>
    </row>
    <row r="54" spans="1:12" s="128" customFormat="1" x14ac:dyDescent="0.25">
      <c r="A54" s="227"/>
      <c r="B54" s="129" t="s">
        <v>183</v>
      </c>
      <c r="C54" s="129" t="s">
        <v>153</v>
      </c>
      <c r="D54" s="133">
        <v>0</v>
      </c>
      <c r="E54" s="130">
        <v>7.7460000000000004</v>
      </c>
      <c r="F54" s="133">
        <v>44323</v>
      </c>
      <c r="G54" s="129">
        <v>0.75</v>
      </c>
      <c r="H54" s="129">
        <v>57.26</v>
      </c>
      <c r="I54" s="129" t="s">
        <v>154</v>
      </c>
      <c r="J54" s="131" t="s">
        <v>154</v>
      </c>
      <c r="K54" s="132">
        <v>46260.296979166669</v>
      </c>
      <c r="L54" s="128">
        <v>1</v>
      </c>
    </row>
    <row r="55" spans="1:12" s="128" customFormat="1" x14ac:dyDescent="0.25">
      <c r="A55" s="227"/>
      <c r="B55" s="129" t="s">
        <v>184</v>
      </c>
      <c r="C55" s="129" t="s">
        <v>153</v>
      </c>
      <c r="D55" s="133">
        <v>0</v>
      </c>
      <c r="E55" s="130">
        <v>7.7389999999999999</v>
      </c>
      <c r="F55" s="133">
        <v>42949</v>
      </c>
      <c r="G55" s="129">
        <v>0.73</v>
      </c>
      <c r="H55" s="129">
        <v>64.83</v>
      </c>
      <c r="I55" s="129" t="s">
        <v>154</v>
      </c>
      <c r="J55" s="131" t="s">
        <v>154</v>
      </c>
      <c r="K55" s="132">
        <v>46260.309953703705</v>
      </c>
      <c r="L55" s="128">
        <v>1</v>
      </c>
    </row>
    <row r="56" spans="1:12" s="128" customFormat="1" x14ac:dyDescent="0.25">
      <c r="A56" s="227"/>
      <c r="B56" s="129" t="s">
        <v>185</v>
      </c>
      <c r="C56" s="129" t="s">
        <v>153</v>
      </c>
      <c r="D56" s="133">
        <v>0</v>
      </c>
      <c r="E56" s="130">
        <v>7.7290000000000001</v>
      </c>
      <c r="F56" s="133">
        <v>86722</v>
      </c>
      <c r="G56" s="129">
        <v>1.5</v>
      </c>
      <c r="H56" s="129">
        <v>100.16</v>
      </c>
      <c r="I56" s="129" t="s">
        <v>154</v>
      </c>
      <c r="J56" s="131" t="s">
        <v>154</v>
      </c>
      <c r="K56" s="132">
        <v>46260.322928240741</v>
      </c>
      <c r="L56" s="128">
        <v>1</v>
      </c>
    </row>
    <row r="57" spans="1:12" s="128" customFormat="1" x14ac:dyDescent="0.25">
      <c r="A57" s="227"/>
      <c r="B57" s="129" t="s">
        <v>186</v>
      </c>
      <c r="C57" s="129" t="s">
        <v>153</v>
      </c>
      <c r="D57" s="133">
        <v>0</v>
      </c>
      <c r="E57" s="130">
        <v>7.726</v>
      </c>
      <c r="F57" s="133">
        <v>84267</v>
      </c>
      <c r="G57" s="129">
        <v>1.46</v>
      </c>
      <c r="H57" s="129">
        <v>100.88</v>
      </c>
      <c r="I57" s="129" t="s">
        <v>154</v>
      </c>
      <c r="J57" s="131" t="s">
        <v>154</v>
      </c>
      <c r="K57" s="132">
        <v>46260.3358912037</v>
      </c>
      <c r="L57" s="128">
        <v>1</v>
      </c>
    </row>
    <row r="58" spans="1:12" s="128" customFormat="1" x14ac:dyDescent="0.25">
      <c r="A58" s="227"/>
      <c r="B58" s="129" t="s">
        <v>187</v>
      </c>
      <c r="C58" s="129" t="s">
        <v>153</v>
      </c>
      <c r="D58" s="133">
        <v>0</v>
      </c>
      <c r="E58" s="130">
        <v>7.7359999999999998</v>
      </c>
      <c r="F58" s="133">
        <v>84680</v>
      </c>
      <c r="G58" s="129">
        <v>1.46</v>
      </c>
      <c r="H58" s="129">
        <v>116.81</v>
      </c>
      <c r="I58" s="129" t="s">
        <v>154</v>
      </c>
      <c r="J58" s="131" t="s">
        <v>154</v>
      </c>
      <c r="K58" s="132">
        <v>46260.348854166667</v>
      </c>
      <c r="L58" s="128">
        <v>1</v>
      </c>
    </row>
    <row r="59" spans="1:12" s="128" customFormat="1" x14ac:dyDescent="0.25">
      <c r="A59" s="227"/>
      <c r="B59" s="129" t="s">
        <v>188</v>
      </c>
      <c r="C59" s="129" t="s">
        <v>153</v>
      </c>
      <c r="D59" s="133">
        <v>0</v>
      </c>
      <c r="E59" s="130">
        <v>7.742</v>
      </c>
      <c r="F59" s="133">
        <v>85030</v>
      </c>
      <c r="G59" s="129">
        <v>1.47</v>
      </c>
      <c r="H59" s="129">
        <v>74.16</v>
      </c>
      <c r="I59" s="129" t="s">
        <v>154</v>
      </c>
      <c r="J59" s="131" t="s">
        <v>154</v>
      </c>
      <c r="K59" s="132">
        <v>46260.361805555556</v>
      </c>
      <c r="L59" s="128">
        <v>1</v>
      </c>
    </row>
    <row r="60" spans="1:12" s="128" customFormat="1" x14ac:dyDescent="0.25">
      <c r="A60" s="227"/>
      <c r="B60" s="129" t="s">
        <v>189</v>
      </c>
      <c r="C60" s="129" t="s">
        <v>153</v>
      </c>
      <c r="D60" s="133">
        <v>0</v>
      </c>
      <c r="E60" s="130">
        <v>7.74</v>
      </c>
      <c r="F60" s="133">
        <v>86175</v>
      </c>
      <c r="G60" s="129">
        <v>1.49</v>
      </c>
      <c r="H60" s="129">
        <v>98.42</v>
      </c>
      <c r="I60" s="129" t="s">
        <v>154</v>
      </c>
      <c r="J60" s="131" t="s">
        <v>154</v>
      </c>
      <c r="K60" s="132">
        <v>46260.374768518515</v>
      </c>
      <c r="L60" s="128">
        <v>1</v>
      </c>
    </row>
    <row r="61" spans="1:12" s="128" customFormat="1" x14ac:dyDescent="0.25">
      <c r="A61" s="227"/>
      <c r="B61" s="129" t="s">
        <v>190</v>
      </c>
      <c r="C61" s="129" t="s">
        <v>153</v>
      </c>
      <c r="D61" s="133">
        <v>0</v>
      </c>
      <c r="E61" s="130">
        <v>7.7560000000000002</v>
      </c>
      <c r="F61" s="133">
        <v>85360</v>
      </c>
      <c r="G61" s="129">
        <v>1.48</v>
      </c>
      <c r="H61" s="129">
        <v>98.82</v>
      </c>
      <c r="I61" s="129" t="s">
        <v>154</v>
      </c>
      <c r="J61" s="131" t="s">
        <v>154</v>
      </c>
      <c r="K61" s="132">
        <v>46260.387743055559</v>
      </c>
      <c r="L61" s="128">
        <v>1</v>
      </c>
    </row>
    <row r="62" spans="1:12" x14ac:dyDescent="0.25">
      <c r="A62" s="227"/>
      <c r="B62" s="228" t="s">
        <v>214</v>
      </c>
      <c r="C62" s="228" t="s">
        <v>153</v>
      </c>
      <c r="D62" s="232">
        <v>0</v>
      </c>
      <c r="E62" s="229">
        <v>7.7380000000000004</v>
      </c>
      <c r="F62" s="232">
        <v>2045973</v>
      </c>
      <c r="G62" s="228">
        <v>35.99</v>
      </c>
      <c r="H62" s="228">
        <v>424.14</v>
      </c>
      <c r="I62" s="228" t="s">
        <v>154</v>
      </c>
      <c r="J62" s="230" t="s">
        <v>154</v>
      </c>
      <c r="K62" s="231">
        <v>46260.400706018518</v>
      </c>
      <c r="L62" s="225">
        <v>1</v>
      </c>
    </row>
    <row r="63" spans="1:12" x14ac:dyDescent="0.25">
      <c r="A63" s="227"/>
      <c r="B63" s="228" t="s">
        <v>215</v>
      </c>
      <c r="C63" s="228" t="s">
        <v>153</v>
      </c>
      <c r="D63" s="232">
        <v>0</v>
      </c>
      <c r="E63" s="229">
        <v>7.7359999999999998</v>
      </c>
      <c r="F63" s="232">
        <v>2076099</v>
      </c>
      <c r="G63" s="228">
        <v>36.53</v>
      </c>
      <c r="H63" s="228">
        <v>402.13</v>
      </c>
      <c r="I63" s="228" t="s">
        <v>154</v>
      </c>
      <c r="J63" s="230" t="s">
        <v>154</v>
      </c>
      <c r="K63" s="231">
        <v>46260.413668981484</v>
      </c>
      <c r="L63" s="225">
        <v>1</v>
      </c>
    </row>
    <row r="64" spans="1:12" x14ac:dyDescent="0.25">
      <c r="A64" s="234" t="s">
        <v>216</v>
      </c>
      <c r="B64" s="235" t="s">
        <v>145</v>
      </c>
      <c r="C64" s="235" t="s">
        <v>146</v>
      </c>
      <c r="D64" s="235" t="s">
        <v>147</v>
      </c>
      <c r="E64" s="236" t="s">
        <v>148</v>
      </c>
      <c r="F64" s="235" t="s">
        <v>149</v>
      </c>
      <c r="G64" s="235" t="s">
        <v>248</v>
      </c>
      <c r="H64" s="235" t="s">
        <v>249</v>
      </c>
      <c r="I64" s="235" t="s">
        <v>150</v>
      </c>
      <c r="J64" s="237" t="s">
        <v>250</v>
      </c>
      <c r="K64" s="225" t="s">
        <v>251</v>
      </c>
      <c r="L64" s="225" t="s">
        <v>259</v>
      </c>
    </row>
    <row r="65" spans="1:12" x14ac:dyDescent="0.25">
      <c r="A65" s="234"/>
      <c r="B65" s="235" t="s">
        <v>152</v>
      </c>
      <c r="C65" s="235" t="s">
        <v>153</v>
      </c>
      <c r="D65" s="235">
        <v>0</v>
      </c>
      <c r="E65" s="236" t="s">
        <v>154</v>
      </c>
      <c r="F65" s="235" t="s">
        <v>154</v>
      </c>
      <c r="G65" s="235" t="s">
        <v>154</v>
      </c>
      <c r="H65" s="235" t="s">
        <v>154</v>
      </c>
      <c r="I65" s="235" t="s">
        <v>154</v>
      </c>
      <c r="J65" s="237" t="s">
        <v>154</v>
      </c>
      <c r="K65" s="231">
        <v>46260.473761574074</v>
      </c>
      <c r="L65" s="225">
        <v>1</v>
      </c>
    </row>
    <row r="66" spans="1:12" x14ac:dyDescent="0.25">
      <c r="A66" s="234"/>
      <c r="B66" s="235" t="s">
        <v>155</v>
      </c>
      <c r="C66" s="235" t="s">
        <v>153</v>
      </c>
      <c r="D66" s="235">
        <v>0</v>
      </c>
      <c r="E66" s="236" t="s">
        <v>154</v>
      </c>
      <c r="F66" s="235" t="s">
        <v>154</v>
      </c>
      <c r="G66" s="235" t="s">
        <v>154</v>
      </c>
      <c r="H66" s="235" t="s">
        <v>154</v>
      </c>
      <c r="I66" s="235" t="s">
        <v>154</v>
      </c>
      <c r="J66" s="237" t="s">
        <v>154</v>
      </c>
      <c r="K66" s="231">
        <v>46260.486840277779</v>
      </c>
      <c r="L66" s="225">
        <v>1</v>
      </c>
    </row>
    <row r="67" spans="1:12" x14ac:dyDescent="0.25">
      <c r="A67" s="234"/>
      <c r="B67" s="235" t="s">
        <v>156</v>
      </c>
      <c r="C67" s="235" t="s">
        <v>153</v>
      </c>
      <c r="D67" s="235">
        <v>0</v>
      </c>
      <c r="E67" s="236" t="s">
        <v>154</v>
      </c>
      <c r="F67" s="235" t="s">
        <v>154</v>
      </c>
      <c r="G67" s="235" t="s">
        <v>154</v>
      </c>
      <c r="H67" s="235" t="s">
        <v>154</v>
      </c>
      <c r="I67" s="235" t="s">
        <v>154</v>
      </c>
      <c r="J67" s="237" t="s">
        <v>154</v>
      </c>
      <c r="K67" s="231">
        <v>46260.499976851854</v>
      </c>
      <c r="L67" s="225">
        <v>1</v>
      </c>
    </row>
    <row r="68" spans="1:12" x14ac:dyDescent="0.25">
      <c r="A68" s="234"/>
      <c r="B68" s="235" t="s">
        <v>157</v>
      </c>
      <c r="C68" s="235" t="s">
        <v>153</v>
      </c>
      <c r="D68" s="238">
        <v>0</v>
      </c>
      <c r="E68" s="236" t="s">
        <v>154</v>
      </c>
      <c r="F68" s="235" t="s">
        <v>154</v>
      </c>
      <c r="G68" s="235" t="s">
        <v>154</v>
      </c>
      <c r="H68" s="235" t="s">
        <v>154</v>
      </c>
      <c r="I68" s="235" t="s">
        <v>154</v>
      </c>
      <c r="J68" s="237" t="s">
        <v>154</v>
      </c>
      <c r="K68" s="231">
        <v>46260.512986111113</v>
      </c>
      <c r="L68" s="225">
        <v>1</v>
      </c>
    </row>
    <row r="69" spans="1:12" x14ac:dyDescent="0.25">
      <c r="A69" s="234"/>
      <c r="B69" s="235" t="s">
        <v>158</v>
      </c>
      <c r="C69" s="235" t="s">
        <v>153</v>
      </c>
      <c r="D69" s="238">
        <v>0</v>
      </c>
      <c r="E69" s="236" t="s">
        <v>154</v>
      </c>
      <c r="F69" s="235" t="s">
        <v>154</v>
      </c>
      <c r="G69" s="235" t="s">
        <v>154</v>
      </c>
      <c r="H69" s="235" t="s">
        <v>154</v>
      </c>
      <c r="I69" s="235" t="s">
        <v>154</v>
      </c>
      <c r="J69" s="237" t="s">
        <v>154</v>
      </c>
      <c r="K69" s="231">
        <v>46260.526064814818</v>
      </c>
      <c r="L69" s="225">
        <v>1</v>
      </c>
    </row>
    <row r="70" spans="1:12" x14ac:dyDescent="0.25">
      <c r="A70" s="234"/>
      <c r="B70" s="235" t="s">
        <v>159</v>
      </c>
      <c r="C70" s="235" t="s">
        <v>153</v>
      </c>
      <c r="D70" s="238">
        <v>0</v>
      </c>
      <c r="E70" s="236">
        <v>7.7249999999999996</v>
      </c>
      <c r="F70" s="238">
        <v>39342</v>
      </c>
      <c r="G70" s="235">
        <v>0.71</v>
      </c>
      <c r="H70" s="235">
        <v>65.349999999999994</v>
      </c>
      <c r="I70" s="235" t="s">
        <v>154</v>
      </c>
      <c r="J70" s="237" t="s">
        <v>154</v>
      </c>
      <c r="K70" s="231">
        <v>46260.539143518516</v>
      </c>
      <c r="L70" s="225">
        <v>1</v>
      </c>
    </row>
    <row r="71" spans="1:12" x14ac:dyDescent="0.25">
      <c r="A71" s="234"/>
      <c r="B71" s="235" t="s">
        <v>217</v>
      </c>
      <c r="C71" s="235" t="s">
        <v>153</v>
      </c>
      <c r="D71" s="238">
        <v>0</v>
      </c>
      <c r="E71" s="236">
        <v>7.7290000000000001</v>
      </c>
      <c r="F71" s="238">
        <v>40695</v>
      </c>
      <c r="G71" s="235">
        <v>0.74</v>
      </c>
      <c r="H71" s="235">
        <v>35.54</v>
      </c>
      <c r="I71" s="235" t="s">
        <v>154</v>
      </c>
      <c r="J71" s="237" t="s">
        <v>154</v>
      </c>
      <c r="K71" s="231">
        <v>46260.552106481482</v>
      </c>
      <c r="L71" s="225">
        <v>1</v>
      </c>
    </row>
    <row r="72" spans="1:12" x14ac:dyDescent="0.25">
      <c r="A72" s="234"/>
      <c r="B72" s="235" t="s">
        <v>169</v>
      </c>
      <c r="C72" s="235" t="s">
        <v>170</v>
      </c>
      <c r="D72" s="238">
        <v>1</v>
      </c>
      <c r="E72" s="236">
        <v>7.7149999999999999</v>
      </c>
      <c r="F72" s="238">
        <v>80094</v>
      </c>
      <c r="G72" s="235">
        <v>1.5</v>
      </c>
      <c r="H72" s="235">
        <v>125.97</v>
      </c>
      <c r="I72" s="235">
        <v>1.5</v>
      </c>
      <c r="J72" s="237">
        <v>99.8</v>
      </c>
      <c r="K72" s="231">
        <v>46260.565081018518</v>
      </c>
      <c r="L72" s="225">
        <v>1</v>
      </c>
    </row>
    <row r="73" spans="1:12" x14ac:dyDescent="0.25">
      <c r="A73" s="234"/>
      <c r="B73" s="235" t="s">
        <v>171</v>
      </c>
      <c r="C73" s="235" t="s">
        <v>170</v>
      </c>
      <c r="D73" s="238">
        <v>2</v>
      </c>
      <c r="E73" s="236">
        <v>7.7149999999999999</v>
      </c>
      <c r="F73" s="238">
        <v>999704</v>
      </c>
      <c r="G73" s="235">
        <v>19.25</v>
      </c>
      <c r="H73" s="235">
        <v>414.24</v>
      </c>
      <c r="I73" s="235">
        <v>18.72</v>
      </c>
      <c r="J73" s="237">
        <v>102.8</v>
      </c>
      <c r="K73" s="231">
        <v>46260.578055555554</v>
      </c>
      <c r="L73" s="225">
        <v>1</v>
      </c>
    </row>
    <row r="74" spans="1:12" x14ac:dyDescent="0.25">
      <c r="A74" s="234"/>
      <c r="B74" s="235" t="s">
        <v>172</v>
      </c>
      <c r="C74" s="235" t="s">
        <v>170</v>
      </c>
      <c r="D74" s="238">
        <v>3</v>
      </c>
      <c r="E74" s="236">
        <v>7.7119999999999997</v>
      </c>
      <c r="F74" s="238">
        <v>1942047</v>
      </c>
      <c r="G74" s="235">
        <v>37.43</v>
      </c>
      <c r="H74" s="235">
        <v>414.82</v>
      </c>
      <c r="I74" s="235">
        <v>37.44</v>
      </c>
      <c r="J74" s="237">
        <v>100</v>
      </c>
      <c r="K74" s="231">
        <v>46260.59101851852</v>
      </c>
      <c r="L74" s="225">
        <v>1</v>
      </c>
    </row>
    <row r="75" spans="1:12" x14ac:dyDescent="0.25">
      <c r="A75" s="234"/>
      <c r="B75" s="235" t="s">
        <v>173</v>
      </c>
      <c r="C75" s="235" t="s">
        <v>170</v>
      </c>
      <c r="D75" s="235">
        <v>4</v>
      </c>
      <c r="E75" s="236">
        <v>7.7190000000000003</v>
      </c>
      <c r="F75" s="238">
        <v>2887316</v>
      </c>
      <c r="G75" s="235">
        <v>55.68</v>
      </c>
      <c r="H75" s="235">
        <v>670.96</v>
      </c>
      <c r="I75" s="235">
        <v>56.16</v>
      </c>
      <c r="J75" s="237">
        <v>99.1</v>
      </c>
      <c r="K75" s="231">
        <v>46260.604016203702</v>
      </c>
      <c r="L75" s="225">
        <v>1</v>
      </c>
    </row>
    <row r="76" spans="1:12" x14ac:dyDescent="0.25">
      <c r="A76" s="234"/>
      <c r="B76" s="235" t="s">
        <v>174</v>
      </c>
      <c r="C76" s="235" t="s">
        <v>170</v>
      </c>
      <c r="D76" s="235">
        <v>5</v>
      </c>
      <c r="E76" s="236">
        <v>7.718</v>
      </c>
      <c r="F76" s="238">
        <v>3814772</v>
      </c>
      <c r="G76" s="235">
        <v>73.569999999999993</v>
      </c>
      <c r="H76" s="235">
        <v>748.9</v>
      </c>
      <c r="I76" s="235">
        <v>74.89</v>
      </c>
      <c r="J76" s="237">
        <v>98.2</v>
      </c>
      <c r="K76" s="231">
        <v>46260.617013888892</v>
      </c>
      <c r="L76" s="225">
        <v>1</v>
      </c>
    </row>
    <row r="77" spans="1:12" x14ac:dyDescent="0.25">
      <c r="A77" s="234"/>
      <c r="B77" s="235" t="s">
        <v>168</v>
      </c>
      <c r="C77" s="235" t="s">
        <v>153</v>
      </c>
      <c r="D77" s="238">
        <v>0</v>
      </c>
      <c r="E77" s="236" t="s">
        <v>154</v>
      </c>
      <c r="F77" s="235" t="s">
        <v>154</v>
      </c>
      <c r="G77" s="235" t="s">
        <v>154</v>
      </c>
      <c r="H77" s="235" t="s">
        <v>154</v>
      </c>
      <c r="I77" s="235" t="s">
        <v>154</v>
      </c>
      <c r="J77" s="237" t="s">
        <v>154</v>
      </c>
      <c r="K77" s="231">
        <v>46260.629976851851</v>
      </c>
      <c r="L77" s="225">
        <v>1</v>
      </c>
    </row>
    <row r="78" spans="1:12" x14ac:dyDescent="0.25">
      <c r="A78" s="234"/>
      <c r="B78" s="235" t="s">
        <v>218</v>
      </c>
      <c r="C78" s="235" t="s">
        <v>153</v>
      </c>
      <c r="D78" s="238">
        <v>0</v>
      </c>
      <c r="E78" s="236" t="s">
        <v>154</v>
      </c>
      <c r="F78" s="235" t="s">
        <v>154</v>
      </c>
      <c r="G78" s="235" t="s">
        <v>154</v>
      </c>
      <c r="H78" s="235" t="s">
        <v>154</v>
      </c>
      <c r="I78" s="235" t="s">
        <v>154</v>
      </c>
      <c r="J78" s="237" t="s">
        <v>154</v>
      </c>
      <c r="K78" s="231">
        <v>46260.643101851849</v>
      </c>
      <c r="L78" s="225">
        <v>1</v>
      </c>
    </row>
    <row r="79" spans="1:12" x14ac:dyDescent="0.25">
      <c r="A79" s="234"/>
      <c r="B79" s="235" t="s">
        <v>219</v>
      </c>
      <c r="C79" s="235" t="s">
        <v>153</v>
      </c>
      <c r="D79" s="238">
        <v>0</v>
      </c>
      <c r="E79" s="236">
        <v>7.72</v>
      </c>
      <c r="F79" s="238">
        <v>1920406</v>
      </c>
      <c r="G79" s="235">
        <v>37.01</v>
      </c>
      <c r="H79" s="235">
        <v>564.08000000000004</v>
      </c>
      <c r="I79" s="235" t="s">
        <v>154</v>
      </c>
      <c r="J79" s="237" t="s">
        <v>154</v>
      </c>
      <c r="K79" s="231">
        <v>46260.656192129631</v>
      </c>
      <c r="L79" s="225">
        <v>1</v>
      </c>
    </row>
    <row r="80" spans="1:12" x14ac:dyDescent="0.25">
      <c r="A80" s="234"/>
      <c r="B80" s="235" t="s">
        <v>220</v>
      </c>
      <c r="C80" s="235" t="s">
        <v>153</v>
      </c>
      <c r="D80" s="238">
        <v>0</v>
      </c>
      <c r="E80" s="236">
        <v>7.7220000000000004</v>
      </c>
      <c r="F80" s="238">
        <v>1922115</v>
      </c>
      <c r="G80" s="235">
        <v>37.049999999999997</v>
      </c>
      <c r="H80" s="235">
        <v>617.05999999999995</v>
      </c>
      <c r="I80" s="235" t="s">
        <v>154</v>
      </c>
      <c r="J80" s="237" t="s">
        <v>154</v>
      </c>
      <c r="K80" s="231">
        <v>46260.66914351852</v>
      </c>
      <c r="L80" s="225">
        <v>1</v>
      </c>
    </row>
    <row r="81" spans="1:12" x14ac:dyDescent="0.25">
      <c r="A81" s="234"/>
      <c r="B81" s="235" t="s">
        <v>221</v>
      </c>
      <c r="C81" s="235" t="s">
        <v>153</v>
      </c>
      <c r="D81" s="238">
        <v>0</v>
      </c>
      <c r="E81" s="236">
        <v>7.7249999999999996</v>
      </c>
      <c r="F81" s="238">
        <v>1927543</v>
      </c>
      <c r="G81" s="235">
        <v>37.15</v>
      </c>
      <c r="H81" s="235">
        <v>588.65</v>
      </c>
      <c r="I81" s="235" t="s">
        <v>154</v>
      </c>
      <c r="J81" s="237" t="s">
        <v>154</v>
      </c>
      <c r="K81" s="231">
        <v>46260.682164351849</v>
      </c>
      <c r="L81" s="225">
        <v>1</v>
      </c>
    </row>
    <row r="82" spans="1:12" x14ac:dyDescent="0.25">
      <c r="A82" s="234"/>
      <c r="B82" s="235" t="s">
        <v>222</v>
      </c>
      <c r="C82" s="235" t="s">
        <v>153</v>
      </c>
      <c r="D82" s="238">
        <v>0</v>
      </c>
      <c r="E82" s="236">
        <v>7.718</v>
      </c>
      <c r="F82" s="238">
        <v>1928373</v>
      </c>
      <c r="G82" s="235">
        <v>37.17</v>
      </c>
      <c r="H82" s="235">
        <v>478.44</v>
      </c>
      <c r="I82" s="235" t="s">
        <v>154</v>
      </c>
      <c r="J82" s="237" t="s">
        <v>154</v>
      </c>
      <c r="K82" s="231">
        <v>46260.695127314815</v>
      </c>
      <c r="L82" s="225">
        <v>1</v>
      </c>
    </row>
    <row r="83" spans="1:12" x14ac:dyDescent="0.25">
      <c r="A83" s="234"/>
      <c r="B83" s="235" t="s">
        <v>223</v>
      </c>
      <c r="C83" s="235" t="s">
        <v>153</v>
      </c>
      <c r="D83" s="238">
        <v>0</v>
      </c>
      <c r="E83" s="236">
        <v>7.7270000000000003</v>
      </c>
      <c r="F83" s="238">
        <v>1925272</v>
      </c>
      <c r="G83" s="235">
        <v>37.11</v>
      </c>
      <c r="H83" s="235">
        <v>525.47</v>
      </c>
      <c r="I83" s="235" t="s">
        <v>154</v>
      </c>
      <c r="J83" s="237" t="s">
        <v>154</v>
      </c>
      <c r="K83" s="231">
        <v>46260.708090277774</v>
      </c>
      <c r="L83" s="225">
        <v>1</v>
      </c>
    </row>
    <row r="84" spans="1:12" x14ac:dyDescent="0.25">
      <c r="A84" s="234"/>
      <c r="B84" s="235" t="s">
        <v>224</v>
      </c>
      <c r="C84" s="235" t="s">
        <v>153</v>
      </c>
      <c r="D84" s="235">
        <v>0</v>
      </c>
      <c r="E84" s="236">
        <v>7.7140000000000004</v>
      </c>
      <c r="F84" s="238">
        <v>1936682</v>
      </c>
      <c r="G84" s="235">
        <v>37.33</v>
      </c>
      <c r="H84" s="235">
        <v>540.48</v>
      </c>
      <c r="I84" s="235" t="s">
        <v>154</v>
      </c>
      <c r="J84" s="237" t="s">
        <v>154</v>
      </c>
      <c r="K84" s="231">
        <v>46260.721041666664</v>
      </c>
      <c r="L84" s="225">
        <v>1</v>
      </c>
    </row>
    <row r="85" spans="1:12" x14ac:dyDescent="0.25">
      <c r="A85" s="234"/>
      <c r="B85" s="235" t="s">
        <v>225</v>
      </c>
      <c r="C85" s="235" t="s">
        <v>153</v>
      </c>
      <c r="D85" s="235">
        <v>0</v>
      </c>
      <c r="E85" s="236">
        <v>7.7050000000000001</v>
      </c>
      <c r="F85" s="238">
        <v>1936952</v>
      </c>
      <c r="G85" s="235">
        <v>37.33</v>
      </c>
      <c r="H85" s="235">
        <v>431.64</v>
      </c>
      <c r="I85" s="235" t="s">
        <v>154</v>
      </c>
      <c r="J85" s="237" t="s">
        <v>154</v>
      </c>
      <c r="K85" s="231">
        <v>46260.73400462963</v>
      </c>
      <c r="L85" s="225">
        <v>1</v>
      </c>
    </row>
    <row r="86" spans="1:12" x14ac:dyDescent="0.25">
      <c r="A86" s="234"/>
      <c r="B86" s="235" t="s">
        <v>175</v>
      </c>
      <c r="C86" s="235" t="s">
        <v>153</v>
      </c>
      <c r="D86" s="235">
        <v>0</v>
      </c>
      <c r="E86" s="236" t="s">
        <v>154</v>
      </c>
      <c r="F86" s="235" t="s">
        <v>154</v>
      </c>
      <c r="G86" s="235" t="s">
        <v>154</v>
      </c>
      <c r="H86" s="235" t="s">
        <v>154</v>
      </c>
      <c r="I86" s="235" t="s">
        <v>154</v>
      </c>
      <c r="J86" s="237" t="s">
        <v>154</v>
      </c>
      <c r="K86" s="231">
        <v>46260.746979166666</v>
      </c>
      <c r="L86" s="225">
        <v>1</v>
      </c>
    </row>
    <row r="87" spans="1:12" x14ac:dyDescent="0.25">
      <c r="A87" s="234"/>
      <c r="B87" s="235" t="s">
        <v>178</v>
      </c>
      <c r="C87" s="235" t="s">
        <v>153</v>
      </c>
      <c r="D87" s="235">
        <v>0</v>
      </c>
      <c r="E87" s="236" t="s">
        <v>154</v>
      </c>
      <c r="F87" s="235" t="s">
        <v>154</v>
      </c>
      <c r="G87" s="235" t="s">
        <v>154</v>
      </c>
      <c r="H87" s="235" t="s">
        <v>154</v>
      </c>
      <c r="I87" s="235" t="s">
        <v>154</v>
      </c>
      <c r="J87" s="237" t="s">
        <v>154</v>
      </c>
      <c r="K87" s="231">
        <v>46260.759942129633</v>
      </c>
      <c r="L87" s="225">
        <v>1</v>
      </c>
    </row>
    <row r="88" spans="1:12" x14ac:dyDescent="0.25">
      <c r="A88" s="234"/>
      <c r="B88" s="235" t="s">
        <v>255</v>
      </c>
      <c r="C88" s="235" t="s">
        <v>153</v>
      </c>
      <c r="D88" s="235">
        <v>0</v>
      </c>
      <c r="E88" s="236" t="s">
        <v>154</v>
      </c>
      <c r="F88" s="235" t="s">
        <v>154</v>
      </c>
      <c r="G88" s="235" t="s">
        <v>154</v>
      </c>
      <c r="H88" s="235" t="s">
        <v>154</v>
      </c>
      <c r="I88" s="235" t="s">
        <v>154</v>
      </c>
      <c r="J88" s="237" t="s">
        <v>154</v>
      </c>
      <c r="K88" s="231">
        <v>46260.773032407407</v>
      </c>
      <c r="L88" s="225">
        <v>1</v>
      </c>
    </row>
    <row r="89" spans="1:12" x14ac:dyDescent="0.25">
      <c r="A89" s="234"/>
      <c r="B89" s="235" t="s">
        <v>256</v>
      </c>
      <c r="C89" s="235" t="s">
        <v>153</v>
      </c>
      <c r="D89" s="235">
        <v>0</v>
      </c>
      <c r="E89" s="236" t="s">
        <v>154</v>
      </c>
      <c r="F89" s="235" t="s">
        <v>154</v>
      </c>
      <c r="G89" s="235" t="s">
        <v>154</v>
      </c>
      <c r="H89" s="235" t="s">
        <v>154</v>
      </c>
      <c r="I89" s="235" t="s">
        <v>154</v>
      </c>
      <c r="J89" s="237" t="s">
        <v>154</v>
      </c>
      <c r="K89" s="231">
        <v>46260.786145833335</v>
      </c>
      <c r="L89" s="225">
        <v>1</v>
      </c>
    </row>
    <row r="90" spans="1:12" x14ac:dyDescent="0.25">
      <c r="A90" s="234"/>
      <c r="B90" s="235" t="s">
        <v>257</v>
      </c>
      <c r="C90" s="235" t="s">
        <v>153</v>
      </c>
      <c r="D90" s="235">
        <v>0</v>
      </c>
      <c r="E90" s="236" t="s">
        <v>154</v>
      </c>
      <c r="F90" s="235" t="s">
        <v>154</v>
      </c>
      <c r="G90" s="235" t="s">
        <v>154</v>
      </c>
      <c r="H90" s="235" t="s">
        <v>154</v>
      </c>
      <c r="I90" s="235" t="s">
        <v>154</v>
      </c>
      <c r="J90" s="237" t="s">
        <v>154</v>
      </c>
      <c r="K90" s="231">
        <v>46260.799097222225</v>
      </c>
      <c r="L90" s="225">
        <v>1</v>
      </c>
    </row>
  </sheetData>
  <mergeCells count="2">
    <mergeCell ref="A2:A63"/>
    <mergeCell ref="A64:A90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首页</vt:lpstr>
      <vt:lpstr>系统适用性</vt:lpstr>
      <vt:lpstr>对照品配制</vt:lpstr>
      <vt:lpstr>专属性</vt:lpstr>
      <vt:lpstr>检测限与定量限</vt:lpstr>
      <vt:lpstr>线性</vt:lpstr>
      <vt:lpstr>重复性跟中间精密度</vt:lpstr>
      <vt:lpstr>准确度</vt:lpstr>
      <vt:lpstr>溶液稳定性</vt:lpstr>
      <vt:lpstr>耐用性</vt:lpstr>
      <vt:lpstr>检测</vt:lpstr>
      <vt:lpstr>3-吡啶磺酸甲酯</vt:lpstr>
      <vt:lpstr>3-吡啶磺酸乙酯</vt:lpstr>
      <vt:lpstr>3-吡啶磺酸异丙酯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文霞-标准计算表-动态-2026-08-12T01:32:46Z</dc:title>
  <dc:creator>tengda zou</dc:creator>
  <cp:lastModifiedBy>xia wen</cp:lastModifiedBy>
  <dcterms:created xsi:type="dcterms:W3CDTF">2026-08-12T01:32:00Z</dcterms:created>
  <dcterms:modified xsi:type="dcterms:W3CDTF">2026-08-29T15:19:28Z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76DE45C5F1DE4C42BE604BC3633463E5_12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