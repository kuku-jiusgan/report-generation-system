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22192" windowHeight="10455" activeTab="8"/>
  </bookViews>
  <sheets>
    <sheet name="首页" sheetId="1" r:id="rId1"/>
    <sheet name="系统适用性" sheetId="2" r:id="rId2"/>
    <sheet name="对照品配置" sheetId="3" r:id="rId3"/>
    <sheet name="专属性" sheetId="4" r:id="rId4"/>
    <sheet name="检测限与定量限" sheetId="5" r:id="rId5"/>
    <sheet name="线性" sheetId="6" r:id="rId6"/>
    <sheet name="重复性跟中间精密度" sheetId="7" r:id="rId7"/>
    <sheet name="准确度" sheetId="8" r:id="rId8"/>
    <sheet name="溶液稳定性" sheetId="9" r:id="rId9"/>
    <sheet name="耐用性" sheetId="10" r:id="rId10"/>
    <sheet name="检测" sheetId="11" r:id="rId11"/>
    <sheet name="杂质D" sheetId="12" r:id="rId12"/>
    <sheet name="杂质A2" sheetId="22" r:id="rId13"/>
    <sheet name="_tpl_system" sheetId="13" state="veryHidden" r:id="rId14"/>
    <sheet name="_tpl_refstd" sheetId="14" state="veryHidden" r:id="rId15"/>
    <sheet name="_tpl_specificity" sheetId="15" state="veryHidden" r:id="rId16"/>
    <sheet name="_tpl_lodloq" sheetId="16" state="veryHidden" r:id="rId17"/>
    <sheet name="_tpl_linear" sheetId="17" state="veryHidden" r:id="rId18"/>
    <sheet name="_tpl_repeat" sheetId="18" state="veryHidden" r:id="rId19"/>
    <sheet name="_tpl_accuracy" sheetId="19" state="veryHidden" r:id="rId20"/>
    <sheet name="_tpl_stability" sheetId="20" state="veryHidden" r:id="rId21"/>
    <sheet name="_tpl_detection" sheetId="21" state="veryHidden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<sst xmlns="http://schemas.openxmlformats.org/spreadsheetml/2006/main" count="1818" uniqueCount="262">
  <si>
    <t>基因毒杂志验证标准计算表格</t>
  </si>
  <si>
    <t>项目名称</t>
  </si>
  <si>
    <t>项目编号</t>
  </si>
  <si>
    <t>研究/分析主题</t>
  </si>
  <si>
    <t>模板版本</t>
  </si>
  <si>
    <t>V1.0</t>
  </si>
  <si>
    <t>负责人</t>
  </si>
  <si>
    <t>填写日期</t>
  </si>
  <si>
    <t>杂质数量</t>
  </si>
  <si>
    <t>提取数据</t>
  </si>
  <si>
    <t>杂质 1</t>
  </si>
  <si>
    <t>杂质D</t>
  </si>
  <si>
    <t>杂质 2</t>
  </si>
  <si>
    <t>杂质A2</t>
  </si>
  <si>
    <t>杂质 7</t>
  </si>
  <si>
    <t>杂质 8</t>
  </si>
  <si>
    <t>杂质 9</t>
  </si>
  <si>
    <t>杂质 10</t>
  </si>
  <si>
    <t>杂质 11</t>
  </si>
  <si>
    <t>杂质 12</t>
  </si>
  <si>
    <t>杂质 13</t>
  </si>
  <si>
    <t>杂质 14</t>
  </si>
  <si>
    <t>杂质 15</t>
  </si>
  <si>
    <t>使用说明</t>
  </si>
  <si>
    <t>1. 黄色单元格为可填写内容；其余为系统计算或保护区域。</t>
  </si>
  <si>
    <t>2. 先填写项目基本信息，再设置目标物数量和名称。</t>
  </si>
  <si>
    <t>3. 数据页会按目标物数量显示对应标题；未启用位置保持灰色。</t>
  </si>
  <si>
    <t>4. 数据页结构受保护，不能通过插入或删除行改变模板结构。</t>
  </si>
  <si>
    <t>杂质名称</t>
  </si>
  <si>
    <t>溶液名称</t>
  </si>
  <si>
    <t>保留时间（min）</t>
  </si>
  <si>
    <t>峰面积</t>
  </si>
  <si>
    <t>系统适用性溶液1</t>
  </si>
  <si>
    <t>系统适用性溶液2</t>
  </si>
  <si>
    <t>系统适用性溶液3</t>
  </si>
  <si>
    <t>系统适用性溶液4</t>
  </si>
  <si>
    <t>系统适用性溶液5</t>
  </si>
  <si>
    <t>系统适用性溶液6</t>
  </si>
  <si>
    <t>RSD（n=6，%）</t>
  </si>
  <si>
    <t>结论</t>
  </si>
  <si>
    <t>均值</t>
  </si>
  <si>
    <t>STDEV</t>
  </si>
  <si>
    <t>RSD</t>
  </si>
  <si>
    <t>名称</t>
  </si>
  <si>
    <t>称量值（mg）</t>
  </si>
  <si>
    <t>纯度/含量</t>
  </si>
  <si>
    <t>单标贮备液（ng/ml）</t>
  </si>
  <si>
    <t>混标贮备液（ng/ml）</t>
  </si>
  <si>
    <t>LOD（ng/ml）</t>
  </si>
  <si>
    <t>C1（ng/ml）</t>
  </si>
  <si>
    <t>C2（ng/ml）</t>
  </si>
  <si>
    <t>C3（ng/ml）</t>
  </si>
  <si>
    <t>C4（ng/ml）</t>
  </si>
  <si>
    <t>C5（ng/ml）</t>
  </si>
  <si>
    <t>杂质A1</t>
  </si>
  <si>
    <t>空白溶液</t>
  </si>
  <si>
    <t>对照品溶液</t>
  </si>
  <si>
    <t>供试品溶液</t>
  </si>
  <si>
    <t>加标供试品溶液</t>
  </si>
  <si>
    <t>检测限试验结果表</t>
  </si>
  <si>
    <t>限度</t>
  </si>
  <si>
    <t>供试品溶液浓度</t>
  </si>
  <si>
    <t>S/N-1</t>
  </si>
  <si>
    <t>S/N-2</t>
  </si>
  <si>
    <t>S/N-3</t>
  </si>
  <si>
    <t>检测限浓度（ng/ml）</t>
  </si>
  <si>
    <t>相当于供试品中含量（ppm）</t>
  </si>
  <si>
    <t>占限度百分比（%）</t>
  </si>
  <si>
    <t>定量限试验结果表</t>
  </si>
  <si>
    <t>No.</t>
  </si>
  <si>
    <t>信噪比S/N</t>
  </si>
  <si>
    <t>峰面积RSD（%）</t>
  </si>
  <si>
    <t>定量限浓度（ng/ml）</t>
  </si>
  <si>
    <t>相当于供试品含量（ppm）</t>
  </si>
  <si>
    <t>线性试验结果表</t>
  </si>
  <si>
    <t>C1</t>
  </si>
  <si>
    <t>C2</t>
  </si>
  <si>
    <t>C3</t>
  </si>
  <si>
    <t>C4</t>
  </si>
  <si>
    <t>C5</t>
  </si>
  <si>
    <t>实际浓度（ng/ml）</t>
  </si>
  <si>
    <t>回归曲线图</t>
  </si>
  <si>
    <t>线性回归方程</t>
  </si>
  <si>
    <t>线性相关系数</t>
  </si>
  <si>
    <t>预测峰面积</t>
  </si>
  <si>
    <t>残差</t>
  </si>
  <si>
    <t>残差图</t>
  </si>
  <si>
    <t>线性试验结果表-中间精密度</t>
  </si>
  <si>
    <t>重复性试验结果表</t>
  </si>
  <si>
    <t>原始称样量</t>
  </si>
  <si>
    <t>称样量（mg）</t>
  </si>
  <si>
    <t>测得浓度（ng/ml）</t>
  </si>
  <si>
    <t>100%回收率</t>
  </si>
  <si>
    <t>—</t>
  </si>
  <si>
    <t>RSD-95%置信下限</t>
  </si>
  <si>
    <t>RSD-95%置信上限</t>
  </si>
  <si>
    <t>含量-95%置信下限（ppm）</t>
  </si>
  <si>
    <t>含量-95%置信上限（ppm）</t>
  </si>
  <si>
    <t>占理论含量百分比上限（%）</t>
  </si>
  <si>
    <t>占理论含量百分比下限（%）</t>
  </si>
  <si>
    <t>中间精密度</t>
  </si>
  <si>
    <t>称样量回称</t>
  </si>
  <si>
    <t>N=12</t>
  </si>
  <si>
    <t>n=12</t>
  </si>
  <si>
    <t>供试品中杂质结果表</t>
  </si>
  <si>
    <t>称样量</t>
  </si>
  <si>
    <t>含量（ppm）</t>
  </si>
  <si>
    <t>平均含量（ppm）</t>
  </si>
  <si>
    <t>（mg）</t>
  </si>
  <si>
    <t>准确度加入量计算表</t>
  </si>
  <si>
    <t>LOD体积</t>
  </si>
  <si>
    <t>线性贮备液体积-C1</t>
  </si>
  <si>
    <t>线性贮备液体积-C2</t>
  </si>
  <si>
    <t>线性贮备液体积-C3</t>
  </si>
  <si>
    <t>线性贮备液体积-C4</t>
  </si>
  <si>
    <t>线性贮备液体积-C5</t>
  </si>
  <si>
    <t>准确度试验结果表</t>
  </si>
  <si>
    <t>溶液</t>
  </si>
  <si>
    <t>供试品称样量
（mg）</t>
  </si>
  <si>
    <t>测得浓度</t>
  </si>
  <si>
    <t>测得量</t>
  </si>
  <si>
    <t>空白量</t>
  </si>
  <si>
    <t>加入量（ng）</t>
  </si>
  <si>
    <t>回收率</t>
  </si>
  <si>
    <t>平均值（%）</t>
  </si>
  <si>
    <t>（ng）</t>
  </si>
  <si>
    <t>（%）</t>
  </si>
  <si>
    <t>LOQ加标</t>
  </si>
  <si>
    <t>100%加标</t>
  </si>
  <si>
    <t>150%加标</t>
  </si>
  <si>
    <t>平均回收率（n=9，%）</t>
  </si>
  <si>
    <t>RSD（n=9，%）</t>
  </si>
  <si>
    <t>95%置信区间下限（%）</t>
  </si>
  <si>
    <t>95%置信区间上限（%）</t>
  </si>
  <si>
    <t>溶液稳定性试验结果表</t>
  </si>
  <si>
    <t>时间</t>
  </si>
  <si>
    <t>浓度（ng/ml）</t>
  </si>
  <si>
    <t>与0h比值</t>
  </si>
  <si>
    <t>0h</t>
  </si>
  <si>
    <t>-</t>
  </si>
  <si>
    <t>3.3h</t>
  </si>
  <si>
    <t>6.4h</t>
  </si>
  <si>
    <t>11.9h</t>
  </si>
  <si>
    <t>14.4h</t>
  </si>
  <si>
    <t>15.9h</t>
  </si>
  <si>
    <t>色谱柱1（SN：03273829015191）</t>
  </si>
  <si>
    <t>色谱柱2（SN：04113128725113）</t>
  </si>
  <si>
    <t>线性方程</t>
  </si>
  <si>
    <t>线性系数</t>
  </si>
  <si>
    <t>加标溶液测得浓度（ng/ml）</t>
  </si>
  <si>
    <t>公式</t>
  </si>
  <si>
    <t>浓度比值</t>
  </si>
  <si>
    <t>杂质D峰面积</t>
  </si>
  <si>
    <t>杂质D测得浓度（ng/ml）</t>
  </si>
  <si>
    <t>杂质D含量（ppm）</t>
  </si>
  <si>
    <t>杂质A2峰面积</t>
  </si>
  <si>
    <t>杂质A2测得浓度（ng/ml）</t>
  </si>
  <si>
    <t>杂质A2含量（ppm）</t>
  </si>
  <si>
    <t>技术员</t>
  </si>
  <si>
    <t>数据文件名</t>
  </si>
  <si>
    <t>样品类型</t>
  </si>
  <si>
    <t>级别号</t>
  </si>
  <si>
    <t>保留时间</t>
  </si>
  <si>
    <t>面积</t>
  </si>
  <si>
    <t>浓度</t>
  </si>
  <si>
    <t>信噪比</t>
  </si>
  <si>
    <t>标准浓度</t>
  </si>
  <si>
    <t>精确度</t>
  </si>
  <si>
    <t>进样时间</t>
  </si>
  <si>
    <t>技术员A</t>
  </si>
  <si>
    <t>KB-01.lcd</t>
  </si>
  <si>
    <t>未知</t>
  </si>
  <si>
    <t>-----</t>
  </si>
  <si>
    <t>KB-02.lcd</t>
  </si>
  <si>
    <t>KB-03.lcd</t>
  </si>
  <si>
    <t>KB-04.lcd</t>
  </si>
  <si>
    <t>KB-05.lcd</t>
  </si>
  <si>
    <t>LOD（查看响应）.lcd</t>
  </si>
  <si>
    <t>系统适用性溶液-01.lcd</t>
  </si>
  <si>
    <t>系统适用性溶液-02.lcd</t>
  </si>
  <si>
    <t>系统适用性溶液-03.lcd</t>
  </si>
  <si>
    <t>系统适用性溶液-04.lcd</t>
  </si>
  <si>
    <t>系统适用性溶液-05.lcd</t>
  </si>
  <si>
    <t>系统适用性溶液-06.lcd</t>
  </si>
  <si>
    <t>对照品溶液（稳定性-0）.lcd</t>
  </si>
  <si>
    <t>加标供试品溶液（稳定性-0）.lcd</t>
  </si>
  <si>
    <t>KB-06.lcd</t>
  </si>
  <si>
    <t>C1.lcd</t>
  </si>
  <si>
    <t>标准(校准点)</t>
  </si>
  <si>
    <t>C2.lcd</t>
  </si>
  <si>
    <t>C3.lcd</t>
  </si>
  <si>
    <t>C4.lcd</t>
  </si>
  <si>
    <t>C5.lcd</t>
  </si>
  <si>
    <t>KB-07.lcd</t>
  </si>
  <si>
    <t>专属性-检测限溶液.lcd</t>
  </si>
  <si>
    <t>专属性-供试品溶液.lcd</t>
  </si>
  <si>
    <t>专属性-加标供试品溶液.lcd</t>
  </si>
  <si>
    <t>KB-08.lcd</t>
  </si>
  <si>
    <t>对照品溶液（稳定性-1）.lcd</t>
  </si>
  <si>
    <t>加标供试品溶液（稳定性-1）.lcd</t>
  </si>
  <si>
    <t>KB-09.lcd</t>
  </si>
  <si>
    <t>LOD-01.lcd</t>
  </si>
  <si>
    <t>LOD-02.lcd</t>
  </si>
  <si>
    <t>LOD-03.lcd</t>
  </si>
  <si>
    <t>LOQ-01.lcd</t>
  </si>
  <si>
    <t>LOQ-02.lcd</t>
  </si>
  <si>
    <t>LOQ-03.lcd</t>
  </si>
  <si>
    <t>LOQ-04.lcd</t>
  </si>
  <si>
    <t>LOQ-05.lcd</t>
  </si>
  <si>
    <t>LOQ-06.lcd</t>
  </si>
  <si>
    <t>对照品溶液（稳定性-2）.lcd</t>
  </si>
  <si>
    <t>加标供试品溶液（稳定性-2）.lcd</t>
  </si>
  <si>
    <t>KB-10.lcd</t>
  </si>
  <si>
    <t>供试品溶液-01.lcd</t>
  </si>
  <si>
    <t>供试品溶液-02.lcd</t>
  </si>
  <si>
    <t>供试品溶液-03.lcd</t>
  </si>
  <si>
    <t>LOQ加标供试品溶液-01.lcd</t>
  </si>
  <si>
    <t>LOQ加标供试品溶液-02.lcd</t>
  </si>
  <si>
    <t>LOQ加标供试品溶液-03.lcd</t>
  </si>
  <si>
    <t>KB-11.lcd</t>
  </si>
  <si>
    <t>100%加标供试品溶液-01.lcd</t>
  </si>
  <si>
    <t>100%加标供试品溶液-02.lcd</t>
  </si>
  <si>
    <t>100%加标供试品溶液-03.lcd</t>
  </si>
  <si>
    <t>100%加标供试品溶液-04.lcd</t>
  </si>
  <si>
    <t>100%加标供试品溶液-05.lcd</t>
  </si>
  <si>
    <t>100%加标供试品溶液-06.lcd</t>
  </si>
  <si>
    <t>KB-12.lcd</t>
  </si>
  <si>
    <t>150%加标供试品溶液-01.lcd</t>
  </si>
  <si>
    <t>150%加标供试品溶液-02.lcd</t>
  </si>
  <si>
    <t>150%加标供试品溶液-03.lcd</t>
  </si>
  <si>
    <t>KB-13.lcd</t>
  </si>
  <si>
    <t>对照品溶液（稳定性-3）.lcd</t>
  </si>
  <si>
    <t>加标供试品溶液（稳定性-3）.lcd</t>
  </si>
  <si>
    <t>KB-60min-01.lcd</t>
  </si>
  <si>
    <t>KB-60min-02.lcd</t>
  </si>
  <si>
    <t>对照品溶液（稳定性-4）.lcd</t>
  </si>
  <si>
    <t>加标供试品溶液（稳定性-4）.lcd</t>
  </si>
  <si>
    <t>KB-60min-03.lcd</t>
  </si>
  <si>
    <t>对照品溶液（稳定性-5）.lcd</t>
  </si>
  <si>
    <t>加标供试品溶液（稳定性-5）.lcd</t>
  </si>
  <si>
    <t>技术员B</t>
  </si>
  <si>
    <t>LOD.lcd</t>
  </si>
  <si>
    <t>耐用性-供试品溶液.lcd</t>
  </si>
  <si>
    <t>耐用性-加标供试品溶液.lcd</t>
  </si>
  <si>
    <t>中间精密度-100%加标供试品溶液-01.lcd</t>
  </si>
  <si>
    <t>中间精密度-100%加标供试品溶液-02.lcd</t>
  </si>
  <si>
    <t>中间精密度-100%加标供试品溶液-03.lcd</t>
  </si>
  <si>
    <t>中间精密度-100%加标供试品溶液-04.lcd</t>
  </si>
  <si>
    <t>中间精密度-100%加标供试品溶液-05.lcd</t>
  </si>
  <si>
    <t>中间精密度-100%加标供试品溶液-06.lcd</t>
  </si>
  <si>
    <t>氢溴酸伏硫西汀 50320251201.lcd</t>
  </si>
  <si>
    <t>氢溴酸伏硫西汀 50320260101.lcd</t>
  </si>
  <si>
    <t>氢溴酸伏硫西汀 50320260102.lcd</t>
  </si>
  <si>
    <t>氢溴酸伏硫西汀 50320251201（加速1个月）.lcd</t>
  </si>
  <si>
    <t>氢溴酸伏硫西汀 50320260101（加速1个月）.lcd</t>
  </si>
  <si>
    <t>氢溴酸伏硫西汀 50320260102（加速1个月）.lcd</t>
  </si>
  <si>
    <t>氢溴酸伏硫西汀 50320251201（加速2个月）.lcd</t>
  </si>
  <si>
    <t>氢溴酸伏硫西汀 50320260101（加速2个月）.lcd</t>
  </si>
  <si>
    <t>氢溴酸伏硫西汀 50320260102（加速2个月）.lcd</t>
  </si>
  <si>
    <t>杂质A1峰面积</t>
  </si>
  <si>
    <t>杂质A1测得浓度（ng/ml）</t>
  </si>
  <si>
    <t>杂质A1含量（ppm）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</si>
</sst>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.0_ "/>
    <numFmt numFmtId="178" formatCode="0.00_);[Red]\(0.00\)"/>
    <numFmt numFmtId="179" formatCode="0_);[Red]\(0\)"/>
    <numFmt numFmtId="180" formatCode="0.000_);[Red]\(0.000\)"/>
    <numFmt numFmtId="181" formatCode="0.000_ "/>
    <numFmt numFmtId="182" formatCode="0.0000_);[Red]\(0.0000\)"/>
    <numFmt numFmtId="183" formatCode="0.0000_ "/>
    <numFmt numFmtId="184" formatCode="0_ "/>
    <numFmt numFmtId="185" formatCode="0.0_);[Red]\(0.0\)"/>
    <numFmt numFmtId="186" formatCode="0.0"/>
  </numFmts>
  <fonts count="66">
    <font>
      <sz val="11"/>
      <color theme="1"/>
      <name val="宋体"/>
      <charset val="134"/>
      <scheme val="minor"/>
    </font>
    <font>
      <b/>
      <sz val="12"/>
      <color theme="1"/>
      <name val="Times New Roman"/>
      <charset val="134"/>
    </font>
    <font>
      <b/>
      <sz val="12"/>
      <color theme="1"/>
      <name val="宋体"/>
      <charset val="134"/>
    </font>
    <font>
      <b/>
      <sz val="12"/>
      <color rgb="FFFF0000"/>
      <name val="宋体"/>
      <charset val="134"/>
    </font>
    <font>
      <sz val="11"/>
      <color rgb="FFFF0000"/>
      <name val="宋体"/>
      <charset val="134"/>
      <scheme val="minor"/>
    </font>
    <font>
      <sz val="18"/>
      <color theme="1"/>
      <name val="宋体"/>
      <charset val="134"/>
      <scheme val="minor"/>
    </font>
    <font>
      <sz val="10.5"/>
      <color theme="1"/>
      <name val="Times New Roman"/>
      <charset val="134"/>
    </font>
    <font>
      <sz val="11"/>
      <color theme="1"/>
      <name val="宋体"/>
      <charset val="134"/>
    </font>
    <font>
      <sz val="10.5"/>
      <color rgb="FFFF0000"/>
      <name val="Times New Roman"/>
      <charset val="134"/>
    </font>
    <font>
      <b/>
      <sz val="20"/>
      <color theme="1"/>
      <name val="宋体"/>
      <charset val="134"/>
      <scheme val="minor"/>
    </font>
    <font>
      <sz val="11"/>
      <name val="宋体"/>
      <charset val="134"/>
    </font>
    <font>
      <sz val="11"/>
      <name val="Times New Roman"/>
      <charset val="134"/>
    </font>
    <font>
      <sz val="11"/>
      <color rgb="FFFF0000"/>
      <name val="宋体"/>
      <charset val="134"/>
    </font>
    <font>
      <b/>
      <sz val="1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name val="Times New Roman"/>
      <charset val="134"/>
    </font>
    <font>
      <b/>
      <sz val="11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b/>
      <sz val="11"/>
      <name val="宋体"/>
      <charset val="134"/>
    </font>
    <font>
      <b/>
      <sz val="11"/>
      <color rgb="FFFF0000"/>
      <name val="宋体"/>
      <charset val="134"/>
    </font>
    <font>
      <b/>
      <sz val="11"/>
      <color rgb="FFFF0000"/>
      <name val="Times New Roman"/>
      <charset val="134"/>
    </font>
    <font>
      <b/>
      <sz val="20"/>
      <name val="宋体"/>
      <charset val="134"/>
    </font>
    <font>
      <sz val="11"/>
      <color rgb="FF000000"/>
      <name val="宋体"/>
      <charset val="134"/>
    </font>
    <font>
      <sz val="11"/>
      <color rgb="FF000000"/>
      <name val="Times New Roman"/>
      <charset val="134"/>
    </font>
    <font>
      <sz val="18"/>
      <name val="Times New Roman"/>
      <charset val="134"/>
    </font>
    <font>
      <b/>
      <sz val="18"/>
      <name val="宋体"/>
      <charset val="134"/>
    </font>
    <font>
      <sz val="22"/>
      <color rgb="FFFF0000"/>
      <name val="宋体"/>
      <charset val="134"/>
    </font>
    <font>
      <sz val="10.5"/>
      <color rgb="FF000000"/>
      <name val="宋体"/>
      <charset val="134"/>
    </font>
    <font>
      <sz val="10.5"/>
      <color theme="1"/>
      <name val="宋体"/>
      <charset val="134"/>
    </font>
    <font>
      <sz val="10.5"/>
      <color rgb="FF000000"/>
      <name val="Times New Roman"/>
      <charset val="134"/>
    </font>
    <font>
      <sz val="10.5"/>
      <name val="Times New Roman"/>
      <charset val="134"/>
    </font>
    <font>
      <b/>
      <sz val="14"/>
      <color rgb="FFFF0000"/>
      <name val="宋体"/>
      <charset val="134"/>
      <scheme val="minor"/>
    </font>
    <font>
      <b/>
      <sz val="14"/>
      <color rgb="FFFF0000"/>
      <name val="宋体"/>
      <charset val="134"/>
    </font>
    <font>
      <sz val="14"/>
      <color rgb="FF000000"/>
      <name val="宋体"/>
      <charset val="134"/>
    </font>
    <font>
      <sz val="14"/>
      <color theme="1"/>
      <name val="Times New Roman"/>
      <charset val="134"/>
    </font>
    <font>
      <sz val="14"/>
      <color rgb="FF000000"/>
      <name val="Times New Roman"/>
      <charset val="134"/>
    </font>
    <font>
      <sz val="14"/>
      <color theme="1"/>
      <name val="宋体"/>
      <charset val="134"/>
    </font>
    <font>
      <b/>
      <sz val="18"/>
      <color theme="1"/>
      <name val="宋体"/>
      <charset val="134"/>
    </font>
    <font>
      <sz val="14"/>
      <color rgb="FF000000"/>
      <name val="Calibri"/>
      <charset val="134"/>
    </font>
    <font>
      <sz val="14"/>
      <color rgb="FFFF0000"/>
      <name val="宋体"/>
      <charset val="134"/>
    </font>
    <font>
      <b/>
      <sz val="11"/>
      <color theme="1"/>
      <name val="Times New Roman"/>
      <charset val="134"/>
    </font>
    <font>
      <sz val="14"/>
      <color theme="1"/>
      <name val="宋体"/>
      <charset val="134"/>
      <scheme val="minor"/>
    </font>
    <font>
      <b/>
      <i/>
      <sz val="18"/>
      <color rgb="FF5B6B7A"/>
      <name val="微软雅黑"/>
      <charset val="134"/>
    </font>
    <font>
      <b/>
      <sz val="14"/>
      <color rgb="FF17365D"/>
      <name val="宋体"/>
      <charset val="134"/>
    </font>
    <font>
      <b/>
      <sz val="14"/>
      <color rgb="FFFFFFFF"/>
      <name val="宋体"/>
      <charset val="134"/>
    </font>
    <font>
      <sz val="1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6" tint="0.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3C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rgb="FFB7C9DD"/>
      </bottom>
      <diagonal/>
    </border>
    <border>
      <left style="thin">
        <color auto="1"/>
      </left>
      <right style="thin">
        <color auto="1"/>
      </right>
      <top style="thin">
        <color rgb="FFB7C9DD"/>
      </top>
      <bottom style="thin">
        <color auto="1"/>
      </bottom>
      <diagonal/>
    </border>
    <border>
      <left/>
      <right/>
      <top style="thin">
        <color rgb="FFB7C9DD"/>
      </top>
      <bottom style="thin">
        <color auto="1"/>
      </bottom>
      <diagonal/>
    </border>
    <border>
      <left/>
      <right style="thin">
        <color auto="1"/>
      </right>
      <top style="thin">
        <color rgb="FFB7C9DD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>
      <alignment vertical="center"/>
    </xf>
    <xf numFmtId="44" fontId="0" fillId="0" borderId="0">
      <alignment vertical="center"/>
    </xf>
    <xf numFmtId="9" fontId="0" fillId="0" borderId="0">
      <alignment vertical="center"/>
    </xf>
    <xf numFmtId="41" fontId="0" fillId="0" borderId="0">
      <alignment vertical="center"/>
    </xf>
    <xf numFmtId="42" fontId="0" fillId="0" borderId="0">
      <alignment vertical="center"/>
    </xf>
    <xf numFmtId="0" fontId="47" fillId="0" borderId="0">
      <alignment vertical="center"/>
    </xf>
    <xf numFmtId="0" fontId="48" fillId="0" borderId="0">
      <alignment vertical="center"/>
    </xf>
    <xf numFmtId="0" fontId="0" fillId="10" borderId="23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2" fillId="0" borderId="24">
      <alignment vertical="center"/>
    </xf>
    <xf numFmtId="0" fontId="53" fillId="0" borderId="24">
      <alignment vertical="center"/>
    </xf>
    <xf numFmtId="0" fontId="54" fillId="0" borderId="25">
      <alignment vertical="center"/>
    </xf>
    <xf numFmtId="0" fontId="54" fillId="0" borderId="0">
      <alignment vertical="center"/>
    </xf>
    <xf numFmtId="0" fontId="55" fillId="11" borderId="26">
      <alignment vertical="center"/>
    </xf>
    <xf numFmtId="0" fontId="56" fillId="12" borderId="27">
      <alignment vertical="center"/>
    </xf>
    <xf numFmtId="0" fontId="57" fillId="12" borderId="26">
      <alignment vertical="center"/>
    </xf>
    <xf numFmtId="0" fontId="58" fillId="13" borderId="28">
      <alignment vertical="center"/>
    </xf>
    <xf numFmtId="0" fontId="59" fillId="0" borderId="29">
      <alignment vertical="center"/>
    </xf>
    <xf numFmtId="0" fontId="60" fillId="0" borderId="30">
      <alignment vertical="center"/>
    </xf>
    <xf numFmtId="0" fontId="61" fillId="14" borderId="0">
      <alignment vertical="center"/>
    </xf>
    <xf numFmtId="0" fontId="62" fillId="15" borderId="0">
      <alignment vertical="center"/>
    </xf>
    <xf numFmtId="0" fontId="63" fillId="16" borderId="0">
      <alignment vertical="center"/>
    </xf>
    <xf numFmtId="0" fontId="64" fillId="17" borderId="0">
      <alignment vertical="center"/>
    </xf>
    <xf numFmtId="0" fontId="65" fillId="18" borderId="0">
      <alignment vertical="center"/>
    </xf>
    <xf numFmtId="0" fontId="65" fillId="19" borderId="0">
      <alignment vertical="center"/>
    </xf>
    <xf numFmtId="0" fontId="64" fillId="20" borderId="0">
      <alignment vertical="center"/>
    </xf>
    <xf numFmtId="0" fontId="64" fillId="21" borderId="0">
      <alignment vertical="center"/>
    </xf>
    <xf numFmtId="0" fontId="65" fillId="22" borderId="0">
      <alignment vertical="center"/>
    </xf>
    <xf numFmtId="0" fontId="65" fillId="23" borderId="0">
      <alignment vertical="center"/>
    </xf>
    <xf numFmtId="0" fontId="64" fillId="24" borderId="0">
      <alignment vertical="center"/>
    </xf>
    <xf numFmtId="0" fontId="64" fillId="25" borderId="0">
      <alignment vertical="center"/>
    </xf>
    <xf numFmtId="0" fontId="65" fillId="26" borderId="0">
      <alignment vertical="center"/>
    </xf>
    <xf numFmtId="0" fontId="65" fillId="27" borderId="0">
      <alignment vertical="center"/>
    </xf>
    <xf numFmtId="0" fontId="64" fillId="28" borderId="0">
      <alignment vertical="center"/>
    </xf>
    <xf numFmtId="0" fontId="64" fillId="29" borderId="0">
      <alignment vertical="center"/>
    </xf>
    <xf numFmtId="0" fontId="65" fillId="30" borderId="0">
      <alignment vertical="center"/>
    </xf>
    <xf numFmtId="0" fontId="65" fillId="31" borderId="0">
      <alignment vertical="center"/>
    </xf>
    <xf numFmtId="0" fontId="64" fillId="32" borderId="0">
      <alignment vertical="center"/>
    </xf>
    <xf numFmtId="0" fontId="64" fillId="33" borderId="0">
      <alignment vertical="center"/>
    </xf>
    <xf numFmtId="0" fontId="65" fillId="34" borderId="0">
      <alignment vertical="center"/>
    </xf>
    <xf numFmtId="0" fontId="65" fillId="35" borderId="0">
      <alignment vertical="center"/>
    </xf>
    <xf numFmtId="0" fontId="64" fillId="36" borderId="0">
      <alignment vertical="center"/>
    </xf>
    <xf numFmtId="0" fontId="64" fillId="37" borderId="0">
      <alignment vertical="center"/>
    </xf>
    <xf numFmtId="0" fontId="65" fillId="38" borderId="0">
      <alignment vertical="center"/>
    </xf>
    <xf numFmtId="0" fontId="65" fillId="39" borderId="0">
      <alignment vertical="center"/>
    </xf>
    <xf numFmtId="0" fontId="64" fillId="40" borderId="0">
      <alignment vertical="center"/>
    </xf>
  </cellStyleXfs>
  <cellXfs count="197">
    <xf numFmtId="0" fontId="0" fillId="0" borderId="0" xfId="0" applyAlignment="1">
      <alignment vertical="center"/>
    </xf>
    <xf numFmtId="0" fontId="0" fillId="0" borderId="0" xfId="0" applyAlignment="1"/>
    <xf numFmtId="0" fontId="0" fillId="0" borderId="1" xfId="0" applyBorder="1" applyAlignment="1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0" fillId="2" borderId="1" xfId="0" applyNumberFormat="1" applyFill="1" applyBorder="1" applyAlignment="1"/>
    <xf numFmtId="0" fontId="0" fillId="2" borderId="1" xfId="0" applyFill="1" applyBorder="1" applyAlignment="1"/>
    <xf numFmtId="176" fontId="0" fillId="0" borderId="1" xfId="0" applyNumberFormat="1" applyBorder="1" applyAlignment="1"/>
    <xf numFmtId="177" fontId="0" fillId="0" borderId="1" xfId="0" applyNumberFormat="1" applyBorder="1" applyAlignment="1"/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2" xfId="0" applyBorder="1" applyAlignment="1"/>
    <xf numFmtId="0" fontId="0" fillId="0" borderId="3" xfId="0" applyBorder="1" applyAlignment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76" fontId="7" fillId="0" borderId="1" xfId="0" applyNumberFormat="1" applyFont="1" applyBorder="1" applyAlignment="1">
      <alignment horizontal="center" vertical="center" wrapText="1"/>
    </xf>
    <xf numFmtId="0" fontId="0" fillId="0" borderId="4" xfId="0" applyBorder="1" applyAlignment="1"/>
    <xf numFmtId="0" fontId="0" fillId="0" borderId="5" xfId="0" applyBorder="1" applyAlignment="1"/>
    <xf numFmtId="178" fontId="6" fillId="0" borderId="1" xfId="0" applyNumberFormat="1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78" fontId="8" fillId="2" borderId="1" xfId="0" applyNumberFormat="1" applyFont="1" applyFill="1" applyBorder="1" applyAlignment="1">
      <alignment horizontal="center" vertical="center" wrapText="1"/>
    </xf>
    <xf numFmtId="178" fontId="9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0" fillId="0" borderId="6" xfId="0" applyBorder="1" applyAlignment="1"/>
    <xf numFmtId="0" fontId="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8" fontId="10" fillId="0" borderId="1" xfId="0" applyNumberFormat="1" applyFont="1" applyBorder="1" applyAlignment="1">
      <alignment horizontal="center" vertical="center" wrapText="1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12" fillId="0" borderId="1" xfId="0" applyFont="1" applyBorder="1" applyAlignment="1">
      <alignment horizontal="center" vertical="center" wrapText="1"/>
    </xf>
    <xf numFmtId="178" fontId="13" fillId="2" borderId="1" xfId="0" applyNumberFormat="1" applyFont="1" applyFill="1" applyBorder="1" applyAlignment="1">
      <alignment horizontal="center" vertical="center"/>
    </xf>
    <xf numFmtId="178" fontId="14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176" fontId="14" fillId="2" borderId="1" xfId="0" applyNumberFormat="1" applyFont="1" applyFill="1" applyBorder="1" applyAlignment="1">
      <alignment horizontal="center" vertical="center" wrapText="1"/>
    </xf>
    <xf numFmtId="178" fontId="7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0" fillId="0" borderId="11" xfId="0" applyBorder="1" applyAlignment="1"/>
    <xf numFmtId="0" fontId="0" fillId="0" borderId="12" xfId="0" applyBorder="1" applyAlignment="1"/>
    <xf numFmtId="14" fontId="15" fillId="0" borderId="1" xfId="0" applyNumberFormat="1" applyFont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178" fontId="17" fillId="0" borderId="1" xfId="0" applyNumberFormat="1" applyFont="1" applyBorder="1" applyAlignment="1">
      <alignment horizontal="center" vertical="center"/>
    </xf>
    <xf numFmtId="178" fontId="15" fillId="0" borderId="1" xfId="0" applyNumberFormat="1" applyFont="1" applyBorder="1" applyAlignment="1">
      <alignment horizontal="center"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8" fontId="15" fillId="2" borderId="1" xfId="0" applyNumberFormat="1" applyFont="1" applyFill="1" applyBorder="1" applyAlignment="1">
      <alignment horizontal="center" vertical="center"/>
    </xf>
    <xf numFmtId="181" fontId="18" fillId="0" borderId="1" xfId="0" applyNumberFormat="1" applyFont="1" applyBorder="1" applyAlignment="1">
      <alignment horizontal="center" vertical="center"/>
    </xf>
    <xf numFmtId="178" fontId="18" fillId="0" borderId="1" xfId="0" applyNumberFormat="1" applyFont="1" applyBorder="1" applyAlignment="1">
      <alignment horizontal="center" vertical="center"/>
    </xf>
    <xf numFmtId="180" fontId="18" fillId="0" borderId="1" xfId="0" applyNumberFormat="1" applyFont="1" applyBorder="1" applyAlignment="1">
      <alignment horizontal="center" vertical="center"/>
    </xf>
    <xf numFmtId="180" fontId="19" fillId="0" borderId="1" xfId="0" applyNumberFormat="1" applyFont="1" applyBorder="1" applyAlignment="1">
      <alignment horizontal="center" vertical="center"/>
    </xf>
    <xf numFmtId="180" fontId="20" fillId="2" borderId="1" xfId="0" applyNumberFormat="1" applyFont="1" applyFill="1" applyBorder="1" applyAlignment="1">
      <alignment horizontal="center" vertical="center"/>
    </xf>
    <xf numFmtId="182" fontId="20" fillId="2" borderId="1" xfId="0" applyNumberFormat="1" applyFont="1" applyFill="1" applyBorder="1" applyAlignment="1">
      <alignment horizontal="center" vertical="center"/>
    </xf>
    <xf numFmtId="183" fontId="20" fillId="2" borderId="1" xfId="0" applyNumberFormat="1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8" fontId="22" fillId="0" borderId="1" xfId="0" applyNumberFormat="1" applyFont="1" applyBorder="1" applyAlignment="1">
      <alignment horizontal="center" vertical="center" wrapText="1"/>
    </xf>
    <xf numFmtId="178" fontId="16" fillId="2" borderId="1" xfId="0" applyNumberFormat="1" applyFont="1" applyFill="1" applyBorder="1" applyAlignment="1">
      <alignment horizontal="center" vertical="center"/>
    </xf>
    <xf numFmtId="178" fontId="23" fillId="0" borderId="1" xfId="0" applyNumberFormat="1" applyFont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176" fontId="7" fillId="2" borderId="1" xfId="0" applyNumberFormat="1" applyFont="1" applyFill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 wrapText="1"/>
    </xf>
    <xf numFmtId="184" fontId="14" fillId="0" borderId="1" xfId="0" applyNumberFormat="1" applyFont="1" applyBorder="1" applyAlignment="1">
      <alignment horizontal="center" vertical="center"/>
    </xf>
    <xf numFmtId="9" fontId="23" fillId="0" borderId="1" xfId="0" applyNumberFormat="1" applyFont="1" applyBorder="1" applyAlignment="1">
      <alignment horizontal="center" vertical="center"/>
    </xf>
    <xf numFmtId="176" fontId="6" fillId="2" borderId="13" xfId="0" applyNumberFormat="1" applyFont="1" applyFill="1" applyBorder="1" applyAlignment="1">
      <alignment horizontal="center" vertical="center"/>
    </xf>
    <xf numFmtId="0" fontId="0" fillId="0" borderId="14" xfId="0" applyBorder="1" applyAlignment="1"/>
    <xf numFmtId="0" fontId="0" fillId="0" borderId="15" xfId="0" applyBorder="1" applyAlignment="1"/>
    <xf numFmtId="184" fontId="7" fillId="0" borderId="1" xfId="0" applyNumberFormat="1" applyFont="1" applyBorder="1" applyAlignment="1">
      <alignment horizontal="center" vertical="center" wrapText="1"/>
    </xf>
    <xf numFmtId="177" fontId="14" fillId="0" borderId="1" xfId="0" applyNumberFormat="1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180" fontId="28" fillId="0" borderId="1" xfId="0" applyNumberFormat="1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176" fontId="11" fillId="2" borderId="1" xfId="0" applyNumberFormat="1" applyFont="1" applyFill="1" applyBorder="1" applyAlignment="1">
      <alignment horizontal="center" vertical="center"/>
    </xf>
    <xf numFmtId="176" fontId="29" fillId="0" borderId="1" xfId="0" applyNumberFormat="1" applyFont="1" applyBorder="1" applyAlignment="1">
      <alignment horizontal="center" vertical="center"/>
    </xf>
    <xf numFmtId="180" fontId="6" fillId="2" borderId="1" xfId="0" applyNumberFormat="1" applyFont="1" applyFill="1" applyBorder="1" applyAlignment="1">
      <alignment horizontal="center" vertical="center" wrapText="1"/>
    </xf>
    <xf numFmtId="184" fontId="6" fillId="2" borderId="1" xfId="0" applyNumberFormat="1" applyFont="1" applyFill="1" applyBorder="1" applyAlignment="1">
      <alignment horizontal="center" vertical="center" wrapText="1"/>
    </xf>
    <xf numFmtId="176" fontId="6" fillId="2" borderId="1" xfId="0" applyNumberFormat="1" applyFont="1" applyFill="1" applyBorder="1" applyAlignment="1">
      <alignment horizontal="center" vertical="center" wrapText="1"/>
    </xf>
    <xf numFmtId="177" fontId="29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185" fontId="29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81" fontId="11" fillId="0" borderId="1" xfId="0" applyNumberFormat="1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180" fontId="11" fillId="0" borderId="1" xfId="0" applyNumberFormat="1" applyFont="1" applyBorder="1" applyAlignment="1">
      <alignment horizontal="center" vertical="center"/>
    </xf>
    <xf numFmtId="177" fontId="14" fillId="0" borderId="1" xfId="0" applyNumberFormat="1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30" fillId="0" borderId="1" xfId="0" applyFont="1" applyBorder="1" applyAlignment="1">
      <alignment horizontal="center" vertical="center" wrapText="1"/>
    </xf>
    <xf numFmtId="183" fontId="11" fillId="0" borderId="1" xfId="0" applyNumberFormat="1" applyFont="1" applyBorder="1" applyAlignment="1">
      <alignment horizontal="center" vertical="center"/>
    </xf>
    <xf numFmtId="0" fontId="31" fillId="2" borderId="1" xfId="0" applyFont="1" applyFill="1" applyBorder="1" applyAlignment="1" applyProtection="1">
      <alignment horizontal="center" vertical="center"/>
      <protection locked="0"/>
    </xf>
    <xf numFmtId="180" fontId="32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34" fillId="2" borderId="1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29" fillId="2" borderId="1" xfId="0" applyFont="1" applyFill="1" applyBorder="1" applyAlignment="1" applyProtection="1">
      <alignment horizontal="center" vertical="center"/>
      <protection locked="0"/>
    </xf>
    <xf numFmtId="0" fontId="29" fillId="0" borderId="16" xfId="0" applyFont="1" applyBorder="1" applyAlignment="1">
      <alignment horizontal="center" vertical="center"/>
    </xf>
    <xf numFmtId="0" fontId="36" fillId="2" borderId="1" xfId="0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5" fillId="0" borderId="3" xfId="0" applyFont="1" applyBorder="1" applyAlignment="1">
      <alignment horizontal="center" vertical="center"/>
    </xf>
    <xf numFmtId="0" fontId="37" fillId="0" borderId="12" xfId="0" applyFont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 applyProtection="1">
      <alignment horizontal="center" vertical="center" wrapText="1"/>
      <protection locked="0"/>
    </xf>
    <xf numFmtId="0" fontId="32" fillId="3" borderId="1" xfId="0" applyFont="1" applyFill="1" applyBorder="1" applyAlignment="1">
      <alignment horizontal="center" vertical="center" wrapText="1"/>
    </xf>
    <xf numFmtId="176" fontId="38" fillId="2" borderId="1" xfId="0" applyNumberFormat="1" applyFont="1" applyFill="1" applyBorder="1" applyAlignment="1" applyProtection="1">
      <alignment horizontal="center" vertical="center" wrapText="1"/>
      <protection locked="0"/>
    </xf>
    <xf numFmtId="177" fontId="38" fillId="3" borderId="1" xfId="0" applyNumberFormat="1" applyFont="1" applyFill="1" applyBorder="1" applyAlignment="1">
      <alignment horizontal="center" vertical="center" wrapText="1"/>
    </xf>
    <xf numFmtId="184" fontId="38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37" fillId="0" borderId="1" xfId="0" applyFont="1" applyBorder="1" applyAlignment="1">
      <alignment horizontal="center" vertical="center"/>
    </xf>
    <xf numFmtId="1" fontId="38" fillId="3" borderId="1" xfId="0" applyNumberFormat="1" applyFont="1" applyFill="1" applyBorder="1" applyAlignment="1">
      <alignment horizontal="center" vertical="center" wrapText="1"/>
    </xf>
    <xf numFmtId="176" fontId="29" fillId="2" borderId="1" xfId="0" applyNumberFormat="1" applyFont="1" applyFill="1" applyBorder="1" applyAlignment="1" applyProtection="1">
      <alignment horizontal="center" vertical="center"/>
      <protection locked="0"/>
    </xf>
    <xf numFmtId="184" fontId="29" fillId="2" borderId="1" xfId="0" applyNumberFormat="1" applyFont="1" applyFill="1" applyBorder="1" applyAlignment="1" applyProtection="1">
      <alignment horizontal="center" vertical="center"/>
      <protection locked="0"/>
    </xf>
    <xf numFmtId="177" fontId="33" fillId="3" borderId="1" xfId="0" applyNumberFormat="1" applyFont="1" applyFill="1" applyBorder="1" applyAlignment="1">
      <alignment horizontal="center" vertical="center" wrapText="1"/>
    </xf>
    <xf numFmtId="186" fontId="38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0" xfId="0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 wrapText="1"/>
    </xf>
    <xf numFmtId="14" fontId="20" fillId="2" borderId="1" xfId="0" applyNumberFormat="1" applyFont="1" applyFill="1" applyBorder="1" applyAlignment="1"/>
    <xf numFmtId="178" fontId="40" fillId="0" borderId="1" xfId="0" applyNumberFormat="1" applyFont="1" applyBorder="1" applyAlignment="1"/>
    <xf numFmtId="180" fontId="40" fillId="0" borderId="1" xfId="0" applyNumberFormat="1" applyFont="1" applyBorder="1" applyAlignment="1"/>
    <xf numFmtId="0" fontId="40" fillId="2" borderId="1" xfId="0" applyFont="1" applyFill="1" applyBorder="1" applyAlignment="1"/>
    <xf numFmtId="181" fontId="15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/>
    </xf>
    <xf numFmtId="180" fontId="15" fillId="2" borderId="1" xfId="0" applyNumberFormat="1" applyFont="1" applyFill="1" applyBorder="1" applyAlignment="1">
      <alignment horizontal="center" vertical="center"/>
    </xf>
    <xf numFmtId="182" fontId="15" fillId="2" borderId="1" xfId="0" applyNumberFormat="1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176" fontId="41" fillId="2" borderId="1" xfId="0" applyNumberFormat="1" applyFont="1" applyFill="1" applyBorder="1" applyAlignment="1">
      <alignment horizontal="center" vertical="center"/>
    </xf>
    <xf numFmtId="184" fontId="41" fillId="2" borderId="1" xfId="0" applyNumberFormat="1" applyFont="1" applyFill="1" applyBorder="1" applyAlignment="1">
      <alignment horizontal="center" vertical="center"/>
    </xf>
    <xf numFmtId="177" fontId="41" fillId="0" borderId="1" xfId="0" applyNumberFormat="1" applyFont="1" applyBorder="1" applyAlignment="1">
      <alignment horizontal="center" vertical="center"/>
    </xf>
    <xf numFmtId="184" fontId="41" fillId="0" borderId="1" xfId="0" applyNumberFormat="1" applyFont="1" applyBorder="1" applyAlignment="1">
      <alignment horizontal="center" vertical="center"/>
    </xf>
    <xf numFmtId="181" fontId="41" fillId="0" borderId="1" xfId="0" applyNumberFormat="1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protection locked="0"/>
    </xf>
    <xf numFmtId="22" fontId="0" fillId="0" borderId="0" xfId="0" applyNumberFormat="1" applyFont="1" applyFill="1" applyAlignment="1" applyProtection="1">
      <protection locked="0"/>
    </xf>
    <xf numFmtId="3" fontId="0" fillId="0" borderId="0" xfId="0" applyNumberFormat="1" applyFont="1" applyFill="1" applyAlignment="1" applyProtection="1">
      <protection locked="0"/>
    </xf>
    <xf numFmtId="0" fontId="4" fillId="0" borderId="0" xfId="0" applyFont="1" applyFill="1" applyAlignment="1" applyProtection="1">
      <protection locked="0"/>
    </xf>
    <xf numFmtId="3" fontId="4" fillId="0" borderId="0" xfId="0" applyNumberFormat="1" applyFont="1" applyFill="1" applyAlignment="1" applyProtection="1">
      <protection locked="0"/>
    </xf>
    <xf numFmtId="22" fontId="4" fillId="0" borderId="0" xfId="0" applyNumberFormat="1" applyFont="1" applyFill="1" applyAlignment="1" applyProtection="1">
      <protection locked="0"/>
    </xf>
    <xf numFmtId="4" fontId="4" fillId="0" borderId="0" xfId="0" applyNumberFormat="1" applyFont="1" applyFill="1" applyAlignment="1" applyProtection="1">
      <protection locked="0"/>
    </xf>
    <xf numFmtId="0" fontId="0" fillId="0" borderId="0" xfId="0" applyFont="1" applyFill="1" applyAlignment="1"/>
    <xf numFmtId="179" fontId="0" fillId="0" borderId="0" xfId="0" applyNumberFormat="1" applyFont="1" applyFill="1" applyAlignment="1"/>
    <xf numFmtId="22" fontId="0" fillId="0" borderId="0" xfId="0" applyNumberFormat="1" applyFont="1" applyFill="1" applyAlignment="1"/>
    <xf numFmtId="3" fontId="0" fillId="0" borderId="0" xfId="0" applyNumberFormat="1" applyFont="1" applyFill="1" applyAlignment="1"/>
    <xf numFmtId="0" fontId="4" fillId="0" borderId="0" xfId="0" applyFont="1" applyFill="1" applyAlignment="1"/>
    <xf numFmtId="3" fontId="4" fillId="0" borderId="0" xfId="0" applyNumberFormat="1" applyFont="1" applyFill="1" applyAlignment="1"/>
    <xf numFmtId="179" fontId="4" fillId="0" borderId="0" xfId="0" applyNumberFormat="1" applyFont="1" applyFill="1" applyAlignment="1"/>
    <xf numFmtId="22" fontId="4" fillId="0" borderId="0" xfId="0" applyNumberFormat="1" applyFont="1" applyFill="1" applyAlignment="1"/>
    <xf numFmtId="0" fontId="28" fillId="0" borderId="1" xfId="0" applyFont="1" applyBorder="1" applyAlignment="1">
      <alignment horizontal="center" wrapText="1"/>
    </xf>
    <xf numFmtId="0" fontId="28" fillId="2" borderId="1" xfId="0" applyFont="1" applyFill="1" applyBorder="1" applyAlignment="1">
      <alignment horizontal="center" vertical="center" wrapText="1"/>
    </xf>
    <xf numFmtId="0" fontId="42" fillId="4" borderId="17" xfId="0" applyFont="1" applyFill="1" applyBorder="1" applyAlignment="1">
      <alignment horizontal="center" vertical="center"/>
    </xf>
    <xf numFmtId="0" fontId="0" fillId="0" borderId="17" xfId="0" applyBorder="1" applyAlignment="1"/>
    <xf numFmtId="0" fontId="43" fillId="5" borderId="18" xfId="0" applyFont="1" applyFill="1" applyBorder="1" applyAlignment="1">
      <alignment vertical="center"/>
    </xf>
    <xf numFmtId="0" fontId="36" fillId="6" borderId="18" xfId="0" applyFont="1" applyFill="1" applyBorder="1" applyAlignment="1">
      <alignment vertical="center"/>
    </xf>
    <xf numFmtId="0" fontId="0" fillId="0" borderId="19" xfId="0" applyBorder="1" applyAlignment="1"/>
    <xf numFmtId="0" fontId="0" fillId="0" borderId="20" xfId="0" applyBorder="1" applyAlignment="1"/>
    <xf numFmtId="0" fontId="43" fillId="5" borderId="1" xfId="0" applyFont="1" applyFill="1" applyBorder="1" applyAlignment="1">
      <alignment vertical="center"/>
    </xf>
    <xf numFmtId="0" fontId="36" fillId="6" borderId="1" xfId="0" applyFont="1" applyFill="1" applyBorder="1" applyAlignment="1">
      <alignment vertical="center"/>
    </xf>
    <xf numFmtId="0" fontId="36" fillId="6" borderId="1" xfId="0" applyFont="1" applyFill="1" applyBorder="1" applyAlignment="1">
      <alignment horizontal="center" vertical="center"/>
    </xf>
    <xf numFmtId="14" fontId="36" fillId="6" borderId="1" xfId="0" applyNumberFormat="1" applyFont="1" applyFill="1" applyBorder="1" applyAlignment="1">
      <alignment horizontal="center" vertical="center"/>
    </xf>
    <xf numFmtId="0" fontId="36" fillId="4" borderId="0" xfId="0" applyFont="1" applyFill="1" applyBorder="1" applyAlignment="1">
      <alignment vertical="center"/>
    </xf>
    <xf numFmtId="0" fontId="36" fillId="4" borderId="17" xfId="0" applyFont="1" applyFill="1" applyBorder="1" applyAlignment="1">
      <alignment vertical="center"/>
    </xf>
    <xf numFmtId="0" fontId="44" fillId="7" borderId="11" xfId="0" applyFont="1" applyFill="1" applyBorder="1" applyAlignment="1">
      <alignment horizontal="center" vertical="center"/>
    </xf>
    <xf numFmtId="0" fontId="44" fillId="7" borderId="0" xfId="0" applyFont="1" applyFill="1" applyAlignment="1">
      <alignment horizontal="center" vertical="center"/>
    </xf>
    <xf numFmtId="0" fontId="44" fillId="7" borderId="18" xfId="0" applyFont="1" applyFill="1" applyBorder="1" applyAlignment="1">
      <alignment vertical="center"/>
    </xf>
    <xf numFmtId="0" fontId="36" fillId="5" borderId="5" xfId="0" applyFont="1" applyFill="1" applyBorder="1" applyAlignment="1">
      <alignment horizontal="center" vertical="center"/>
    </xf>
    <xf numFmtId="0" fontId="36" fillId="8" borderId="5" xfId="0" applyFont="1" applyFill="1" applyBorder="1" applyAlignment="1">
      <alignment horizontal="center" vertical="center"/>
    </xf>
    <xf numFmtId="0" fontId="45" fillId="0" borderId="0" xfId="0" applyFont="1" applyAlignment="1"/>
    <xf numFmtId="0" fontId="36" fillId="5" borderId="1" xfId="0" applyFont="1" applyFill="1" applyBorder="1" applyAlignment="1">
      <alignment horizontal="center" vertical="center"/>
    </xf>
    <xf numFmtId="0" fontId="36" fillId="6" borderId="21" xfId="0" applyFont="1" applyFill="1" applyBorder="1" applyAlignment="1">
      <alignment horizontal="center" vertical="center"/>
    </xf>
    <xf numFmtId="0" fontId="46" fillId="9" borderId="22" xfId="0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center" vertical="center"/>
    </xf>
    <xf numFmtId="0" fontId="44" fillId="7" borderId="1" xfId="0" applyFont="1" applyFill="1" applyBorder="1" applyAlignment="1">
      <alignment vertical="center"/>
    </xf>
    <xf numFmtId="0" fontId="36" fillId="4" borderId="17" xfId="0" applyFont="1" applyFill="1" applyBorder="1" applyAlignment="1">
      <alignment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6" Type="http://schemas.openxmlformats.org/officeDocument/2006/relationships/styles" Target="styles.xml"/><Relationship Id="rId25" Type="http://schemas.microsoft.com/office/2006/relationships/vbaProject" Target="vbaProject.bin"/><Relationship Id="rId24" Type="http://schemas.openxmlformats.org/officeDocument/2006/relationships/sharedStrings" Target="sharedStrings.xml"/><Relationship Id="rId23" Type="http://schemas.openxmlformats.org/officeDocument/2006/relationships/theme" Target="theme/theme1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marker"/>
        <c:varyColors val="0"/>
        <c:ser>
          <c:idx val="0"/>
          <c:order val="0"/>
          <c:spPr>
            <a:ln w="19050" cap="rnd" cmpd="sng" algn="ctr">
              <a:noFill/>
              <a:prstDash val="solid"/>
              <a:round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线性!$C$3:$G$3</c:f>
              <c:numCache>
                <c:formatCode>General</c:formatCode>
                <c:ptCount val="5"/>
                <c:pt idx="0">
                  <c:v>2.57</c:v>
                </c:pt>
                <c:pt idx="1">
                  <c:v>12.84</c:v>
                </c:pt>
                <c:pt idx="2">
                  <c:v>25.68</c:v>
                </c:pt>
                <c:pt idx="3">
                  <c:v>38.51</c:v>
                </c:pt>
                <c:pt idx="4">
                  <c:v>51.35</c:v>
                </c:pt>
              </c:numCache>
            </c:numRef>
          </c:xVal>
          <c:yVal>
            <c:numRef>
              <c:f>线性!$C$9:$G$9</c:f>
              <c:numCache>
                <c:formatCode>General</c:formatCode>
                <c:ptCount val="5"/>
                <c:pt idx="0">
                  <c:v>-55</c:v>
                </c:pt>
                <c:pt idx="1">
                  <c:v>1904</c:v>
                </c:pt>
                <c:pt idx="2">
                  <c:v>-386</c:v>
                </c:pt>
                <c:pt idx="3">
                  <c:v>-2288</c:v>
                </c:pt>
                <c:pt idx="4">
                  <c:v>-2680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1"/>
        </c:dLbls>
        <c:axId val="662665394"/>
        <c:axId val="344642127"/>
      </c:scatterChart>
      <c:valAx>
        <c:axId val="66266539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浓度（ng/ml）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low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344642127"/>
        <c:crosses val="autoZero"/>
        <c:crossBetween val="midCat"/>
      </c:valAx>
      <c:valAx>
        <c:axId val="344642127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残差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662665394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868686">
          <a:tint val="75000"/>
        </a:srgbClr>
      </a:solidFill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marker"/>
        <c:varyColors val="0"/>
        <c:ser>
          <c:idx val="0"/>
          <c:order val="0"/>
          <c:spPr>
            <a:ln w="19050" cap="rnd" cmpd="sng" algn="ctr">
              <a:noFill/>
              <a:prstDash val="solid"/>
              <a:round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线性!$C$15:$G$15</c:f>
              <c:numCache>
                <c:formatCode>General</c:formatCode>
                <c:ptCount val="5"/>
                <c:pt idx="0">
                  <c:v>2.52</c:v>
                </c:pt>
                <c:pt idx="1">
                  <c:v>12.62</c:v>
                </c:pt>
                <c:pt idx="2">
                  <c:v>25.24</c:v>
                </c:pt>
                <c:pt idx="3">
                  <c:v>37.86</c:v>
                </c:pt>
                <c:pt idx="4">
                  <c:v>50.48</c:v>
                </c:pt>
              </c:numCache>
            </c:numRef>
          </c:xVal>
          <c:yVal>
            <c:numRef>
              <c:f>线性!$C$21:$G$21</c:f>
              <c:numCache>
                <c:formatCode>General</c:formatCode>
                <c:ptCount val="5"/>
                <c:pt idx="0">
                  <c:v>-8</c:v>
                </c:pt>
                <c:pt idx="1">
                  <c:v>13</c:v>
                </c:pt>
                <c:pt idx="2">
                  <c:v>3026</c:v>
                </c:pt>
                <c:pt idx="3">
                  <c:v>-7418</c:v>
                </c:pt>
                <c:pt idx="4">
                  <c:v>3941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1"/>
        </c:dLbls>
        <c:axId val="411044639"/>
        <c:axId val="580909964"/>
      </c:scatterChart>
      <c:valAx>
        <c:axId val="41104463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浓度（ng/ml）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low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580909964"/>
        <c:crosses val="autoZero"/>
        <c:crossBetween val="midCat"/>
      </c:valAx>
      <c:valAx>
        <c:axId val="580909964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残差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411044639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868686">
          <a:tint val="75000"/>
        </a:srgbClr>
      </a:solidFill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marker"/>
        <c:varyColors val="0"/>
        <c:ser>
          <c:idx val="0"/>
          <c:order val="0"/>
          <c:spPr>
            <a:ln w="19050" cap="rnd" cmpd="sng" algn="ctr">
              <a:noFill/>
              <a:prstDash val="solid"/>
              <a:round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线性!$C$27:$G$27</c:f>
              <c:numCache>
                <c:formatCode>General</c:formatCode>
                <c:ptCount val="5"/>
                <c:pt idx="0">
                  <c:v>2.57</c:v>
                </c:pt>
                <c:pt idx="1">
                  <c:v>12.84</c:v>
                </c:pt>
                <c:pt idx="2">
                  <c:v>25.68</c:v>
                </c:pt>
                <c:pt idx="3">
                  <c:v>38.51</c:v>
                </c:pt>
                <c:pt idx="4">
                  <c:v>51.35</c:v>
                </c:pt>
              </c:numCache>
            </c:numRef>
          </c:xVal>
          <c:yVal>
            <c:numRef>
              <c:f>线性!$C$33:$G$33</c:f>
              <c:numCache>
                <c:formatCode>General</c:formatCode>
                <c:ptCount val="5"/>
                <c:pt idx="0">
                  <c:v>14889</c:v>
                </c:pt>
                <c:pt idx="1">
                  <c:v>78112</c:v>
                </c:pt>
                <c:pt idx="2">
                  <c:v>152417</c:v>
                </c:pt>
                <c:pt idx="3">
                  <c:v>227051</c:v>
                </c:pt>
                <c:pt idx="4">
                  <c:v>303254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1"/>
        </c:dLbls>
        <c:axId val="752965762"/>
        <c:axId val="224805665"/>
      </c:scatterChart>
      <c:valAx>
        <c:axId val="75296576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浓度（ng/ml）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low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224805665"/>
        <c:crosses val="autoZero"/>
        <c:crossBetween val="midCat"/>
      </c:valAx>
      <c:valAx>
        <c:axId val="224805665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残差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752965762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868686">
          <a:tint val="75000"/>
        </a:srgbClr>
      </a:solidFill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marker"/>
        <c:varyColors val="0"/>
        <c:ser>
          <c:idx val="0"/>
          <c:order val="0"/>
          <c:spPr>
            <a:ln w="19050" cap="rnd" cmpd="sng" algn="ctr">
              <a:noFill/>
              <a:prstDash val="solid"/>
              <a:round/>
            </a:ln>
          </c:spP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线性!$C$39:$G$39</c:f>
              <c:numCache>
                <c:formatCode>General</c:formatCode>
                <c:ptCount val="5"/>
                <c:pt idx="0">
                  <c:v>2.52</c:v>
                </c:pt>
                <c:pt idx="1">
                  <c:v>12.62</c:v>
                </c:pt>
                <c:pt idx="2">
                  <c:v>25.24</c:v>
                </c:pt>
                <c:pt idx="3">
                  <c:v>37.86</c:v>
                </c:pt>
                <c:pt idx="4">
                  <c:v>50.48</c:v>
                </c:pt>
              </c:numCache>
            </c:numRef>
          </c:xVal>
          <c:yVal>
            <c:numRef>
              <c:f>线性!$C$45:$G$45</c:f>
              <c:numCache>
                <c:formatCode>General</c:formatCode>
                <c:ptCount val="5"/>
                <c:pt idx="0">
                  <c:v>16439</c:v>
                </c:pt>
                <c:pt idx="1">
                  <c:v>82784</c:v>
                </c:pt>
                <c:pt idx="2">
                  <c:v>168669</c:v>
                </c:pt>
                <c:pt idx="3">
                  <c:v>241097</c:v>
                </c:pt>
                <c:pt idx="4">
                  <c:v>335328</c:v>
                </c:pt>
              </c:numCache>
            </c:numRef>
          </c:yVal>
          <c:smooth val="0"/>
        </c:ser>
        <c:dLbls>
          <c:showLegendKey val="0"/>
          <c:showVal val="1"/>
          <c:showCatName val="0"/>
          <c:showSerName val="0"/>
          <c:showPercent val="0"/>
          <c:showBubbleSize val="1"/>
        </c:dLbls>
        <c:axId val="971701619"/>
        <c:axId val="313891907"/>
      </c:scatterChart>
      <c:valAx>
        <c:axId val="97170161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浓度（ng/ml）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low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313891907"/>
        <c:crosses val="autoZero"/>
        <c:crossBetween val="midCat"/>
      </c:valAx>
      <c:valAx>
        <c:axId val="313891907"/>
        <c:scaling>
          <c:orientation val="minMax"/>
        </c:scaling>
        <c:delete val="0"/>
        <c:axPos val="l"/>
        <c:majorGridlines>
          <c:spPr>
            <a:ln w="12700" cap="flat" cmpd="sng" algn="ctr">
              <a:noFill/>
              <a:prstDash val="solid"/>
              <a:round/>
            </a:ln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1" i="0" u="none" strike="noStrike" kern="1200" baseline="0">
                    <a:solidFill>
                      <a:schemeClr val="tx1"/>
                    </a:solidFill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defRPr>
                </a:pPr>
                <a:r>
                  <a:rPr sz="1000" b="1">
                    <a:latin typeface="Times New Roman" panose="02020603050405020304" charset="0"/>
                    <a:ea typeface="Times New Roman" panose="02020603050405020304" charset="0"/>
                    <a:cs typeface="Times New Roman" panose="02020603050405020304" charset="0"/>
                    <a:sym typeface="Times New Roman" panose="02020603050405020304" charset="0"/>
                  </a:rPr>
                  <a:t>残差</a:t>
                </a:r>
                <a:endParaRPr sz="1000" b="1">
                  <a:latin typeface="Times New Roman" panose="02020603050405020304" charset="0"/>
                  <a:ea typeface="Times New Roman" panose="02020603050405020304" charset="0"/>
                  <a:cs typeface="Times New Roman" panose="02020603050405020304" charset="0"/>
                  <a:sym typeface="Times New Roman" panose="02020603050405020304" charset="0"/>
                </a:endParaRP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Times New Roman" panose="02020603050405020304" charset="0"/>
                <a:ea typeface="Times New Roman" panose="02020603050405020304" charset="0"/>
                <a:cs typeface="Times New Roman" panose="02020603050405020304" charset="0"/>
                <a:sym typeface="Times New Roman" panose="02020603050405020304" charset="0"/>
              </a:defRPr>
            </a:pPr>
          </a:p>
        </c:txPr>
        <c:crossAx val="971701619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868686">
          <a:tint val="75000"/>
        </a:srgbClr>
      </a:solidFill>
      <a:prstDash val="solid"/>
      <a:round/>
    </a:ln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"/>
        <c:varyColors val="0"/>
        <c:ser>
          <c:idx val="0"/>
          <c:order val="0"/>
          <c:tx>
            <c:strRef>
              <c:f>"series1"</c:f>
              <c:strCache>
                <c:ptCount val="1"/>
                <c:pt idx="0">
                  <c:v>series1</c:v>
                </c:pt>
              </c:strCache>
            </c:strRef>
          </c:tx>
          <c:spPr>
            <a:ln w="38100" cap="rnd" cmpd="sng" algn="ctr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_tpl_linear!$C$3:$G$3</c:f>
              <c:numCache>
                <c:formatCode>General</c:formatCode>
                <c:ptCount val="5"/>
              </c:numCache>
            </c:numRef>
          </c:xVal>
          <c:yVal>
            <c:numRef>
              <c:f>_tpl_linear!$C$6:$G$6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"/>
        <c:axId val="10"/>
      </c:scatterChart>
      <c:valAx>
        <c:axId val="20"/>
        <c:scaling>
          <c:orientation val="minMax"/>
        </c:scaling>
        <c:delete val="0"/>
        <c:axPos val="b"/>
        <c:majorGridlines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残差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0"/>
        <c:crosses val="autoZero"/>
        <c:crossBetween val="midCat"/>
      </c:valAx>
      <c:valAx>
        <c:axId val="10"/>
        <c:scaling>
          <c:orientation val="minMax"/>
        </c:scaling>
        <c:delete val="0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浓度（ng/ml）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"/>
        <c:crosses val="autoZero"/>
        <c:crossBetween val="midCat"/>
      </c:valAx>
    </c:plotArea>
    <c:plotVisOnly val="1"/>
    <c:dispBlanksAs val="gap"/>
    <c:showDLblsOverMax val="0"/>
    <c:extLst>
      <c:ext uri="{0b15fc19-7d7d-44ad-8c2d-2c3a37ce22c3}">
        <chartProps xmlns="https://web.wps.cn/et/2018/main" chartId="{a677896f-615c-414e-b566-41fc8db3ce2d}"/>
      </c:ext>
    </c:extLst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133350</xdr:colOff>
      <xdr:row>0</xdr:row>
      <xdr:rowOff>5080</xdr:rowOff>
    </xdr:from>
    <xdr:to>
      <xdr:col>14</xdr:col>
      <xdr:colOff>48260</xdr:colOff>
      <xdr:row>11</xdr:row>
      <xdr:rowOff>97155</xdr:rowOff>
    </xdr:to>
    <xdr:graphicFrame>
      <xdr:nvGraphicFramePr>
        <xdr:cNvPr id="12" name="图表 11"/>
        <xdr:cNvGraphicFramePr/>
      </xdr:nvGraphicFramePr>
      <xdr:xfrm>
        <a:off x="7704455" y="5080"/>
        <a:ext cx="4448810" cy="26371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222250</xdr:colOff>
      <xdr:row>12</xdr:row>
      <xdr:rowOff>57150</xdr:rowOff>
    </xdr:from>
    <xdr:to>
      <xdr:col>14</xdr:col>
      <xdr:colOff>133350</xdr:colOff>
      <xdr:row>23</xdr:row>
      <xdr:rowOff>140335</xdr:rowOff>
    </xdr:to>
    <xdr:graphicFrame>
      <xdr:nvGraphicFramePr>
        <xdr:cNvPr id="13" name="图表 12"/>
        <xdr:cNvGraphicFramePr/>
      </xdr:nvGraphicFramePr>
      <xdr:xfrm>
        <a:off x="7793355" y="2773680"/>
        <a:ext cx="4445000" cy="26282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133350</xdr:colOff>
      <xdr:row>24</xdr:row>
      <xdr:rowOff>5080</xdr:rowOff>
    </xdr:from>
    <xdr:to>
      <xdr:col>14</xdr:col>
      <xdr:colOff>48260</xdr:colOff>
      <xdr:row>35</xdr:row>
      <xdr:rowOff>97155</xdr:rowOff>
    </xdr:to>
    <xdr:graphicFrame>
      <xdr:nvGraphicFramePr>
        <xdr:cNvPr id="14" name="图表 13"/>
        <xdr:cNvGraphicFramePr/>
      </xdr:nvGraphicFramePr>
      <xdr:xfrm>
        <a:off x="7704455" y="5438140"/>
        <a:ext cx="4448810" cy="26371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222250</xdr:colOff>
      <xdr:row>36</xdr:row>
      <xdr:rowOff>57150</xdr:rowOff>
    </xdr:from>
    <xdr:to>
      <xdr:col>14</xdr:col>
      <xdr:colOff>133350</xdr:colOff>
      <xdr:row>47</xdr:row>
      <xdr:rowOff>140335</xdr:rowOff>
    </xdr:to>
    <xdr:graphicFrame>
      <xdr:nvGraphicFramePr>
        <xdr:cNvPr id="15" name="图表 14"/>
        <xdr:cNvGraphicFramePr/>
      </xdr:nvGraphicFramePr>
      <xdr:xfrm>
        <a:off x="7793355" y="8206740"/>
        <a:ext cx="4445000" cy="26282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7</xdr:col>
      <xdr:colOff>0</xdr:colOff>
      <xdr:row>0</xdr:row>
      <xdr:rowOff>0</xdr:rowOff>
    </xdr:from>
    <xdr:ext cx="5400000" cy="2700000"/>
    <xdr:graphicFrame>
      <xdr:nvGraphicFramePr>
        <xdr:cNvPr id="2" name="Chart 1"/>
        <xdr:cNvGraphicFramePr/>
      </xdr:nvGraphicFramePr>
      <xdr:xfrm>
        <a:off x="7566660" y="0"/>
        <a:ext cx="5399405" cy="269938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8"/>
  <sheetViews>
    <sheetView workbookViewId="0">
      <selection activeCell="G8" sqref="G8"/>
    </sheetView>
  </sheetViews>
  <sheetFormatPr defaultColWidth="9.02654867256637" defaultRowHeight="13.5" outlineLevelCol="6"/>
  <cols>
    <col min="1" max="2" width="17.929203539823" style="1" customWidth="1"/>
    <col min="3" max="4" width="8.43362831858407" style="1" customWidth="1"/>
    <col min="5" max="5" width="18.3274336283186" style="1" customWidth="1"/>
    <col min="6" max="6" width="38.5044247787611" style="1" customWidth="1"/>
  </cols>
  <sheetData>
    <row r="1" spans="1:7">
      <c r="A1" s="173" t="s">
        <v>0</v>
      </c>
    </row>
    <row r="2" spans="1:7">
      <c r="A2" s="174"/>
      <c r="B2" s="174"/>
      <c r="C2" s="174"/>
      <c r="D2" s="174"/>
      <c r="E2" s="174"/>
      <c r="F2" s="174"/>
    </row>
    <row r="3" ht="17.6" customHeight="1" spans="1:7">
      <c r="A3" s="175" t="s">
        <v>1</v>
      </c>
      <c r="B3" s="176"/>
      <c r="C3" s="177"/>
      <c r="D3" s="178"/>
      <c r="E3" s="175" t="s">
        <v>2</v>
      </c>
      <c r="F3" s="176"/>
    </row>
    <row r="4" ht="17.6" customHeight="1" spans="1:7">
      <c r="A4" s="179" t="s">
        <v>3</v>
      </c>
      <c r="B4" s="180"/>
      <c r="C4" s="12"/>
      <c r="D4" s="13"/>
      <c r="E4" s="179" t="s">
        <v>4</v>
      </c>
      <c r="F4" s="181" t="s">
        <v>5</v>
      </c>
    </row>
    <row r="5" ht="17.6" customHeight="1" spans="1:7">
      <c r="A5" s="179" t="s">
        <v>6</v>
      </c>
      <c r="B5" s="180"/>
      <c r="C5" s="12"/>
      <c r="D5" s="13"/>
      <c r="E5" s="179" t="s">
        <v>7</v>
      </c>
      <c r="F5" s="182">
        <f ca="1">TODAY()</f>
        <v>46246</v>
      </c>
    </row>
    <row r="6" ht="17.6" customHeight="1" spans="1:7">
      <c r="A6" s="183"/>
      <c r="B6" s="183"/>
      <c r="C6" s="183"/>
      <c r="D6" s="183"/>
      <c r="E6" s="184"/>
      <c r="F6" s="184"/>
    </row>
    <row r="7" ht="17.6" customHeight="1" spans="1:7">
      <c r="A7" s="185" t="s">
        <v>8</v>
      </c>
      <c r="B7" s="186"/>
      <c r="C7" s="186"/>
      <c r="D7" s="186"/>
      <c r="E7" s="187"/>
      <c r="F7" s="187"/>
    </row>
    <row r="8" ht="17.6" customHeight="1" spans="1:7">
      <c r="A8" s="188" t="s">
        <v>8</v>
      </c>
      <c r="B8" s="189">
        <v>2</v>
      </c>
      <c r="C8" s="190"/>
      <c r="D8" s="190"/>
      <c r="E8" s="191"/>
      <c r="F8" s="192"/>
      <c r="G8" s="193" t="s">
        <v>9</v>
      </c>
    </row>
    <row r="9" ht="17.6" customHeight="1" spans="1:7">
      <c r="A9" s="191" t="s">
        <v>10</v>
      </c>
      <c r="B9" s="194" t="s">
        <v>11</v>
      </c>
      <c r="C9" s="190"/>
      <c r="D9" s="190"/>
      <c r="E9" s="191"/>
      <c r="F9" s="181"/>
    </row>
    <row r="10" ht="17.6" customHeight="1" spans="1:7">
      <c r="A10" s="191" t="s">
        <v>12</v>
      </c>
      <c r="B10" s="194" t="s">
        <v>13</v>
      </c>
      <c r="C10" s="190"/>
      <c r="D10" s="190"/>
      <c r="E10" s="191"/>
      <c r="F10" s="181"/>
    </row>
    <row r="11" ht="17.6" hidden="1" customHeight="1" spans="1:7">
      <c r="A11" s="191"/>
      <c r="B11" s="194"/>
      <c r="C11" s="190"/>
      <c r="D11" s="190"/>
      <c r="E11" s="191"/>
      <c r="F11" s="181"/>
    </row>
    <row r="12" ht="17.6" hidden="1" customHeight="1" spans="1:7">
      <c r="A12" s="191"/>
      <c r="B12" s="194"/>
      <c r="C12" s="190"/>
      <c r="D12" s="190"/>
      <c r="E12" s="191"/>
      <c r="F12" s="181"/>
    </row>
    <row r="13" ht="17.6" hidden="1" customHeight="1" spans="1:7">
      <c r="A13" s="191"/>
      <c r="B13" s="194"/>
      <c r="C13" s="190"/>
      <c r="D13" s="190"/>
      <c r="E13" s="191"/>
      <c r="F13" s="181"/>
    </row>
    <row r="14" ht="17.6" hidden="1" customHeight="1" spans="1:7">
      <c r="A14" s="191"/>
      <c r="B14" s="194"/>
      <c r="C14" s="190"/>
      <c r="D14" s="190"/>
      <c r="E14" s="191"/>
      <c r="F14" s="181"/>
    </row>
    <row r="15" ht="17.6" hidden="1" customHeight="1" spans="1:7">
      <c r="A15" s="191" t="s">
        <v>14</v>
      </c>
      <c r="B15" s="194"/>
      <c r="C15" s="190"/>
      <c r="D15" s="190"/>
      <c r="E15" s="191"/>
      <c r="F15" s="181"/>
    </row>
    <row r="16" ht="17.6" hidden="1" customHeight="1" spans="1:7">
      <c r="A16" s="191" t="s">
        <v>15</v>
      </c>
      <c r="B16" s="194"/>
      <c r="C16" s="190"/>
      <c r="D16" s="190"/>
      <c r="E16" s="191"/>
      <c r="F16" s="181"/>
    </row>
    <row r="17" ht="17.6" hidden="1" customHeight="1" spans="1:6">
      <c r="A17" s="191" t="s">
        <v>16</v>
      </c>
      <c r="B17" s="194"/>
      <c r="C17" s="190"/>
      <c r="D17" s="190"/>
      <c r="E17" s="191"/>
      <c r="F17" s="181"/>
    </row>
    <row r="18" ht="17.6" hidden="1" customHeight="1" spans="1:6">
      <c r="A18" s="191" t="s">
        <v>17</v>
      </c>
      <c r="B18" s="194"/>
      <c r="C18" s="190"/>
      <c r="D18" s="190"/>
      <c r="E18" s="191"/>
      <c r="F18" s="181"/>
    </row>
    <row r="19" ht="17.6" hidden="1" customHeight="1" spans="1:6">
      <c r="A19" s="191" t="s">
        <v>18</v>
      </c>
      <c r="B19" s="194"/>
      <c r="C19" s="190"/>
      <c r="D19" s="190"/>
      <c r="E19" s="191"/>
      <c r="F19" s="181"/>
    </row>
    <row r="20" ht="17.6" hidden="1" customHeight="1" spans="1:6">
      <c r="A20" s="191" t="s">
        <v>19</v>
      </c>
      <c r="B20" s="194"/>
      <c r="C20" s="190"/>
      <c r="D20" s="190"/>
      <c r="E20" s="191"/>
      <c r="F20" s="181"/>
    </row>
    <row r="21" ht="17.6" hidden="1" customHeight="1" spans="1:6">
      <c r="A21" s="191" t="s">
        <v>20</v>
      </c>
      <c r="B21" s="194"/>
      <c r="C21" s="190"/>
      <c r="D21" s="190"/>
      <c r="E21" s="191"/>
      <c r="F21" s="181"/>
    </row>
    <row r="22" ht="17.6" hidden="1" customHeight="1" spans="1:6">
      <c r="A22" s="191" t="s">
        <v>21</v>
      </c>
      <c r="B22" s="194"/>
      <c r="C22" s="190"/>
      <c r="D22" s="190"/>
      <c r="E22" s="191"/>
      <c r="F22" s="181"/>
    </row>
    <row r="23" ht="17.6" hidden="1" customHeight="1" spans="1:6">
      <c r="A23" s="191" t="s">
        <v>22</v>
      </c>
      <c r="B23" s="194"/>
      <c r="C23" s="190"/>
      <c r="D23" s="190"/>
      <c r="E23" s="191"/>
      <c r="F23" s="181"/>
    </row>
    <row r="24" ht="17.6" customHeight="1" spans="1:6">
      <c r="A24" s="195" t="s">
        <v>23</v>
      </c>
      <c r="B24" s="12"/>
      <c r="C24" s="12"/>
      <c r="D24" s="12"/>
      <c r="E24" s="12"/>
      <c r="F24" s="13"/>
    </row>
    <row r="25" ht="17.6" customHeight="1" spans="1:6">
      <c r="A25" s="196" t="s">
        <v>24</v>
      </c>
      <c r="B25" s="174"/>
      <c r="C25" s="174"/>
      <c r="D25" s="174"/>
      <c r="E25" s="174"/>
      <c r="F25" s="174"/>
    </row>
    <row r="26" ht="17.6" customHeight="1" spans="1:6">
      <c r="A26" s="196" t="s">
        <v>25</v>
      </c>
      <c r="B26" s="174"/>
      <c r="C26" s="174"/>
      <c r="D26" s="174"/>
      <c r="E26" s="174"/>
      <c r="F26" s="174"/>
    </row>
    <row r="27" ht="17.6" customHeight="1" spans="1:6">
      <c r="A27" s="196" t="s">
        <v>26</v>
      </c>
      <c r="B27" s="174"/>
      <c r="C27" s="174"/>
      <c r="D27" s="174"/>
      <c r="E27" s="174"/>
      <c r="F27" s="174"/>
    </row>
    <row r="28" ht="17.6" customHeight="1" spans="1:6">
      <c r="A28" s="196" t="s">
        <v>27</v>
      </c>
      <c r="B28" s="174"/>
      <c r="C28" s="174"/>
      <c r="D28" s="174"/>
      <c r="E28" s="174"/>
      <c r="F28" s="174"/>
    </row>
  </sheetData>
  <mergeCells count="10">
    <mergeCell ref="B3:D3"/>
    <mergeCell ref="B4:D4"/>
    <mergeCell ref="B5:D5"/>
    <mergeCell ref="A7:D7"/>
    <mergeCell ref="A24:F24"/>
    <mergeCell ref="A25:F25"/>
    <mergeCell ref="A26:F26"/>
    <mergeCell ref="A27:F27"/>
    <mergeCell ref="A28:F28"/>
    <mergeCell ref="A1:F2"/>
  </mergeCells>
  <dataValidations count="1">
    <dataValidation type="whole" operator="between" errorTitle="数量无效" error="请输入 1-15 之间的数量。" sqref="B8">
      <formula1>1</formula1>
      <formula2>15</formula2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13"/>
  <sheetViews>
    <sheetView workbookViewId="0">
      <selection activeCell="C8" sqref="A1:C13"/>
    </sheetView>
  </sheetViews>
  <sheetFormatPr defaultColWidth="9" defaultRowHeight="13.5" outlineLevelCol="5"/>
  <cols>
    <col min="1" max="1" width="24.1061946902655" customWidth="1"/>
    <col min="2" max="3" width="20.6548672566372" customWidth="1"/>
    <col min="4" max="4" width="24.1061946902655" customWidth="1"/>
    <col min="5" max="6" width="20.6548672566372" customWidth="1"/>
  </cols>
  <sheetData>
    <row r="1" ht="21" customHeight="1" spans="1:6">
      <c r="A1" s="149" t="s">
        <v>28</v>
      </c>
      <c r="B1" s="149" t="s">
        <v>11</v>
      </c>
      <c r="C1" s="13"/>
      <c r="D1" s="149" t="s">
        <v>28</v>
      </c>
      <c r="E1" s="149" t="s">
        <v>13</v>
      </c>
      <c r="F1" s="13"/>
    </row>
    <row r="2" ht="21" customHeight="1" spans="1:6">
      <c r="A2" s="149" t="s">
        <v>29</v>
      </c>
      <c r="B2" s="149" t="s">
        <v>30</v>
      </c>
      <c r="C2" s="149" t="s">
        <v>31</v>
      </c>
      <c r="D2" s="149" t="s">
        <v>29</v>
      </c>
      <c r="E2" s="149" t="s">
        <v>30</v>
      </c>
      <c r="F2" s="149" t="s">
        <v>31</v>
      </c>
    </row>
    <row r="3" ht="21" customHeight="1" spans="1:6">
      <c r="A3" s="149" t="s">
        <v>32</v>
      </c>
      <c r="B3" s="150">
        <v>8.211</v>
      </c>
      <c r="C3" s="151">
        <v>134250</v>
      </c>
      <c r="D3" s="149" t="s">
        <v>32</v>
      </c>
      <c r="E3" s="150">
        <v>8.211</v>
      </c>
      <c r="F3" s="151">
        <v>134250</v>
      </c>
    </row>
    <row r="4" ht="21" customHeight="1" spans="1:6">
      <c r="A4" s="149" t="s">
        <v>33</v>
      </c>
      <c r="B4" s="150">
        <v>8.211</v>
      </c>
      <c r="C4" s="151">
        <v>136126</v>
      </c>
      <c r="D4" s="149" t="s">
        <v>33</v>
      </c>
      <c r="E4" s="150">
        <v>8.211</v>
      </c>
      <c r="F4" s="151">
        <v>136126</v>
      </c>
    </row>
    <row r="5" ht="21" customHeight="1" spans="1:6">
      <c r="A5" s="149" t="s">
        <v>34</v>
      </c>
      <c r="B5" s="150">
        <v>8.212</v>
      </c>
      <c r="C5" s="151">
        <v>136734</v>
      </c>
      <c r="D5" s="149" t="s">
        <v>34</v>
      </c>
      <c r="E5" s="150">
        <v>8.212</v>
      </c>
      <c r="F5" s="151">
        <v>136734</v>
      </c>
    </row>
    <row r="6" ht="21" customHeight="1" spans="1:6">
      <c r="A6" s="149" t="s">
        <v>35</v>
      </c>
      <c r="B6" s="150">
        <v>8.212</v>
      </c>
      <c r="C6" s="151">
        <v>141748</v>
      </c>
      <c r="D6" s="149" t="s">
        <v>35</v>
      </c>
      <c r="E6" s="150">
        <v>8.212</v>
      </c>
      <c r="F6" s="151">
        <v>141748</v>
      </c>
    </row>
    <row r="7" ht="21" customHeight="1" spans="1:6">
      <c r="A7" s="149" t="s">
        <v>36</v>
      </c>
      <c r="B7" s="150">
        <v>8.209</v>
      </c>
      <c r="C7" s="151">
        <v>143948</v>
      </c>
      <c r="D7" s="149" t="s">
        <v>36</v>
      </c>
      <c r="E7" s="150">
        <v>8.209</v>
      </c>
      <c r="F7" s="151">
        <v>143948</v>
      </c>
    </row>
    <row r="8" ht="21" customHeight="1" spans="1:6">
      <c r="A8" s="149" t="s">
        <v>37</v>
      </c>
      <c r="B8" s="150">
        <v>8.21</v>
      </c>
      <c r="C8" s="151">
        <v>140876</v>
      </c>
      <c r="D8" s="149" t="s">
        <v>37</v>
      </c>
      <c r="E8" s="150">
        <v>8.21</v>
      </c>
      <c r="F8" s="151">
        <v>140876</v>
      </c>
    </row>
    <row r="9" ht="21" customHeight="1" spans="1:6">
      <c r="A9" s="149" t="s">
        <v>38</v>
      </c>
      <c r="B9" s="152">
        <f>IFERROR(ROUNDUP(B13,1),"")</f>
        <v>0.1</v>
      </c>
      <c r="C9" s="152">
        <f>IFERROR(ROUNDUP(C13,1),"")</f>
        <v>2.8</v>
      </c>
      <c r="D9" s="149" t="s">
        <v>38</v>
      </c>
      <c r="E9" s="152">
        <f>IFERROR(ROUNDUP(E13,1),"")</f>
        <v>0.1</v>
      </c>
      <c r="F9" s="152">
        <f>IFERROR(ROUNDUP(F13,1),"")</f>
        <v>2.8</v>
      </c>
    </row>
    <row r="10" ht="21" customHeight="1" spans="1:6">
      <c r="A10" s="149" t="s">
        <v>39</v>
      </c>
      <c r="B10" s="149"/>
      <c r="C10" s="149"/>
      <c r="D10" s="149" t="s">
        <v>39</v>
      </c>
      <c r="E10" s="149"/>
      <c r="F10" s="149"/>
    </row>
    <row r="11" ht="21" customHeight="1" spans="1:6">
      <c r="A11" s="149" t="s">
        <v>40</v>
      </c>
      <c r="B11" s="149">
        <f>IFERROR(AVERAGE(B3:B8),"")</f>
        <v>8.21083333333334</v>
      </c>
      <c r="C11" s="153">
        <f>IFERROR(AVERAGE(C3:C8),"")</f>
        <v>138947</v>
      </c>
      <c r="D11" s="149" t="s">
        <v>40</v>
      </c>
      <c r="E11" s="149">
        <f>IFERROR(AVERAGE(E3:E8),"")</f>
        <v>8.21083333333334</v>
      </c>
      <c r="F11" s="153">
        <f>IFERROR(AVERAGE(F3:F8),"")</f>
        <v>138947</v>
      </c>
    </row>
    <row r="12" ht="21" customHeight="1" spans="1:6">
      <c r="A12" s="149" t="s">
        <v>41</v>
      </c>
      <c r="B12" s="154">
        <f>IFERROR(STDEV(B3:B8),"")</f>
        <v>0.00116904519444992</v>
      </c>
      <c r="C12" s="154">
        <f>IFERROR(STDEV(C3:C8),"")</f>
        <v>3781.37176167591</v>
      </c>
      <c r="D12" s="149" t="s">
        <v>41</v>
      </c>
      <c r="E12" s="154">
        <f>IFERROR(STDEV(E3:E8),"")</f>
        <v>0.00116904519444992</v>
      </c>
      <c r="F12" s="154">
        <f>IFERROR(STDEV(F3:F8),"")</f>
        <v>3781.37176167591</v>
      </c>
    </row>
    <row r="13" ht="21" customHeight="1" spans="1:6">
      <c r="A13" s="149" t="s">
        <v>42</v>
      </c>
      <c r="B13" s="149">
        <f>IFERROR(B12/B11*100,"")</f>
        <v>0.0142378385602345</v>
      </c>
      <c r="C13" s="149">
        <f>IFERROR(C12/C11*100,"")</f>
        <v>2.72144901413914</v>
      </c>
      <c r="D13" s="149" t="s">
        <v>42</v>
      </c>
      <c r="E13" s="149">
        <f>IFERROR(E12/E11*100,"")</f>
        <v>0.0142378385602345</v>
      </c>
      <c r="F13" s="149">
        <f>IFERROR(F12/F11*100,"")</f>
        <v>2.72144901413914</v>
      </c>
    </row>
  </sheetData>
  <mergeCells count="2">
    <mergeCell ref="B1:C1"/>
    <mergeCell ref="E1:F1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K3"/>
  <sheetViews>
    <sheetView workbookViewId="0">
      <selection activeCell="B36" sqref="B36"/>
    </sheetView>
  </sheetViews>
  <sheetFormatPr defaultColWidth="9.02654867256637" defaultRowHeight="13.5" outlineLevelRow="2"/>
  <cols>
    <col min="1" max="1" width="11.4867256637168" style="1" customWidth="1"/>
    <col min="2" max="2" width="14.0796460176991" style="1" customWidth="1"/>
    <col min="3" max="3" width="10.6194690265487" style="1" customWidth="1"/>
    <col min="4" max="5" width="20.9115044247788" style="1" customWidth="1"/>
    <col min="6" max="6" width="14.5398230088496" style="1" customWidth="1"/>
    <col min="7" max="11" width="12.5486725663717" style="1" customWidth="1"/>
  </cols>
  <sheetData>
    <row r="1" s="127" customFormat="1" ht="17" customHeight="1" spans="1:11">
      <c r="A1" s="141"/>
      <c r="B1" s="142"/>
      <c r="C1" s="143"/>
      <c r="D1" s="142"/>
      <c r="E1" s="144"/>
      <c r="F1" s="144"/>
      <c r="G1" s="144"/>
      <c r="H1" s="144"/>
      <c r="I1" s="144"/>
      <c r="J1" s="144"/>
      <c r="K1" s="144"/>
    </row>
    <row r="2" s="127" customFormat="1" ht="17" customHeight="1" spans="1:11">
      <c r="A2" s="145" t="s">
        <v>43</v>
      </c>
      <c r="B2" s="48" t="s">
        <v>44</v>
      </c>
      <c r="C2" s="55" t="s">
        <v>45</v>
      </c>
      <c r="D2" s="48" t="s">
        <v>46</v>
      </c>
      <c r="E2" s="48" t="s">
        <v>47</v>
      </c>
      <c r="F2" s="146" t="s">
        <v>48</v>
      </c>
      <c r="G2" s="146" t="s">
        <v>49</v>
      </c>
      <c r="H2" s="146" t="s">
        <v>50</v>
      </c>
      <c r="I2" s="146" t="s">
        <v>51</v>
      </c>
      <c r="J2" s="146" t="s">
        <v>52</v>
      </c>
      <c r="K2" s="146" t="s">
        <v>53</v>
      </c>
    </row>
    <row r="3" s="127" customFormat="1" ht="17" customHeight="1" spans="1:11">
      <c r="A3" s="56" t="s">
        <v>54</v>
      </c>
      <c r="B3" s="147"/>
      <c r="C3" s="148"/>
      <c r="D3" s="127">
        <f>B3*C3/20*1000*1000</f>
        <v>0</v>
      </c>
      <c r="E3" s="127">
        <f>D3*0.2/20</f>
        <v>0</v>
      </c>
      <c r="F3" s="127">
        <f>ROUND(E3*F1/20,2)</f>
        <v>0</v>
      </c>
      <c r="G3" s="127">
        <f>ROUND(E3*G1/20,2)</f>
        <v>0</v>
      </c>
      <c r="H3" s="127">
        <f>ROUND(E3*H1/20,2)</f>
        <v>0</v>
      </c>
      <c r="I3" s="127">
        <f>ROUND(E3*I1/20,2)</f>
        <v>0</v>
      </c>
      <c r="J3" s="127">
        <f>ROUND(E3*J1/20,2)</f>
        <v>0</v>
      </c>
      <c r="K3" s="127">
        <f>ROUND(E3*K1/20,2)</f>
        <v>0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D10"/>
  <sheetViews>
    <sheetView workbookViewId="0">
      <selection activeCell="A2" sqref="A1:D5"/>
    </sheetView>
  </sheetViews>
  <sheetFormatPr defaultColWidth="9" defaultRowHeight="13.5" outlineLevelCol="3"/>
  <cols>
    <col min="1" max="1" width="13.9469026548673" customWidth="1"/>
    <col min="2" max="4" width="19.7256637168142" customWidth="1"/>
    <col min="5" max="16384" width="9" customWidth="1"/>
  </cols>
  <sheetData>
    <row r="1" ht="17.6" customHeight="1" spans="1:4">
      <c r="A1" s="137" t="s">
        <v>28</v>
      </c>
      <c r="B1" s="137" t="s">
        <v>29</v>
      </c>
      <c r="C1" s="137" t="s">
        <v>30</v>
      </c>
      <c r="D1" s="137" t="s">
        <v>31</v>
      </c>
    </row>
    <row r="2" ht="17.6" customHeight="1" spans="1:4">
      <c r="A2" s="138" t="s">
        <v>11</v>
      </c>
      <c r="B2" s="137" t="s">
        <v>55</v>
      </c>
      <c r="C2" s="139"/>
      <c r="D2" s="139"/>
    </row>
    <row r="3" ht="17.6" customHeight="1" spans="1:4">
      <c r="A3" s="18"/>
      <c r="B3" s="137" t="s">
        <v>56</v>
      </c>
      <c r="C3" s="140"/>
      <c r="D3" s="140"/>
    </row>
    <row r="4" ht="17.6" customHeight="1" spans="1:4">
      <c r="A4" s="18"/>
      <c r="B4" s="137" t="s">
        <v>57</v>
      </c>
      <c r="C4" s="140"/>
      <c r="D4" s="140"/>
    </row>
    <row r="5" ht="17.6" customHeight="1" spans="1:4">
      <c r="A5" s="19"/>
      <c r="B5" s="137" t="s">
        <v>58</v>
      </c>
      <c r="C5" s="140"/>
      <c r="D5" s="140"/>
    </row>
    <row r="6" ht="17.6" customHeight="1" spans="1:4">
      <c r="A6" s="137" t="s">
        <v>28</v>
      </c>
      <c r="B6" s="137" t="s">
        <v>29</v>
      </c>
      <c r="C6" s="137" t="s">
        <v>30</v>
      </c>
      <c r="D6" s="137" t="s">
        <v>31</v>
      </c>
    </row>
    <row r="7" ht="17.6" customHeight="1" spans="1:4">
      <c r="A7" s="138" t="s">
        <v>13</v>
      </c>
      <c r="B7" s="137" t="s">
        <v>55</v>
      </c>
      <c r="C7" s="139"/>
      <c r="D7" s="139"/>
    </row>
    <row r="8" ht="17.6" customHeight="1" spans="1:4">
      <c r="A8" s="18"/>
      <c r="B8" s="137" t="s">
        <v>56</v>
      </c>
      <c r="C8" s="140"/>
      <c r="D8" s="140"/>
    </row>
    <row r="9" ht="17.6" customHeight="1" spans="1:4">
      <c r="A9" s="18"/>
      <c r="B9" s="137" t="s">
        <v>57</v>
      </c>
      <c r="C9" s="140"/>
      <c r="D9" s="140"/>
    </row>
    <row r="10" ht="17.6" customHeight="1" spans="1:4">
      <c r="A10" s="19"/>
      <c r="B10" s="137" t="s">
        <v>58</v>
      </c>
      <c r="C10" s="140"/>
      <c r="D10" s="140"/>
    </row>
  </sheetData>
  <mergeCells count="2">
    <mergeCell ref="A2:A5"/>
    <mergeCell ref="A7:A10"/>
  </mergeCell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2"/>
  <sheetViews>
    <sheetView workbookViewId="0">
      <selection activeCell="G16" sqref="G16:G21"/>
    </sheetView>
  </sheetViews>
  <sheetFormatPr defaultColWidth="9" defaultRowHeight="13.5"/>
  <cols>
    <col min="1" max="1" width="9.07079646017699" customWidth="1"/>
    <col min="2" max="2" width="13.4159292035398" customWidth="1"/>
    <col min="3" max="3" width="13.8938053097345" customWidth="1"/>
    <col min="4" max="10" width="19.858407079646" customWidth="1"/>
  </cols>
  <sheetData>
    <row r="1" ht="23.25" customHeight="1" spans="1:10">
      <c r="A1" s="120" t="s">
        <v>59</v>
      </c>
      <c r="B1" s="20"/>
      <c r="C1" s="20"/>
      <c r="D1" s="20"/>
      <c r="E1" s="20"/>
      <c r="F1" s="20"/>
      <c r="G1" s="20"/>
      <c r="H1" s="20"/>
      <c r="I1" s="20"/>
      <c r="J1" s="44"/>
    </row>
    <row r="2" ht="35.25" customHeight="1" spans="1:10">
      <c r="A2" s="121" t="s">
        <v>60</v>
      </c>
      <c r="B2" s="121" t="s">
        <v>61</v>
      </c>
      <c r="C2" s="121" t="s">
        <v>28</v>
      </c>
      <c r="D2" s="121" t="s">
        <v>62</v>
      </c>
      <c r="E2" s="121" t="s">
        <v>63</v>
      </c>
      <c r="F2" s="121" t="s">
        <v>64</v>
      </c>
      <c r="G2" s="121" t="s">
        <v>65</v>
      </c>
      <c r="H2" s="121" t="s">
        <v>66</v>
      </c>
      <c r="I2" s="121" t="s">
        <v>67</v>
      </c>
      <c r="J2" s="13"/>
    </row>
    <row r="3" ht="18" customHeight="1" spans="1:10">
      <c r="A3" s="122">
        <v>25</v>
      </c>
      <c r="B3" s="122">
        <v>1</v>
      </c>
      <c r="C3" s="123" t="s">
        <v>11</v>
      </c>
      <c r="D3" s="124">
        <v>34.02</v>
      </c>
      <c r="E3" s="124">
        <v>27.43</v>
      </c>
      <c r="F3" s="124">
        <v>30.65</v>
      </c>
      <c r="G3" s="122">
        <v>1.28</v>
      </c>
      <c r="H3" s="125">
        <f>IF(G3="","",ROUND(G3/B3,1))</f>
        <v>1.3</v>
      </c>
      <c r="I3" s="126">
        <f>IF(H3="","",H3/A3*100)</f>
        <v>5.2</v>
      </c>
      <c r="J3" s="13"/>
    </row>
    <row r="4" ht="18" customHeight="1" spans="1:10">
      <c r="A4" s="122"/>
      <c r="B4" s="122"/>
      <c r="C4" s="123" t="s">
        <v>13</v>
      </c>
      <c r="D4" s="124">
        <v>34.02</v>
      </c>
      <c r="E4" s="124">
        <v>27.43</v>
      </c>
      <c r="F4" s="124">
        <v>30.65</v>
      </c>
      <c r="G4" s="122"/>
      <c r="H4" s="125" t="str">
        <f>IF(G4="","",ROUND(G4/B4,1))</f>
        <v/>
      </c>
      <c r="I4" s="126" t="str">
        <f>IF(H4="","",H4/A4*100)</f>
        <v/>
      </c>
      <c r="J4" s="13"/>
    </row>
    <row r="5" ht="18" customHeight="1" spans="1:10">
      <c r="A5" s="127"/>
      <c r="B5" s="127"/>
      <c r="C5" s="121" t="s">
        <v>39</v>
      </c>
      <c r="D5" s="122"/>
      <c r="E5" s="108"/>
      <c r="F5" s="108"/>
      <c r="G5" s="108"/>
      <c r="H5" s="108"/>
      <c r="I5" s="108"/>
      <c r="J5" s="109"/>
    </row>
    <row r="6" ht="23.25" customHeight="1" spans="1:10">
      <c r="A6" s="128" t="s">
        <v>68</v>
      </c>
      <c r="B6" s="12"/>
      <c r="C6" s="12"/>
      <c r="D6" s="12"/>
      <c r="E6" s="12"/>
      <c r="F6" s="12"/>
      <c r="G6" s="12"/>
      <c r="H6" s="12"/>
      <c r="I6" s="12"/>
      <c r="J6" s="13"/>
    </row>
    <row r="7" ht="35.25" customHeight="1" spans="1:10">
      <c r="A7" s="121" t="s">
        <v>60</v>
      </c>
      <c r="B7" s="121" t="s">
        <v>61</v>
      </c>
      <c r="C7" s="123" t="s">
        <v>11</v>
      </c>
      <c r="D7" s="121" t="s">
        <v>69</v>
      </c>
      <c r="E7" s="121" t="s">
        <v>70</v>
      </c>
      <c r="F7" s="121" t="s">
        <v>31</v>
      </c>
      <c r="G7" s="121" t="s">
        <v>71</v>
      </c>
      <c r="H7" s="121" t="s">
        <v>72</v>
      </c>
      <c r="I7" s="121" t="s">
        <v>73</v>
      </c>
      <c r="J7" s="121" t="s">
        <v>67</v>
      </c>
    </row>
    <row r="8" ht="18" customHeight="1" spans="1:10">
      <c r="A8" s="122"/>
      <c r="B8" s="122"/>
      <c r="C8" s="18"/>
      <c r="D8" s="129">
        <v>1</v>
      </c>
      <c r="E8" s="130">
        <v>58.44</v>
      </c>
      <c r="F8" s="131">
        <v>15766</v>
      </c>
      <c r="G8" s="132">
        <f>IFERROR(STDEV(F8:F13)/AVERAGE(F8:F13)*100,"")</f>
        <v>2.05831602821533</v>
      </c>
      <c r="H8" s="133"/>
      <c r="I8" s="125" t="str">
        <f>IF(H8="","",ROUND(H8/B8,1))</f>
        <v/>
      </c>
      <c r="J8" s="126" t="str">
        <f>IF(I8="","",I8/A8*100)</f>
        <v/>
      </c>
    </row>
    <row r="9" ht="18" customHeight="1" spans="1:10">
      <c r="A9" s="134"/>
      <c r="B9" s="134"/>
      <c r="C9" s="18"/>
      <c r="D9" s="129">
        <v>2</v>
      </c>
      <c r="E9" s="130">
        <v>60.69</v>
      </c>
      <c r="F9" s="131">
        <v>16006</v>
      </c>
      <c r="G9" s="18"/>
      <c r="H9" s="134"/>
      <c r="I9" s="18"/>
      <c r="J9" s="18"/>
    </row>
    <row r="10" ht="18" customHeight="1" spans="1:10">
      <c r="A10" s="134"/>
      <c r="B10" s="134"/>
      <c r="C10" s="18"/>
      <c r="D10" s="129">
        <v>3</v>
      </c>
      <c r="E10" s="130">
        <v>70.11</v>
      </c>
      <c r="F10" s="131">
        <v>15409</v>
      </c>
      <c r="G10" s="18"/>
      <c r="H10" s="134"/>
      <c r="I10" s="18"/>
      <c r="J10" s="18"/>
    </row>
    <row r="11" ht="18" customHeight="1" spans="1:10">
      <c r="A11" s="134"/>
      <c r="B11" s="134"/>
      <c r="C11" s="18"/>
      <c r="D11" s="129">
        <v>4</v>
      </c>
      <c r="E11" s="130">
        <v>50.12</v>
      </c>
      <c r="F11" s="131">
        <v>15196</v>
      </c>
      <c r="G11" s="18"/>
      <c r="H11" s="134"/>
      <c r="I11" s="18"/>
      <c r="J11" s="18"/>
    </row>
    <row r="12" ht="18" customHeight="1" spans="1:10">
      <c r="A12" s="134"/>
      <c r="B12" s="134"/>
      <c r="C12" s="18"/>
      <c r="D12" s="129">
        <v>5</v>
      </c>
      <c r="E12" s="130">
        <v>59.39</v>
      </c>
      <c r="F12" s="131">
        <v>15968</v>
      </c>
      <c r="G12" s="18"/>
      <c r="H12" s="134"/>
      <c r="I12" s="18"/>
      <c r="J12" s="18"/>
    </row>
    <row r="13" ht="18" customHeight="1" spans="1:10">
      <c r="A13" s="135"/>
      <c r="B13" s="135"/>
      <c r="C13" s="18"/>
      <c r="D13" s="129">
        <v>6</v>
      </c>
      <c r="E13" s="130">
        <v>50.72</v>
      </c>
      <c r="F13" s="131">
        <v>15816</v>
      </c>
      <c r="G13" s="19"/>
      <c r="H13" s="135"/>
      <c r="I13" s="19"/>
      <c r="J13" s="19"/>
    </row>
    <row r="14" ht="18" customHeight="1" spans="1:10">
      <c r="A14" s="127"/>
      <c r="B14" s="127"/>
      <c r="C14" s="19"/>
      <c r="D14" s="121" t="s">
        <v>39</v>
      </c>
      <c r="E14" s="122"/>
      <c r="F14" s="108"/>
      <c r="G14" s="108"/>
      <c r="H14" s="108"/>
      <c r="I14" s="108"/>
      <c r="J14" s="109"/>
    </row>
    <row r="15" ht="35.25" customHeight="1" spans="1:10">
      <c r="A15" s="121" t="s">
        <v>60</v>
      </c>
      <c r="B15" s="121" t="s">
        <v>61</v>
      </c>
      <c r="C15" s="123" t="s">
        <v>13</v>
      </c>
      <c r="D15" s="121" t="s">
        <v>69</v>
      </c>
      <c r="E15" s="121" t="s">
        <v>70</v>
      </c>
      <c r="F15" s="121" t="s">
        <v>31</v>
      </c>
      <c r="G15" s="121" t="s">
        <v>71</v>
      </c>
      <c r="H15" s="121" t="s">
        <v>72</v>
      </c>
      <c r="I15" s="121" t="s">
        <v>73</v>
      </c>
      <c r="J15" s="121" t="s">
        <v>67</v>
      </c>
    </row>
    <row r="16" ht="18" customHeight="1" spans="1:10">
      <c r="A16" s="122"/>
      <c r="B16" s="122"/>
      <c r="C16" s="18"/>
      <c r="D16" s="129">
        <v>1</v>
      </c>
      <c r="E16" s="130">
        <v>58.44</v>
      </c>
      <c r="F16" s="131">
        <v>15766</v>
      </c>
      <c r="G16" s="132">
        <f>IFERROR(STDEV(F16:F21)/AVERAGE(F16:F21)*100,"")</f>
        <v>2.05831602821533</v>
      </c>
      <c r="H16" s="133"/>
      <c r="I16" s="125" t="str">
        <f>IF(H16="","",ROUND(H16/B16,1))</f>
        <v/>
      </c>
      <c r="J16" s="126" t="str">
        <f>IF(I16="","",I16/A16*100)</f>
        <v/>
      </c>
    </row>
    <row r="17" ht="18" customHeight="1" spans="1:10">
      <c r="A17" s="134"/>
      <c r="B17" s="134"/>
      <c r="C17" s="18"/>
      <c r="D17" s="129">
        <v>2</v>
      </c>
      <c r="E17" s="130">
        <v>60.69</v>
      </c>
      <c r="F17" s="131">
        <v>16006</v>
      </c>
      <c r="G17" s="18"/>
      <c r="H17" s="134"/>
      <c r="I17" s="18"/>
      <c r="J17" s="18"/>
    </row>
    <row r="18" ht="18" customHeight="1" spans="1:10">
      <c r="A18" s="134"/>
      <c r="B18" s="134"/>
      <c r="C18" s="18"/>
      <c r="D18" s="129">
        <v>3</v>
      </c>
      <c r="E18" s="130">
        <v>70.11</v>
      </c>
      <c r="F18" s="131">
        <v>15409</v>
      </c>
      <c r="G18" s="18"/>
      <c r="H18" s="134"/>
      <c r="I18" s="18"/>
      <c r="J18" s="18"/>
    </row>
    <row r="19" ht="18" customHeight="1" spans="1:10">
      <c r="A19" s="134"/>
      <c r="B19" s="134"/>
      <c r="C19" s="18"/>
      <c r="D19" s="129">
        <v>4</v>
      </c>
      <c r="E19" s="130">
        <v>50.12</v>
      </c>
      <c r="F19" s="131">
        <v>15196</v>
      </c>
      <c r="G19" s="18"/>
      <c r="H19" s="134"/>
      <c r="I19" s="18"/>
      <c r="J19" s="18"/>
    </row>
    <row r="20" ht="18" customHeight="1" spans="1:10">
      <c r="A20" s="134"/>
      <c r="B20" s="134"/>
      <c r="C20" s="18"/>
      <c r="D20" s="129">
        <v>5</v>
      </c>
      <c r="E20" s="130">
        <v>59.39</v>
      </c>
      <c r="F20" s="131">
        <v>15968</v>
      </c>
      <c r="G20" s="18"/>
      <c r="H20" s="134"/>
      <c r="I20" s="18"/>
      <c r="J20" s="18"/>
    </row>
    <row r="21" ht="18" customHeight="1" spans="1:10">
      <c r="A21" s="135"/>
      <c r="B21" s="135"/>
      <c r="C21" s="18"/>
      <c r="D21" s="129">
        <v>6</v>
      </c>
      <c r="E21" s="130">
        <v>50.72</v>
      </c>
      <c r="F21" s="131">
        <v>15816</v>
      </c>
      <c r="G21" s="19"/>
      <c r="H21" s="135"/>
      <c r="I21" s="19"/>
      <c r="J21" s="19"/>
    </row>
    <row r="22" ht="18" customHeight="1" spans="1:10">
      <c r="A22" s="127"/>
      <c r="B22" s="127"/>
      <c r="C22" s="19"/>
      <c r="D22" s="121" t="s">
        <v>39</v>
      </c>
      <c r="E22" s="122"/>
      <c r="F22" s="108"/>
      <c r="G22" s="108"/>
      <c r="H22" s="108"/>
      <c r="I22" s="108"/>
      <c r="J22" s="109"/>
    </row>
  </sheetData>
  <mergeCells count="22">
    <mergeCell ref="A1:J1"/>
    <mergeCell ref="I2:J2"/>
    <mergeCell ref="I3:J3"/>
    <mergeCell ref="I4:J4"/>
    <mergeCell ref="D5:J5"/>
    <mergeCell ref="A6:J6"/>
    <mergeCell ref="E14:J14"/>
    <mergeCell ref="E22:J22"/>
    <mergeCell ref="A8:A13"/>
    <mergeCell ref="A16:A21"/>
    <mergeCell ref="B8:B13"/>
    <mergeCell ref="B16:B21"/>
    <mergeCell ref="C7:C14"/>
    <mergeCell ref="C15:C22"/>
    <mergeCell ref="G8:G13"/>
    <mergeCell ref="G16:G21"/>
    <mergeCell ref="H8:H13"/>
    <mergeCell ref="H16:H21"/>
    <mergeCell ref="I8:I13"/>
    <mergeCell ref="I16:I21"/>
    <mergeCell ref="J8:J13"/>
    <mergeCell ref="J16:J21"/>
  </mergeCell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48"/>
  <sheetViews>
    <sheetView workbookViewId="0">
      <selection activeCell="H25" sqref="H25"/>
    </sheetView>
  </sheetViews>
  <sheetFormatPr defaultColWidth="9.02654867256637" defaultRowHeight="13.5" outlineLevelCol="6"/>
  <cols>
    <col min="1" max="1" width="9.44247787610619" customWidth="1"/>
    <col min="2" max="2" width="22.9734513274336" customWidth="1"/>
    <col min="3" max="7" width="14.6194690265487" customWidth="1"/>
    <col min="8" max="16384" width="9.02654867256637" customWidth="1"/>
  </cols>
  <sheetData>
    <row r="1" ht="23.25" customHeight="1" spans="1:7">
      <c r="A1" s="102"/>
      <c r="B1" s="11" t="s">
        <v>74</v>
      </c>
      <c r="C1" s="12"/>
      <c r="D1" s="12"/>
      <c r="E1" s="12"/>
      <c r="F1" s="12"/>
      <c r="G1" s="13"/>
    </row>
    <row r="2" ht="22.1" customHeight="1" spans="1:7">
      <c r="A2" s="103" t="s">
        <v>11</v>
      </c>
      <c r="B2" s="104" t="s">
        <v>29</v>
      </c>
      <c r="C2" s="105" t="s">
        <v>75</v>
      </c>
      <c r="D2" s="105" t="s">
        <v>76</v>
      </c>
      <c r="E2" s="105" t="s">
        <v>77</v>
      </c>
      <c r="F2" s="105" t="s">
        <v>78</v>
      </c>
      <c r="G2" s="105" t="s">
        <v>79</v>
      </c>
    </row>
    <row r="3" ht="17.6" customHeight="1" spans="1:7">
      <c r="A3" s="44"/>
      <c r="B3" s="104" t="s">
        <v>80</v>
      </c>
      <c r="C3" s="106">
        <v>2.57</v>
      </c>
      <c r="D3" s="106">
        <v>12.84</v>
      </c>
      <c r="E3" s="106">
        <v>25.68</v>
      </c>
      <c r="F3" s="106">
        <v>38.51</v>
      </c>
      <c r="G3" s="106">
        <v>51.35</v>
      </c>
    </row>
    <row r="4" ht="17.6" customHeight="1" spans="1:7">
      <c r="A4" s="44"/>
      <c r="B4" s="104" t="s">
        <v>31</v>
      </c>
      <c r="C4" s="106">
        <v>14889</v>
      </c>
      <c r="D4" s="106">
        <v>78112</v>
      </c>
      <c r="E4" s="106">
        <v>152417</v>
      </c>
      <c r="F4" s="106">
        <v>227051</v>
      </c>
      <c r="G4" s="106">
        <v>303254</v>
      </c>
    </row>
    <row r="5" ht="17.6" customHeight="1" spans="1:7">
      <c r="A5" s="44"/>
      <c r="B5" s="104" t="s">
        <v>81</v>
      </c>
      <c r="C5" s="107"/>
      <c r="D5" s="108"/>
      <c r="E5" s="108"/>
      <c r="F5" s="108"/>
      <c r="G5" s="109"/>
    </row>
    <row r="6" ht="17.6" customHeight="1" spans="1:7">
      <c r="A6" s="44"/>
      <c r="B6" s="104" t="s">
        <v>82</v>
      </c>
      <c r="C6" s="110"/>
      <c r="D6" s="108"/>
      <c r="E6" s="108"/>
      <c r="F6" s="108"/>
      <c r="G6" s="109"/>
    </row>
    <row r="7" ht="17.6" customHeight="1" spans="1:7">
      <c r="A7" s="44"/>
      <c r="B7" s="104" t="s">
        <v>83</v>
      </c>
      <c r="C7" s="110"/>
      <c r="D7" s="108"/>
      <c r="E7" s="108"/>
      <c r="F7" s="108"/>
      <c r="G7" s="109"/>
    </row>
    <row r="8" ht="17.6" customHeight="1" spans="1:7">
      <c r="A8" s="44"/>
      <c r="B8" s="104" t="s">
        <v>84</v>
      </c>
      <c r="C8" s="111">
        <v>14944</v>
      </c>
      <c r="D8" s="111">
        <v>76208</v>
      </c>
      <c r="E8" s="111">
        <v>152803</v>
      </c>
      <c r="F8" s="111">
        <v>229339</v>
      </c>
      <c r="G8" s="111">
        <v>305934</v>
      </c>
    </row>
    <row r="9" ht="18.35" customHeight="1" spans="1:7">
      <c r="A9" s="44"/>
      <c r="B9" s="104" t="s">
        <v>85</v>
      </c>
      <c r="C9" s="112">
        <f t="shared" ref="C9:G9" si="0">C4-C8</f>
        <v>-55</v>
      </c>
      <c r="D9" s="112">
        <f t="shared" si="0"/>
        <v>1904</v>
      </c>
      <c r="E9" s="112">
        <f t="shared" si="0"/>
        <v>-386</v>
      </c>
      <c r="F9" s="112">
        <f t="shared" si="0"/>
        <v>-2288</v>
      </c>
      <c r="G9" s="112">
        <f t="shared" si="0"/>
        <v>-2680</v>
      </c>
    </row>
    <row r="10" ht="17.6" customHeight="1" spans="1:7">
      <c r="A10" s="44"/>
      <c r="B10" s="104" t="s">
        <v>86</v>
      </c>
      <c r="C10" s="113"/>
      <c r="D10" s="108"/>
      <c r="E10" s="108"/>
      <c r="F10" s="108"/>
      <c r="G10" s="109"/>
    </row>
    <row r="11" customHeight="1" spans="1:7">
      <c r="A11" s="44"/>
      <c r="B11" s="104" t="s">
        <v>39</v>
      </c>
      <c r="C11" s="107"/>
      <c r="D11" s="114"/>
      <c r="E11" s="114"/>
      <c r="F11" s="114"/>
      <c r="G11" s="115"/>
    </row>
    <row r="12" customHeight="1" spans="1:7">
      <c r="A12" s="44"/>
      <c r="B12" s="34"/>
      <c r="C12" s="116"/>
      <c r="D12" s="117"/>
      <c r="E12" s="117"/>
      <c r="F12" s="117"/>
      <c r="G12" s="118"/>
    </row>
    <row r="13" ht="23.25" customHeight="1" spans="1:7">
      <c r="A13" s="44"/>
      <c r="B13" s="119" t="s">
        <v>87</v>
      </c>
      <c r="C13" s="12"/>
      <c r="D13" s="12"/>
      <c r="E13" s="12"/>
      <c r="F13" s="12"/>
      <c r="G13" s="13"/>
    </row>
    <row r="14" ht="22.1" customHeight="1" spans="1:7">
      <c r="A14" s="44"/>
      <c r="B14" s="104" t="s">
        <v>29</v>
      </c>
      <c r="C14" s="105" t="s">
        <v>75</v>
      </c>
      <c r="D14" s="105" t="s">
        <v>76</v>
      </c>
      <c r="E14" s="105" t="s">
        <v>77</v>
      </c>
      <c r="F14" s="105" t="s">
        <v>78</v>
      </c>
      <c r="G14" s="105" t="s">
        <v>79</v>
      </c>
    </row>
    <row r="15" ht="17.6" customHeight="1" spans="1:7">
      <c r="A15" s="44"/>
      <c r="B15" s="104" t="s">
        <v>80</v>
      </c>
      <c r="C15" s="106">
        <v>2.52</v>
      </c>
      <c r="D15" s="106">
        <v>12.62</v>
      </c>
      <c r="E15" s="106">
        <v>25.24</v>
      </c>
      <c r="F15" s="106">
        <v>37.86</v>
      </c>
      <c r="G15" s="106">
        <v>50.48</v>
      </c>
    </row>
    <row r="16" ht="17.6" customHeight="1" spans="1:7">
      <c r="A16" s="44"/>
      <c r="B16" s="104" t="s">
        <v>31</v>
      </c>
      <c r="C16" s="106">
        <v>16439</v>
      </c>
      <c r="D16" s="106">
        <v>82784</v>
      </c>
      <c r="E16" s="106">
        <v>168669</v>
      </c>
      <c r="F16" s="106">
        <v>241097</v>
      </c>
      <c r="G16" s="106">
        <v>335328</v>
      </c>
    </row>
    <row r="17" ht="17.6" customHeight="1" spans="1:7">
      <c r="A17" s="44"/>
      <c r="B17" s="104" t="s">
        <v>81</v>
      </c>
      <c r="C17" s="107"/>
      <c r="D17" s="108"/>
      <c r="E17" s="108"/>
      <c r="F17" s="108"/>
      <c r="G17" s="109"/>
    </row>
    <row r="18" ht="17.6" customHeight="1" spans="1:7">
      <c r="A18" s="44"/>
      <c r="B18" s="104" t="s">
        <v>82</v>
      </c>
      <c r="C18" s="110"/>
      <c r="D18" s="108"/>
      <c r="E18" s="108"/>
      <c r="F18" s="108"/>
      <c r="G18" s="109"/>
    </row>
    <row r="19" ht="17.6" customHeight="1" spans="1:7">
      <c r="A19" s="44"/>
      <c r="B19" s="104" t="s">
        <v>83</v>
      </c>
      <c r="C19" s="110"/>
      <c r="D19" s="108"/>
      <c r="E19" s="108"/>
      <c r="F19" s="108"/>
      <c r="G19" s="109"/>
    </row>
    <row r="20" ht="17.6" customHeight="1" spans="1:7">
      <c r="A20" s="44"/>
      <c r="B20" s="104" t="s">
        <v>84</v>
      </c>
      <c r="C20" s="111">
        <v>16447</v>
      </c>
      <c r="D20" s="111">
        <v>82771</v>
      </c>
      <c r="E20" s="111">
        <v>165643</v>
      </c>
      <c r="F20" s="111">
        <v>248515</v>
      </c>
      <c r="G20" s="111">
        <v>331387</v>
      </c>
    </row>
    <row r="21" ht="18.35" customHeight="1" spans="1:7">
      <c r="A21" s="44"/>
      <c r="B21" s="104" t="s">
        <v>85</v>
      </c>
      <c r="C21" s="112">
        <f t="shared" ref="C21:G21" si="1">C16-C20</f>
        <v>-8</v>
      </c>
      <c r="D21" s="112">
        <f t="shared" si="1"/>
        <v>13</v>
      </c>
      <c r="E21" s="112">
        <f t="shared" si="1"/>
        <v>3026</v>
      </c>
      <c r="F21" s="112">
        <f t="shared" si="1"/>
        <v>-7418</v>
      </c>
      <c r="G21" s="112">
        <f t="shared" si="1"/>
        <v>3941</v>
      </c>
    </row>
    <row r="22" ht="17.6" customHeight="1" spans="1:7">
      <c r="A22" s="44"/>
      <c r="B22" s="104" t="s">
        <v>86</v>
      </c>
      <c r="C22" s="113"/>
      <c r="D22" s="108"/>
      <c r="E22" s="108"/>
      <c r="F22" s="108"/>
      <c r="G22" s="109"/>
    </row>
    <row r="23" customHeight="1" spans="1:7">
      <c r="A23" s="44"/>
      <c r="B23" s="104" t="s">
        <v>39</v>
      </c>
      <c r="C23" s="107"/>
      <c r="D23" s="114"/>
      <c r="E23" s="114"/>
      <c r="F23" s="114"/>
      <c r="G23" s="115"/>
    </row>
    <row r="24" customHeight="1" spans="1:7">
      <c r="A24" s="34"/>
      <c r="B24" s="34"/>
      <c r="C24" s="116"/>
      <c r="D24" s="117"/>
      <c r="E24" s="117"/>
      <c r="F24" s="117"/>
      <c r="G24" s="118"/>
    </row>
    <row r="25" ht="23.25" customHeight="1" spans="1:7">
      <c r="A25" s="102"/>
      <c r="B25" s="11" t="s">
        <v>74</v>
      </c>
      <c r="C25" s="12"/>
      <c r="D25" s="12"/>
      <c r="E25" s="12"/>
      <c r="F25" s="12"/>
      <c r="G25" s="13"/>
    </row>
    <row r="26" ht="22.1" customHeight="1" spans="1:7">
      <c r="A26" s="103" t="s">
        <v>13</v>
      </c>
      <c r="B26" s="104" t="s">
        <v>29</v>
      </c>
      <c r="C26" s="105" t="s">
        <v>75</v>
      </c>
      <c r="D26" s="105" t="s">
        <v>76</v>
      </c>
      <c r="E26" s="105" t="s">
        <v>77</v>
      </c>
      <c r="F26" s="105" t="s">
        <v>78</v>
      </c>
      <c r="G26" s="105" t="s">
        <v>79</v>
      </c>
    </row>
    <row r="27" ht="17.6" customHeight="1" spans="1:7">
      <c r="A27" s="44"/>
      <c r="B27" s="104" t="s">
        <v>80</v>
      </c>
      <c r="C27" s="106">
        <v>2.57</v>
      </c>
      <c r="D27" s="106">
        <v>12.84</v>
      </c>
      <c r="E27" s="106">
        <v>25.68</v>
      </c>
      <c r="F27" s="106">
        <v>38.51</v>
      </c>
      <c r="G27" s="106">
        <v>51.35</v>
      </c>
    </row>
    <row r="28" ht="17.6" customHeight="1" spans="1:7">
      <c r="A28" s="44"/>
      <c r="B28" s="104" t="s">
        <v>31</v>
      </c>
      <c r="C28" s="106">
        <v>14889</v>
      </c>
      <c r="D28" s="106">
        <v>78112</v>
      </c>
      <c r="E28" s="106">
        <v>152417</v>
      </c>
      <c r="F28" s="106">
        <v>227051</v>
      </c>
      <c r="G28" s="106">
        <v>303254</v>
      </c>
    </row>
    <row r="29" ht="17.6" customHeight="1" spans="1:7">
      <c r="A29" s="44"/>
      <c r="B29" s="104" t="s">
        <v>81</v>
      </c>
      <c r="C29" s="107"/>
      <c r="D29" s="108"/>
      <c r="E29" s="108"/>
      <c r="F29" s="108"/>
      <c r="G29" s="109"/>
    </row>
    <row r="30" ht="17.6" customHeight="1" spans="1:7">
      <c r="A30" s="44"/>
      <c r="B30" s="104" t="s">
        <v>82</v>
      </c>
      <c r="C30" s="110"/>
      <c r="D30" s="108"/>
      <c r="E30" s="108"/>
      <c r="F30" s="108"/>
      <c r="G30" s="109"/>
    </row>
    <row r="31" ht="17.6" customHeight="1" spans="1:7">
      <c r="A31" s="44"/>
      <c r="B31" s="104" t="s">
        <v>83</v>
      </c>
      <c r="C31" s="110"/>
      <c r="D31" s="108"/>
      <c r="E31" s="108"/>
      <c r="F31" s="108"/>
      <c r="G31" s="109"/>
    </row>
    <row r="32" ht="17.6" customHeight="1" spans="1:7">
      <c r="A32" s="44"/>
      <c r="B32" s="104" t="s">
        <v>84</v>
      </c>
      <c r="C32" s="111"/>
      <c r="D32" s="111"/>
      <c r="E32" s="111"/>
      <c r="F32" s="111"/>
      <c r="G32" s="111"/>
    </row>
    <row r="33" ht="18.35" customHeight="1" spans="1:7">
      <c r="A33" s="44"/>
      <c r="B33" s="104" t="s">
        <v>85</v>
      </c>
      <c r="C33" s="112">
        <f>C28-C32</f>
        <v>14889</v>
      </c>
      <c r="D33" s="112">
        <f>D28-D32</f>
        <v>78112</v>
      </c>
      <c r="E33" s="112">
        <f>E28-E32</f>
        <v>152417</v>
      </c>
      <c r="F33" s="112">
        <f>F28-F32</f>
        <v>227051</v>
      </c>
      <c r="G33" s="112">
        <f>G28-G32</f>
        <v>303254</v>
      </c>
    </row>
    <row r="34" ht="17.6" customHeight="1" spans="1:7">
      <c r="A34" s="44"/>
      <c r="B34" s="104" t="s">
        <v>86</v>
      </c>
      <c r="C34" s="113"/>
      <c r="D34" s="108"/>
      <c r="E34" s="108"/>
      <c r="F34" s="108"/>
      <c r="G34" s="109"/>
    </row>
    <row r="35" customHeight="1" spans="1:7">
      <c r="A35" s="44"/>
      <c r="B35" s="104" t="s">
        <v>39</v>
      </c>
      <c r="C35" s="107"/>
      <c r="D35" s="114"/>
      <c r="E35" s="114"/>
      <c r="F35" s="114"/>
      <c r="G35" s="115"/>
    </row>
    <row r="36" customHeight="1" spans="1:7">
      <c r="A36" s="44"/>
      <c r="B36" s="34"/>
      <c r="C36" s="116"/>
      <c r="D36" s="117"/>
      <c r="E36" s="117"/>
      <c r="F36" s="117"/>
      <c r="G36" s="118"/>
    </row>
    <row r="37" ht="23.25" customHeight="1" spans="1:7">
      <c r="A37" s="44"/>
      <c r="B37" s="119" t="s">
        <v>87</v>
      </c>
      <c r="C37" s="12"/>
      <c r="D37" s="12"/>
      <c r="E37" s="12"/>
      <c r="F37" s="12"/>
      <c r="G37" s="13"/>
    </row>
    <row r="38" ht="22.1" customHeight="1" spans="1:7">
      <c r="A38" s="44"/>
      <c r="B38" s="104" t="s">
        <v>29</v>
      </c>
      <c r="C38" s="105" t="s">
        <v>75</v>
      </c>
      <c r="D38" s="105" t="s">
        <v>76</v>
      </c>
      <c r="E38" s="105" t="s">
        <v>77</v>
      </c>
      <c r="F38" s="105" t="s">
        <v>78</v>
      </c>
      <c r="G38" s="105" t="s">
        <v>79</v>
      </c>
    </row>
    <row r="39" ht="17.6" customHeight="1" spans="1:7">
      <c r="A39" s="44"/>
      <c r="B39" s="104" t="s">
        <v>80</v>
      </c>
      <c r="C39" s="106">
        <v>2.52</v>
      </c>
      <c r="D39" s="106">
        <v>12.62</v>
      </c>
      <c r="E39" s="106">
        <v>25.24</v>
      </c>
      <c r="F39" s="106">
        <v>37.86</v>
      </c>
      <c r="G39" s="106">
        <v>50.48</v>
      </c>
    </row>
    <row r="40" ht="17.6" customHeight="1" spans="1:7">
      <c r="A40" s="44"/>
      <c r="B40" s="104" t="s">
        <v>31</v>
      </c>
      <c r="C40" s="106">
        <v>16439</v>
      </c>
      <c r="D40" s="106">
        <v>82784</v>
      </c>
      <c r="E40" s="106">
        <v>168669</v>
      </c>
      <c r="F40" s="106">
        <v>241097</v>
      </c>
      <c r="G40" s="106">
        <v>335328</v>
      </c>
    </row>
    <row r="41" ht="17.6" customHeight="1" spans="1:7">
      <c r="A41" s="44"/>
      <c r="B41" s="104" t="s">
        <v>81</v>
      </c>
      <c r="C41" s="107"/>
      <c r="D41" s="108"/>
      <c r="E41" s="108"/>
      <c r="F41" s="108"/>
      <c r="G41" s="109"/>
    </row>
    <row r="42" ht="17.6" customHeight="1" spans="1:7">
      <c r="A42" s="44"/>
      <c r="B42" s="104" t="s">
        <v>82</v>
      </c>
      <c r="C42" s="110"/>
      <c r="D42" s="108"/>
      <c r="E42" s="108"/>
      <c r="F42" s="108"/>
      <c r="G42" s="109"/>
    </row>
    <row r="43" ht="17.6" customHeight="1" spans="1:7">
      <c r="A43" s="44"/>
      <c r="B43" s="104" t="s">
        <v>83</v>
      </c>
      <c r="C43" s="110"/>
      <c r="D43" s="108"/>
      <c r="E43" s="108"/>
      <c r="F43" s="108"/>
      <c r="G43" s="109"/>
    </row>
    <row r="44" ht="17.6" customHeight="1" spans="1:7">
      <c r="A44" s="44"/>
      <c r="B44" s="104" t="s">
        <v>84</v>
      </c>
      <c r="C44" s="111"/>
      <c r="D44" s="111"/>
      <c r="E44" s="111"/>
      <c r="F44" s="111"/>
      <c r="G44" s="111"/>
    </row>
    <row r="45" ht="18.35" customHeight="1" spans="1:7">
      <c r="A45" s="44"/>
      <c r="B45" s="104" t="s">
        <v>85</v>
      </c>
      <c r="C45" s="112">
        <f>C40-C44</f>
        <v>16439</v>
      </c>
      <c r="D45" s="112">
        <f>D40-D44</f>
        <v>82784</v>
      </c>
      <c r="E45" s="112">
        <f>E40-E44</f>
        <v>168669</v>
      </c>
      <c r="F45" s="112">
        <f>F40-F44</f>
        <v>241097</v>
      </c>
      <c r="G45" s="112">
        <f>G40-G44</f>
        <v>335328</v>
      </c>
    </row>
    <row r="46" ht="17.6" customHeight="1" spans="1:7">
      <c r="A46" s="44"/>
      <c r="B46" s="104" t="s">
        <v>86</v>
      </c>
      <c r="C46" s="113"/>
      <c r="D46" s="108"/>
      <c r="E46" s="108"/>
      <c r="F46" s="108"/>
      <c r="G46" s="109"/>
    </row>
    <row r="47" customHeight="1" spans="1:7">
      <c r="A47" s="44"/>
      <c r="B47" s="104" t="s">
        <v>39</v>
      </c>
      <c r="C47" s="107"/>
      <c r="D47" s="114"/>
      <c r="E47" s="114"/>
      <c r="F47" s="114"/>
      <c r="G47" s="115"/>
    </row>
    <row r="48" customHeight="1" spans="1:7">
      <c r="A48" s="34"/>
      <c r="B48" s="34"/>
      <c r="C48" s="116"/>
      <c r="D48" s="117"/>
      <c r="E48" s="117"/>
      <c r="F48" s="117"/>
      <c r="G48" s="118"/>
    </row>
  </sheetData>
  <mergeCells count="30">
    <mergeCell ref="B1:G1"/>
    <mergeCell ref="C5:G5"/>
    <mergeCell ref="C6:G6"/>
    <mergeCell ref="C7:G7"/>
    <mergeCell ref="C10:G10"/>
    <mergeCell ref="B13:G13"/>
    <mergeCell ref="C17:G17"/>
    <mergeCell ref="C18:G18"/>
    <mergeCell ref="C19:G19"/>
    <mergeCell ref="C22:G22"/>
    <mergeCell ref="B25:G25"/>
    <mergeCell ref="C29:G29"/>
    <mergeCell ref="C30:G30"/>
    <mergeCell ref="C31:G31"/>
    <mergeCell ref="C34:G34"/>
    <mergeCell ref="B37:G37"/>
    <mergeCell ref="C41:G41"/>
    <mergeCell ref="C42:G42"/>
    <mergeCell ref="C43:G43"/>
    <mergeCell ref="C46:G46"/>
    <mergeCell ref="A2:A24"/>
    <mergeCell ref="A26:A48"/>
    <mergeCell ref="B11:B12"/>
    <mergeCell ref="B23:B24"/>
    <mergeCell ref="B35:B36"/>
    <mergeCell ref="B47:B48"/>
    <mergeCell ref="C11:G12"/>
    <mergeCell ref="C23:G24"/>
    <mergeCell ref="C35:G36"/>
    <mergeCell ref="C47:G48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66"/>
  <sheetViews>
    <sheetView topLeftCell="A34" workbookViewId="0">
      <selection activeCell="B18" sqref="A1:J33"/>
    </sheetView>
  </sheetViews>
  <sheetFormatPr defaultColWidth="9.02654867256637" defaultRowHeight="13.5"/>
  <cols>
    <col min="1" max="1" width="16.929203539823" customWidth="1"/>
    <col min="2" max="3" width="11.3805309734513" customWidth="1"/>
    <col min="4" max="4" width="11.6194690265487" customWidth="1"/>
    <col min="5" max="5" width="14.3451327433628" customWidth="1"/>
    <col min="6" max="6" width="11.9557522123894" customWidth="1"/>
    <col min="7" max="7" width="13.1592920353982" customWidth="1"/>
    <col min="8" max="8" width="13.8230088495575" customWidth="1"/>
    <col min="9" max="9" width="10.8938053097345" customWidth="1"/>
    <col min="10" max="10" width="11.9557522123894" customWidth="1"/>
  </cols>
  <sheetData>
    <row r="1" ht="23.25" customHeight="1" spans="1:10">
      <c r="A1" s="80"/>
      <c r="B1" s="81" t="s">
        <v>88</v>
      </c>
      <c r="C1" s="12"/>
      <c r="D1" s="12"/>
      <c r="E1" s="12"/>
      <c r="F1" s="12"/>
      <c r="G1" s="12"/>
      <c r="H1" s="12"/>
      <c r="I1" s="12"/>
      <c r="J1" s="13"/>
    </row>
    <row r="2" ht="39.75" customHeight="1" spans="1:10">
      <c r="A2" s="82" t="s">
        <v>11</v>
      </c>
      <c r="B2" s="28" t="s">
        <v>89</v>
      </c>
      <c r="C2" s="28" t="s">
        <v>89</v>
      </c>
      <c r="D2" s="16" t="s">
        <v>69</v>
      </c>
      <c r="E2" s="83" t="s">
        <v>90</v>
      </c>
      <c r="F2" s="84" t="s">
        <v>30</v>
      </c>
      <c r="G2" s="85" t="s">
        <v>31</v>
      </c>
      <c r="H2" s="85" t="s">
        <v>91</v>
      </c>
      <c r="I2" s="85" t="s">
        <v>66</v>
      </c>
      <c r="J2" s="28" t="s">
        <v>92</v>
      </c>
    </row>
    <row r="3" ht="13.8" customHeight="1" spans="1:10">
      <c r="A3" s="18"/>
      <c r="B3" s="86">
        <v>20.02</v>
      </c>
      <c r="C3" s="86">
        <v>0</v>
      </c>
      <c r="D3" s="16">
        <v>1</v>
      </c>
      <c r="E3" s="87">
        <f t="shared" ref="E3:E8" si="0">B3-C3</f>
        <v>20.02</v>
      </c>
      <c r="F3" s="88">
        <v>8.211</v>
      </c>
      <c r="G3" s="89">
        <v>156531</v>
      </c>
      <c r="H3" s="90">
        <v>26.3</v>
      </c>
      <c r="I3" s="91">
        <f t="shared" ref="I3:I8" si="1">ROUND(H3*20/E3,1)</f>
        <v>26.3</v>
      </c>
      <c r="J3" s="78">
        <f t="shared" ref="J3:J8" si="2">I3/25*100</f>
        <v>105.2</v>
      </c>
    </row>
    <row r="4" ht="13.8" customHeight="1" spans="1:10">
      <c r="A4" s="18"/>
      <c r="B4" s="86">
        <v>20.34</v>
      </c>
      <c r="C4" s="86">
        <v>0</v>
      </c>
      <c r="D4" s="16">
        <v>2</v>
      </c>
      <c r="E4" s="87">
        <f t="shared" si="0"/>
        <v>20.34</v>
      </c>
      <c r="F4" s="88">
        <v>8.212</v>
      </c>
      <c r="G4" s="89">
        <v>160279</v>
      </c>
      <c r="H4" s="90">
        <v>26.93</v>
      </c>
      <c r="I4" s="91">
        <f t="shared" si="1"/>
        <v>26.5</v>
      </c>
      <c r="J4" s="78">
        <f t="shared" si="2"/>
        <v>106</v>
      </c>
    </row>
    <row r="5" ht="13.8" customHeight="1" spans="1:10">
      <c r="A5" s="18"/>
      <c r="B5" s="86">
        <v>20.17</v>
      </c>
      <c r="C5" s="86">
        <v>0</v>
      </c>
      <c r="D5" s="16">
        <v>3</v>
      </c>
      <c r="E5" s="87">
        <f t="shared" si="0"/>
        <v>20.17</v>
      </c>
      <c r="F5" s="88">
        <v>8.208</v>
      </c>
      <c r="G5" s="89">
        <v>154371</v>
      </c>
      <c r="H5" s="90">
        <v>25.94</v>
      </c>
      <c r="I5" s="91">
        <f t="shared" si="1"/>
        <v>25.7</v>
      </c>
      <c r="J5" s="78">
        <f t="shared" si="2"/>
        <v>102.8</v>
      </c>
    </row>
    <row r="6" ht="13.8" customHeight="1" spans="1:10">
      <c r="A6" s="18"/>
      <c r="B6" s="86">
        <v>20.13</v>
      </c>
      <c r="C6" s="86">
        <v>0</v>
      </c>
      <c r="D6" s="16">
        <v>4</v>
      </c>
      <c r="E6" s="87">
        <f t="shared" si="0"/>
        <v>20.13</v>
      </c>
      <c r="F6" s="88">
        <v>8.207</v>
      </c>
      <c r="G6" s="89">
        <v>159010</v>
      </c>
      <c r="H6" s="90">
        <v>26.72</v>
      </c>
      <c r="I6" s="91">
        <f t="shared" si="1"/>
        <v>26.5</v>
      </c>
      <c r="J6" s="78">
        <f t="shared" si="2"/>
        <v>106</v>
      </c>
    </row>
    <row r="7" ht="13.8" customHeight="1" spans="1:10">
      <c r="A7" s="18"/>
      <c r="B7" s="86">
        <v>20.18</v>
      </c>
      <c r="C7" s="86">
        <v>0.02</v>
      </c>
      <c r="D7" s="16">
        <v>5</v>
      </c>
      <c r="E7" s="87">
        <f t="shared" si="0"/>
        <v>20.16</v>
      </c>
      <c r="F7" s="88">
        <v>8.209</v>
      </c>
      <c r="G7" s="89">
        <v>161875</v>
      </c>
      <c r="H7" s="90">
        <v>27.2</v>
      </c>
      <c r="I7" s="91">
        <f t="shared" si="1"/>
        <v>27</v>
      </c>
      <c r="J7" s="78">
        <f t="shared" si="2"/>
        <v>108</v>
      </c>
    </row>
    <row r="8" ht="13.8" customHeight="1" spans="1:10">
      <c r="A8" s="18"/>
      <c r="B8" s="86">
        <v>20.31</v>
      </c>
      <c r="C8" s="86">
        <v>0</v>
      </c>
      <c r="D8" s="16">
        <v>6</v>
      </c>
      <c r="E8" s="87">
        <f t="shared" si="0"/>
        <v>20.31</v>
      </c>
      <c r="F8" s="88">
        <v>8.21</v>
      </c>
      <c r="G8" s="89">
        <v>160824</v>
      </c>
      <c r="H8" s="90">
        <v>27.02</v>
      </c>
      <c r="I8" s="91">
        <f t="shared" si="1"/>
        <v>26.6</v>
      </c>
      <c r="J8" s="78">
        <f t="shared" si="2"/>
        <v>106.4</v>
      </c>
    </row>
    <row r="9" ht="27" customHeight="1" spans="1:10">
      <c r="A9" s="18"/>
      <c r="B9" s="78"/>
      <c r="C9" s="27"/>
      <c r="D9" s="16" t="s">
        <v>38</v>
      </c>
      <c r="E9" s="92" t="s">
        <v>93</v>
      </c>
      <c r="F9" s="93">
        <f>IFERROR(ROUNDUP(F15,1),"")</f>
        <v>0.1</v>
      </c>
      <c r="G9" s="92" t="s">
        <v>93</v>
      </c>
      <c r="H9" s="92" t="s">
        <v>93</v>
      </c>
      <c r="I9" s="93">
        <f>IFERROR(ROUNDUP(I15,1),"")</f>
        <v>1.7</v>
      </c>
      <c r="J9" s="78"/>
    </row>
    <row r="10" ht="26.6" customHeight="1" spans="1:10">
      <c r="A10" s="18"/>
      <c r="B10" s="43"/>
      <c r="C10" s="44"/>
      <c r="D10" s="16" t="s">
        <v>94</v>
      </c>
      <c r="E10" s="92">
        <f>I9*SQRT(5/_xlfn.CHISQ.INV(0.975,5))</f>
        <v>1.06115360384027</v>
      </c>
      <c r="F10" s="13"/>
      <c r="G10" s="92" t="s">
        <v>95</v>
      </c>
      <c r="H10" s="92">
        <f>I9*SQRT(5/_xlfn.CHISQ.INV(0.025,5))</f>
        <v>4.1694437805321</v>
      </c>
      <c r="I10" s="13"/>
      <c r="J10" s="18"/>
    </row>
    <row r="11" ht="13.8" customHeight="1" spans="1:10">
      <c r="A11" s="18"/>
      <c r="B11" s="43"/>
      <c r="C11" s="44"/>
      <c r="D11" s="94" t="s">
        <v>96</v>
      </c>
      <c r="E11" s="13"/>
      <c r="F11" s="95">
        <f>AVERAGE(I3:I8)-TINV(0.05,6-1)*STDEV(I3:I8)/SQRT(6)</f>
        <v>25.9848095662442</v>
      </c>
      <c r="G11" s="94" t="s">
        <v>97</v>
      </c>
      <c r="H11" s="13"/>
      <c r="I11" s="95">
        <f>AVERAGE(I3:I8)+TINV(0.05,6-1)*STDEV(I3:I8)/SQRT(6)</f>
        <v>26.8818571004225</v>
      </c>
      <c r="J11" s="18"/>
    </row>
    <row r="12" ht="13.9" customHeight="1" spans="1:10">
      <c r="A12" s="18"/>
      <c r="B12" s="43"/>
      <c r="C12" s="44"/>
      <c r="D12" s="78" t="s">
        <v>98</v>
      </c>
      <c r="E12" s="13"/>
      <c r="F12" s="96">
        <f>F11/25*100</f>
        <v>103.939238264977</v>
      </c>
      <c r="G12" s="78" t="s">
        <v>99</v>
      </c>
      <c r="H12" s="13"/>
      <c r="I12" s="96">
        <f>I11/25*100</f>
        <v>107.52742840169</v>
      </c>
      <c r="J12" s="18"/>
    </row>
    <row r="13" ht="13.8" customHeight="1" spans="1:10">
      <c r="A13" s="18"/>
      <c r="B13" s="43"/>
      <c r="C13" s="44"/>
      <c r="D13" s="30" t="s">
        <v>40</v>
      </c>
      <c r="E13" s="13"/>
      <c r="F13" s="95">
        <f t="shared" ref="F13:I13" si="3">AVERAGE(F3:F8)</f>
        <v>8.2095</v>
      </c>
      <c r="G13" s="95">
        <f t="shared" si="3"/>
        <v>158815</v>
      </c>
      <c r="H13" s="95">
        <f t="shared" si="3"/>
        <v>26.685</v>
      </c>
      <c r="I13" s="95">
        <f t="shared" si="3"/>
        <v>26.4333333333333</v>
      </c>
      <c r="J13" s="18"/>
    </row>
    <row r="14" ht="13.8" customHeight="1" spans="1:10">
      <c r="A14" s="18"/>
      <c r="B14" s="43"/>
      <c r="C14" s="44"/>
      <c r="D14" s="29" t="s">
        <v>41</v>
      </c>
      <c r="E14" s="13"/>
      <c r="F14" s="95">
        <f t="shared" ref="F14:I14" si="4">STDEV(F3:F8)</f>
        <v>0.00187082869338679</v>
      </c>
      <c r="G14" s="95">
        <f t="shared" si="4"/>
        <v>2847.69359306791</v>
      </c>
      <c r="H14" s="95">
        <f t="shared" si="4"/>
        <v>0.477901663525039</v>
      </c>
      <c r="I14" s="95">
        <f t="shared" si="4"/>
        <v>0.427395211328656</v>
      </c>
      <c r="J14" s="18"/>
    </row>
    <row r="15" ht="13.8" customHeight="1" spans="1:10">
      <c r="A15" s="18"/>
      <c r="B15" s="33"/>
      <c r="C15" s="34"/>
      <c r="D15" s="29" t="s">
        <v>42</v>
      </c>
      <c r="E15" s="13"/>
      <c r="F15" s="97">
        <f t="shared" ref="F15:I15" si="5">F14/F13*100</f>
        <v>0.0227885826589535</v>
      </c>
      <c r="G15" s="95">
        <f t="shared" si="5"/>
        <v>1.79308855779864</v>
      </c>
      <c r="H15" s="95">
        <f t="shared" si="5"/>
        <v>1.79089999447269</v>
      </c>
      <c r="I15" s="95">
        <f t="shared" si="5"/>
        <v>1.61687974020929</v>
      </c>
      <c r="J15" s="19"/>
    </row>
    <row r="16" ht="23.25" customHeight="1" spans="1:10">
      <c r="A16" s="18"/>
      <c r="B16" s="81" t="s">
        <v>100</v>
      </c>
      <c r="C16" s="12"/>
      <c r="D16" s="12"/>
      <c r="E16" s="12"/>
      <c r="F16" s="12"/>
      <c r="G16" s="12"/>
      <c r="H16" s="12"/>
      <c r="I16" s="12"/>
      <c r="J16" s="13"/>
    </row>
    <row r="17" ht="39.75" customHeight="1" spans="1:10">
      <c r="A17" s="18"/>
      <c r="B17" s="28" t="s">
        <v>89</v>
      </c>
      <c r="C17" s="28" t="s">
        <v>101</v>
      </c>
      <c r="D17" s="16" t="s">
        <v>69</v>
      </c>
      <c r="E17" s="83" t="s">
        <v>90</v>
      </c>
      <c r="F17" s="84" t="s">
        <v>30</v>
      </c>
      <c r="G17" s="85" t="s">
        <v>31</v>
      </c>
      <c r="H17" s="85" t="s">
        <v>91</v>
      </c>
      <c r="I17" s="85" t="s">
        <v>66</v>
      </c>
      <c r="J17" s="78" t="s">
        <v>92</v>
      </c>
    </row>
    <row r="18" ht="13.8" customHeight="1" spans="1:10">
      <c r="A18" s="18"/>
      <c r="B18" s="86">
        <v>20.24</v>
      </c>
      <c r="C18" s="86">
        <v>0</v>
      </c>
      <c r="D18" s="16">
        <v>1</v>
      </c>
      <c r="E18" s="87">
        <f t="shared" ref="E18:E23" si="6">B18-C18</f>
        <v>20.24</v>
      </c>
      <c r="F18" s="88">
        <v>8.205</v>
      </c>
      <c r="G18" s="89">
        <v>163605</v>
      </c>
      <c r="H18" s="90">
        <v>24.93</v>
      </c>
      <c r="I18" s="91">
        <f t="shared" ref="I18:I23" si="7">ROUND(H18*20/E18,1)</f>
        <v>24.6</v>
      </c>
      <c r="J18" s="78">
        <f t="shared" ref="J18:J23" si="8">I18/25*100</f>
        <v>98.4</v>
      </c>
    </row>
    <row r="19" ht="13.8" customHeight="1" spans="1:10">
      <c r="A19" s="18"/>
      <c r="B19" s="86">
        <v>20.09</v>
      </c>
      <c r="C19" s="86">
        <v>0.09</v>
      </c>
      <c r="D19" s="16">
        <v>2</v>
      </c>
      <c r="E19" s="87">
        <f t="shared" si="6"/>
        <v>20</v>
      </c>
      <c r="F19" s="88">
        <v>8.205</v>
      </c>
      <c r="G19" s="89">
        <v>158276</v>
      </c>
      <c r="H19" s="90">
        <v>24.12</v>
      </c>
      <c r="I19" s="91">
        <f t="shared" si="7"/>
        <v>24.1</v>
      </c>
      <c r="J19" s="78">
        <f t="shared" si="8"/>
        <v>96.4</v>
      </c>
    </row>
    <row r="20" ht="13.8" customHeight="1" spans="1:10">
      <c r="A20" s="18"/>
      <c r="B20" s="86">
        <v>20.12</v>
      </c>
      <c r="C20" s="86">
        <v>0.09</v>
      </c>
      <c r="D20" s="16">
        <v>3</v>
      </c>
      <c r="E20" s="87">
        <f t="shared" si="6"/>
        <v>20.03</v>
      </c>
      <c r="F20" s="88">
        <v>8.208</v>
      </c>
      <c r="G20" s="89">
        <v>163114</v>
      </c>
      <c r="H20" s="90">
        <v>24.85</v>
      </c>
      <c r="I20" s="91">
        <f t="shared" si="7"/>
        <v>24.8</v>
      </c>
      <c r="J20" s="78">
        <f t="shared" si="8"/>
        <v>99.2</v>
      </c>
    </row>
    <row r="21" ht="13.8" customHeight="1" spans="1:10">
      <c r="A21" s="18"/>
      <c r="B21" s="86">
        <v>20.37</v>
      </c>
      <c r="C21" s="86">
        <v>0</v>
      </c>
      <c r="D21" s="16">
        <v>4</v>
      </c>
      <c r="E21" s="87">
        <f t="shared" si="6"/>
        <v>20.37</v>
      </c>
      <c r="F21" s="88">
        <v>8.209</v>
      </c>
      <c r="G21" s="89">
        <v>169480</v>
      </c>
      <c r="H21" s="90">
        <v>25.82</v>
      </c>
      <c r="I21" s="91">
        <f t="shared" si="7"/>
        <v>25.4</v>
      </c>
      <c r="J21" s="78">
        <f t="shared" si="8"/>
        <v>101.6</v>
      </c>
    </row>
    <row r="22" ht="13.8" customHeight="1" spans="1:10">
      <c r="A22" s="18"/>
      <c r="B22" s="86">
        <v>20.31</v>
      </c>
      <c r="C22" s="86">
        <v>0.08</v>
      </c>
      <c r="D22" s="16">
        <v>5</v>
      </c>
      <c r="E22" s="87">
        <f t="shared" si="6"/>
        <v>20.23</v>
      </c>
      <c r="F22" s="88">
        <v>8.204</v>
      </c>
      <c r="G22" s="89">
        <v>167314</v>
      </c>
      <c r="H22" s="90">
        <v>25.49</v>
      </c>
      <c r="I22" s="91">
        <f t="shared" si="7"/>
        <v>25.2</v>
      </c>
      <c r="J22" s="78">
        <f t="shared" si="8"/>
        <v>100.8</v>
      </c>
    </row>
    <row r="23" ht="13.8" customHeight="1" spans="1:10">
      <c r="A23" s="18"/>
      <c r="B23" s="86">
        <v>20.01</v>
      </c>
      <c r="C23" s="86">
        <v>0</v>
      </c>
      <c r="D23" s="16">
        <v>6</v>
      </c>
      <c r="E23" s="87">
        <f t="shared" si="6"/>
        <v>20.01</v>
      </c>
      <c r="F23" s="88">
        <v>8.206</v>
      </c>
      <c r="G23" s="89">
        <v>165882</v>
      </c>
      <c r="H23" s="90">
        <v>25.28</v>
      </c>
      <c r="I23" s="91">
        <f t="shared" si="7"/>
        <v>25.3</v>
      </c>
      <c r="J23" s="78">
        <f t="shared" si="8"/>
        <v>101.2</v>
      </c>
    </row>
    <row r="24" ht="27" customHeight="1" spans="1:10">
      <c r="A24" s="18"/>
      <c r="B24" s="78"/>
      <c r="C24" s="27"/>
      <c r="D24" s="16" t="s">
        <v>38</v>
      </c>
      <c r="E24" s="92" t="s">
        <v>93</v>
      </c>
      <c r="F24" s="93">
        <f>IFERROR(ROUNDUP(F30,1),"")</f>
        <v>0.1</v>
      </c>
      <c r="G24" s="92"/>
      <c r="H24" s="92"/>
      <c r="I24" s="93">
        <f>IFERROR(ROUNDUP(I30,1),"")</f>
        <v>2</v>
      </c>
      <c r="J24" s="78" t="s">
        <v>102</v>
      </c>
    </row>
    <row r="25" ht="26.6" customHeight="1" spans="1:10">
      <c r="A25" s="18"/>
      <c r="B25" s="43"/>
      <c r="C25" s="44"/>
      <c r="D25" s="16" t="s">
        <v>94</v>
      </c>
      <c r="E25" s="92">
        <f>I24*SQRT(5/_xlfn.CHISQ.INV(0.975,5))</f>
        <v>1.24841600451797</v>
      </c>
      <c r="F25" s="13"/>
      <c r="G25" s="92" t="s">
        <v>95</v>
      </c>
      <c r="H25" s="92">
        <f>I24*SQRT(5/_xlfn.CHISQ.INV(0.025,5))</f>
        <v>4.90522797709659</v>
      </c>
      <c r="I25" s="13"/>
      <c r="J25" s="18"/>
    </row>
    <row r="26" ht="13.8" customHeight="1" spans="1:10">
      <c r="A26" s="18"/>
      <c r="B26" s="43"/>
      <c r="C26" s="44"/>
      <c r="D26" s="94" t="s">
        <v>96</v>
      </c>
      <c r="E26" s="13"/>
      <c r="F26" s="95">
        <f>AVERAGE(I18:I23)-TINV(0.05,6-1)*STDEV(I18:I23)/SQRT(6)</f>
        <v>24.3773852659498</v>
      </c>
      <c r="G26" s="94" t="s">
        <v>97</v>
      </c>
      <c r="H26" s="13"/>
      <c r="I26" s="95">
        <f>AVERAGE(I18:I23)+TINV(0.05,6-1)*STDEV(I18:I23)/SQRT(6)</f>
        <v>25.4226147340502</v>
      </c>
      <c r="J26" s="18"/>
    </row>
    <row r="27" ht="13.9" customHeight="1" spans="1:10">
      <c r="A27" s="18"/>
      <c r="B27" s="43"/>
      <c r="C27" s="44"/>
      <c r="D27" s="78" t="s">
        <v>98</v>
      </c>
      <c r="E27" s="13"/>
      <c r="F27" s="96">
        <f>F26/25*100</f>
        <v>97.509541063799</v>
      </c>
      <c r="G27" s="78" t="s">
        <v>99</v>
      </c>
      <c r="H27" s="13"/>
      <c r="I27" s="96">
        <f>I26/25*100</f>
        <v>101.690458936201</v>
      </c>
      <c r="J27" s="19"/>
    </row>
    <row r="28" ht="13.8" customHeight="1" spans="1:10">
      <c r="A28" s="18"/>
      <c r="B28" s="43"/>
      <c r="C28" s="44"/>
      <c r="D28" s="30" t="s">
        <v>40</v>
      </c>
      <c r="E28" s="13"/>
      <c r="F28" s="95">
        <f t="shared" ref="F28:I28" si="9">AVERAGE(F18:F23)</f>
        <v>8.20616666666667</v>
      </c>
      <c r="G28" s="95">
        <f t="shared" si="9"/>
        <v>164611.833333333</v>
      </c>
      <c r="H28" s="95">
        <f t="shared" si="9"/>
        <v>25.0816666666667</v>
      </c>
      <c r="I28" s="95">
        <f t="shared" si="9"/>
        <v>24.9</v>
      </c>
      <c r="J28" s="98">
        <f>AVERAGE(I3:I8,I18:I23)</f>
        <v>25.6666666666667</v>
      </c>
    </row>
    <row r="29" ht="13.8" customHeight="1" spans="1:10">
      <c r="A29" s="18"/>
      <c r="B29" s="43"/>
      <c r="C29" s="44"/>
      <c r="D29" s="29" t="s">
        <v>41</v>
      </c>
      <c r="E29" s="13"/>
      <c r="F29" s="95">
        <f t="shared" ref="F29:I29" si="10">STDEV(F18:F23)</f>
        <v>0.00194079021706773</v>
      </c>
      <c r="G29" s="95">
        <f t="shared" si="10"/>
        <v>3899.07878436262</v>
      </c>
      <c r="H29" s="95">
        <f t="shared" si="10"/>
        <v>0.592061370692824</v>
      </c>
      <c r="I29" s="95">
        <f t="shared" si="10"/>
        <v>0.497995983919548</v>
      </c>
      <c r="J29" s="99">
        <f>STDEV(I3:I8,I18:I23)</f>
        <v>0.914860479510235</v>
      </c>
    </row>
    <row r="30" ht="13.8" customHeight="1" spans="1:10">
      <c r="A30" s="18"/>
      <c r="B30" s="33"/>
      <c r="C30" s="34"/>
      <c r="D30" s="29" t="s">
        <v>42</v>
      </c>
      <c r="E30" s="13"/>
      <c r="F30" s="97">
        <f t="shared" ref="F30:I30" si="11">F29/F28*100</f>
        <v>0.0236503875183427</v>
      </c>
      <c r="G30" s="95">
        <f t="shared" si="11"/>
        <v>2.36865036091732</v>
      </c>
      <c r="H30" s="95">
        <f t="shared" si="11"/>
        <v>2.36053440371915</v>
      </c>
      <c r="I30" s="95">
        <f t="shared" si="11"/>
        <v>1.99998387116284</v>
      </c>
      <c r="J30" s="99">
        <f>IFERROR(ROUNDUP(J29/J28*100,1),"")</f>
        <v>3.6</v>
      </c>
    </row>
    <row r="31" ht="26.6" customHeight="1" spans="1:10">
      <c r="A31" s="18"/>
      <c r="B31" s="29" t="s">
        <v>103</v>
      </c>
      <c r="C31" s="27"/>
      <c r="D31" s="100" t="s">
        <v>94</v>
      </c>
      <c r="E31" s="13"/>
      <c r="F31" s="100">
        <f>J30*SQRT(11/_xlfn.CHISQ.INV(0.975,11))</f>
        <v>2.55022254310416</v>
      </c>
      <c r="G31" s="100" t="s">
        <v>95</v>
      </c>
      <c r="H31" s="100">
        <f>J30*SQRT(11/_xlfn.CHISQ.INV(0.025,11))</f>
        <v>6.11236086380642</v>
      </c>
      <c r="I31" s="13"/>
      <c r="J31" s="29"/>
    </row>
    <row r="32" ht="13.8" customHeight="1" spans="1:10">
      <c r="A32" s="18"/>
      <c r="B32" s="43"/>
      <c r="C32" s="44"/>
      <c r="D32" s="26" t="s">
        <v>96</v>
      </c>
      <c r="E32" s="13"/>
      <c r="F32" s="95">
        <f>AVERAGE(I3:I8,I18:I23)-TINV(0.05,12-1)*STDEV(I3:I8,I18:I23)/SQRT(12)</f>
        <v>25.0853920498491</v>
      </c>
      <c r="G32" s="26" t="s">
        <v>97</v>
      </c>
      <c r="H32" s="13"/>
      <c r="I32" s="101">
        <f>AVERAGE(I3:I8,I18:I23)+TINV(0.05,12-1)*STDEV(I3:I8,I18:I23)/SQRT(12)</f>
        <v>26.2479412834842</v>
      </c>
      <c r="J32" s="29"/>
    </row>
    <row r="33" ht="13.9" customHeight="1" spans="1:10">
      <c r="A33" s="19"/>
      <c r="B33" s="33"/>
      <c r="C33" s="34"/>
      <c r="D33" s="30" t="s">
        <v>98</v>
      </c>
      <c r="E33" s="13"/>
      <c r="F33" s="97">
        <f>F32/25*100</f>
        <v>100.341568199396</v>
      </c>
      <c r="G33" s="30" t="s">
        <v>99</v>
      </c>
      <c r="H33" s="13"/>
      <c r="I33" s="97">
        <f>I32/25*100</f>
        <v>104.991765133937</v>
      </c>
      <c r="J33" s="29"/>
    </row>
    <row r="34" ht="23.25" customHeight="1" spans="1:10">
      <c r="A34" s="80"/>
      <c r="B34" s="81" t="s">
        <v>88</v>
      </c>
      <c r="C34" s="12"/>
      <c r="D34" s="12"/>
      <c r="E34" s="12"/>
      <c r="F34" s="12"/>
      <c r="G34" s="12"/>
      <c r="H34" s="12"/>
      <c r="I34" s="12"/>
      <c r="J34" s="13"/>
    </row>
    <row r="35" ht="39.75" customHeight="1" spans="1:10">
      <c r="A35" s="82" t="s">
        <v>13</v>
      </c>
      <c r="B35" s="28" t="s">
        <v>89</v>
      </c>
      <c r="C35" s="28" t="s">
        <v>89</v>
      </c>
      <c r="D35" s="16" t="s">
        <v>69</v>
      </c>
      <c r="E35" s="83" t="s">
        <v>90</v>
      </c>
      <c r="F35" s="84" t="s">
        <v>30</v>
      </c>
      <c r="G35" s="85" t="s">
        <v>31</v>
      </c>
      <c r="H35" s="85" t="s">
        <v>91</v>
      </c>
      <c r="I35" s="85" t="s">
        <v>66</v>
      </c>
      <c r="J35" s="28" t="s">
        <v>92</v>
      </c>
    </row>
    <row r="36" ht="13.8" customHeight="1" spans="1:10">
      <c r="A36" s="18"/>
      <c r="B36" s="86"/>
      <c r="C36" s="86"/>
      <c r="D36" s="16">
        <v>1</v>
      </c>
      <c r="E36" s="87">
        <f>B36-C36</f>
        <v>0</v>
      </c>
      <c r="F36" s="88">
        <v>8.211</v>
      </c>
      <c r="G36" s="89">
        <v>156531</v>
      </c>
      <c r="H36" s="90">
        <v>26.3</v>
      </c>
      <c r="I36" s="91" t="e">
        <f>ROUND(H36*20/E36,1)</f>
        <v>#DIV/0!</v>
      </c>
      <c r="J36" s="78" t="e">
        <f>I36/25*100</f>
        <v>#DIV/0!</v>
      </c>
    </row>
    <row r="37" ht="13.8" customHeight="1" spans="1:10">
      <c r="A37" s="18"/>
      <c r="B37" s="86"/>
      <c r="C37" s="86"/>
      <c r="D37" s="16">
        <v>2</v>
      </c>
      <c r="E37" s="87">
        <f>B37-C37</f>
        <v>0</v>
      </c>
      <c r="F37" s="88">
        <v>8.212</v>
      </c>
      <c r="G37" s="89">
        <v>160279</v>
      </c>
      <c r="H37" s="90">
        <v>26.93</v>
      </c>
      <c r="I37" s="91" t="e">
        <f>ROUND(H37*20/E37,1)</f>
        <v>#DIV/0!</v>
      </c>
      <c r="J37" s="78" t="e">
        <f>I37/25*100</f>
        <v>#DIV/0!</v>
      </c>
    </row>
    <row r="38" ht="13.8" customHeight="1" spans="1:10">
      <c r="A38" s="18"/>
      <c r="B38" s="86"/>
      <c r="C38" s="86"/>
      <c r="D38" s="16">
        <v>3</v>
      </c>
      <c r="E38" s="87">
        <f>B38-C38</f>
        <v>0</v>
      </c>
      <c r="F38" s="88">
        <v>8.208</v>
      </c>
      <c r="G38" s="89">
        <v>154371</v>
      </c>
      <c r="H38" s="90">
        <v>25.94</v>
      </c>
      <c r="I38" s="91" t="e">
        <f>ROUND(H38*20/E38,1)</f>
        <v>#DIV/0!</v>
      </c>
      <c r="J38" s="78" t="e">
        <f>I38/25*100</f>
        <v>#DIV/0!</v>
      </c>
    </row>
    <row r="39" ht="13.8" customHeight="1" spans="1:10">
      <c r="A39" s="18"/>
      <c r="B39" s="86"/>
      <c r="C39" s="86"/>
      <c r="D39" s="16">
        <v>4</v>
      </c>
      <c r="E39" s="87">
        <f>B39-C39</f>
        <v>0</v>
      </c>
      <c r="F39" s="88">
        <v>8.207</v>
      </c>
      <c r="G39" s="89">
        <v>159010</v>
      </c>
      <c r="H39" s="90">
        <v>26.72</v>
      </c>
      <c r="I39" s="91" t="e">
        <f>ROUND(H39*20/E39,1)</f>
        <v>#DIV/0!</v>
      </c>
      <c r="J39" s="78" t="e">
        <f>I39/25*100</f>
        <v>#DIV/0!</v>
      </c>
    </row>
    <row r="40" ht="13.8" customHeight="1" spans="1:10">
      <c r="A40" s="18"/>
      <c r="B40" s="86"/>
      <c r="C40" s="86"/>
      <c r="D40" s="16">
        <v>5</v>
      </c>
      <c r="E40" s="87">
        <f>B40-C40</f>
        <v>0</v>
      </c>
      <c r="F40" s="88">
        <v>8.209</v>
      </c>
      <c r="G40" s="89">
        <v>161875</v>
      </c>
      <c r="H40" s="90">
        <v>27.2</v>
      </c>
      <c r="I40" s="91" t="e">
        <f>ROUND(H40*20/E40,1)</f>
        <v>#DIV/0!</v>
      </c>
      <c r="J40" s="78" t="e">
        <f>I40/25*100</f>
        <v>#DIV/0!</v>
      </c>
    </row>
    <row r="41" ht="13.8" customHeight="1" spans="1:10">
      <c r="A41" s="18"/>
      <c r="B41" s="86"/>
      <c r="C41" s="86"/>
      <c r="D41" s="16">
        <v>6</v>
      </c>
      <c r="E41" s="87">
        <f>B41-C41</f>
        <v>0</v>
      </c>
      <c r="F41" s="88">
        <v>8.21</v>
      </c>
      <c r="G41" s="89">
        <v>160824</v>
      </c>
      <c r="H41" s="90">
        <v>27.02</v>
      </c>
      <c r="I41" s="91" t="e">
        <f>ROUND(H41*20/E41,1)</f>
        <v>#DIV/0!</v>
      </c>
      <c r="J41" s="78" t="e">
        <f>I41/25*100</f>
        <v>#DIV/0!</v>
      </c>
    </row>
    <row r="42" ht="27" customHeight="1" spans="1:10">
      <c r="A42" s="18"/>
      <c r="B42" s="78"/>
      <c r="C42" s="27"/>
      <c r="D42" s="16" t="s">
        <v>38</v>
      </c>
      <c r="E42" s="92" t="s">
        <v>93</v>
      </c>
      <c r="F42" s="93">
        <f>IFERROR(ROUNDUP(F48,1),"")</f>
        <v>0.1</v>
      </c>
      <c r="G42" s="92" t="s">
        <v>93</v>
      </c>
      <c r="H42" s="92" t="s">
        <v>93</v>
      </c>
      <c r="I42" s="93" t="str">
        <f>IFERROR(ROUNDUP(I48,1),"")</f>
        <v/>
      </c>
      <c r="J42" s="78"/>
    </row>
    <row r="43" ht="26.6" customHeight="1" spans="1:10">
      <c r="A43" s="18"/>
      <c r="B43" s="43"/>
      <c r="C43" s="44"/>
      <c r="D43" s="16" t="s">
        <v>94</v>
      </c>
      <c r="E43" s="92" t="e">
        <f>I42*SQRT(5/_xlfn.CHISQ.INV(0.975,5))</f>
        <v>#VALUE!</v>
      </c>
      <c r="F43" s="13"/>
      <c r="G43" s="92" t="s">
        <v>95</v>
      </c>
      <c r="H43" s="92" t="e">
        <f>I42*SQRT(5/_xlfn.CHISQ.INV(0.025,5))</f>
        <v>#VALUE!</v>
      </c>
      <c r="I43" s="13"/>
      <c r="J43" s="18"/>
    </row>
    <row r="44" ht="13.8" customHeight="1" spans="1:10">
      <c r="A44" s="18"/>
      <c r="B44" s="43"/>
      <c r="C44" s="44"/>
      <c r="D44" s="94" t="s">
        <v>96</v>
      </c>
      <c r="E44" s="13"/>
      <c r="F44" s="95" t="e">
        <f>AVERAGE(I36:I41)-TINV(0.05,6-1)*STDEV(I36:I41)/SQRT(6)</f>
        <v>#DIV/0!</v>
      </c>
      <c r="G44" s="94" t="s">
        <v>97</v>
      </c>
      <c r="H44" s="13"/>
      <c r="I44" s="95" t="e">
        <f>AVERAGE(I36:I41)+TINV(0.05,6-1)*STDEV(I36:I41)/SQRT(6)</f>
        <v>#DIV/0!</v>
      </c>
      <c r="J44" s="18"/>
    </row>
    <row r="45" ht="13.9" customHeight="1" spans="1:10">
      <c r="A45" s="18"/>
      <c r="B45" s="43"/>
      <c r="C45" s="44"/>
      <c r="D45" s="78" t="s">
        <v>98</v>
      </c>
      <c r="E45" s="13"/>
      <c r="F45" s="96" t="e">
        <f>F44/25*100</f>
        <v>#DIV/0!</v>
      </c>
      <c r="G45" s="78" t="s">
        <v>99</v>
      </c>
      <c r="H45" s="13"/>
      <c r="I45" s="96" t="e">
        <f>I44/25*100</f>
        <v>#DIV/0!</v>
      </c>
      <c r="J45" s="18"/>
    </row>
    <row r="46" ht="13.8" customHeight="1" spans="1:10">
      <c r="A46" s="18"/>
      <c r="B46" s="43"/>
      <c r="C46" s="44"/>
      <c r="D46" s="30" t="s">
        <v>40</v>
      </c>
      <c r="E46" s="13"/>
      <c r="F46" s="95">
        <f>AVERAGE(F36:F41)</f>
        <v>8.2095</v>
      </c>
      <c r="G46" s="95">
        <f>AVERAGE(G36:G41)</f>
        <v>158815</v>
      </c>
      <c r="H46" s="95">
        <f>AVERAGE(H36:H41)</f>
        <v>26.685</v>
      </c>
      <c r="I46" s="95" t="e">
        <f>AVERAGE(I36:I41)</f>
        <v>#DIV/0!</v>
      </c>
      <c r="J46" s="18"/>
    </row>
    <row r="47" ht="13.8" customHeight="1" spans="1:10">
      <c r="A47" s="18"/>
      <c r="B47" s="43"/>
      <c r="C47" s="44"/>
      <c r="D47" s="29" t="s">
        <v>41</v>
      </c>
      <c r="E47" s="13"/>
      <c r="F47" s="95">
        <f>STDEV(F36:F41)</f>
        <v>0.00187082869338679</v>
      </c>
      <c r="G47" s="95">
        <f>STDEV(G36:G41)</f>
        <v>2847.69359306791</v>
      </c>
      <c r="H47" s="95">
        <f>STDEV(H36:H41)</f>
        <v>0.477901663525039</v>
      </c>
      <c r="I47" s="95" t="e">
        <f>STDEV(I36:I41)</f>
        <v>#DIV/0!</v>
      </c>
      <c r="J47" s="18"/>
    </row>
    <row r="48" ht="13.8" customHeight="1" spans="1:10">
      <c r="A48" s="18"/>
      <c r="B48" s="33"/>
      <c r="C48" s="34"/>
      <c r="D48" s="29" t="s">
        <v>42</v>
      </c>
      <c r="E48" s="13"/>
      <c r="F48" s="97">
        <f>F47/F46*100</f>
        <v>0.0227885826589535</v>
      </c>
      <c r="G48" s="95">
        <f>G47/G46*100</f>
        <v>1.79308855779864</v>
      </c>
      <c r="H48" s="95">
        <f>H47/H46*100</f>
        <v>1.79089999447269</v>
      </c>
      <c r="I48" s="95" t="e">
        <f>I47/I46*100</f>
        <v>#DIV/0!</v>
      </c>
      <c r="J48" s="19"/>
    </row>
    <row r="49" ht="23.25" customHeight="1" spans="1:10">
      <c r="A49" s="18"/>
      <c r="B49" s="81" t="s">
        <v>100</v>
      </c>
      <c r="C49" s="12"/>
      <c r="D49" s="12"/>
      <c r="E49" s="12"/>
      <c r="F49" s="12"/>
      <c r="G49" s="12"/>
      <c r="H49" s="12"/>
      <c r="I49" s="12"/>
      <c r="J49" s="13"/>
    </row>
    <row r="50" ht="39.75" customHeight="1" spans="1:10">
      <c r="A50" s="18"/>
      <c r="B50" s="28" t="s">
        <v>89</v>
      </c>
      <c r="C50" s="28" t="s">
        <v>101</v>
      </c>
      <c r="D50" s="16" t="s">
        <v>69</v>
      </c>
      <c r="E50" s="83" t="s">
        <v>90</v>
      </c>
      <c r="F50" s="84" t="s">
        <v>30</v>
      </c>
      <c r="G50" s="85" t="s">
        <v>31</v>
      </c>
      <c r="H50" s="85" t="s">
        <v>91</v>
      </c>
      <c r="I50" s="85" t="s">
        <v>66</v>
      </c>
      <c r="J50" s="78" t="s">
        <v>92</v>
      </c>
    </row>
    <row r="51" ht="13.8" customHeight="1" spans="1:10">
      <c r="A51" s="18"/>
      <c r="B51" s="86"/>
      <c r="C51" s="86"/>
      <c r="D51" s="16">
        <v>1</v>
      </c>
      <c r="E51" s="87">
        <f>B51-C51</f>
        <v>0</v>
      </c>
      <c r="F51" s="88">
        <v>8.205</v>
      </c>
      <c r="G51" s="89">
        <v>163605</v>
      </c>
      <c r="H51" s="90">
        <v>24.93</v>
      </c>
      <c r="I51" s="91" t="e">
        <f>ROUND(H51*20/E51,1)</f>
        <v>#DIV/0!</v>
      </c>
      <c r="J51" s="78" t="e">
        <f>I51/25*100</f>
        <v>#DIV/0!</v>
      </c>
    </row>
    <row r="52" ht="13.8" customHeight="1" spans="1:10">
      <c r="A52" s="18"/>
      <c r="B52" s="86"/>
      <c r="C52" s="86"/>
      <c r="D52" s="16">
        <v>2</v>
      </c>
      <c r="E52" s="87">
        <f>B52-C52</f>
        <v>0</v>
      </c>
      <c r="F52" s="88">
        <v>8.205</v>
      </c>
      <c r="G52" s="89">
        <v>158276</v>
      </c>
      <c r="H52" s="90">
        <v>24.12</v>
      </c>
      <c r="I52" s="91" t="e">
        <f>ROUND(H52*20/E52,1)</f>
        <v>#DIV/0!</v>
      </c>
      <c r="J52" s="78" t="e">
        <f>I52/25*100</f>
        <v>#DIV/0!</v>
      </c>
    </row>
    <row r="53" ht="13.8" customHeight="1" spans="1:10">
      <c r="A53" s="18"/>
      <c r="B53" s="86"/>
      <c r="C53" s="86"/>
      <c r="D53" s="16">
        <v>3</v>
      </c>
      <c r="E53" s="87">
        <f>B53-C53</f>
        <v>0</v>
      </c>
      <c r="F53" s="88">
        <v>8.208</v>
      </c>
      <c r="G53" s="89">
        <v>163114</v>
      </c>
      <c r="H53" s="90">
        <v>24.85</v>
      </c>
      <c r="I53" s="91" t="e">
        <f>ROUND(H53*20/E53,1)</f>
        <v>#DIV/0!</v>
      </c>
      <c r="J53" s="78" t="e">
        <f>I53/25*100</f>
        <v>#DIV/0!</v>
      </c>
    </row>
    <row r="54" ht="13.8" customHeight="1" spans="1:10">
      <c r="A54" s="18"/>
      <c r="B54" s="86"/>
      <c r="C54" s="86"/>
      <c r="D54" s="16">
        <v>4</v>
      </c>
      <c r="E54" s="87">
        <f>B54-C54</f>
        <v>0</v>
      </c>
      <c r="F54" s="88">
        <v>8.209</v>
      </c>
      <c r="G54" s="89">
        <v>169480</v>
      </c>
      <c r="H54" s="90">
        <v>25.82</v>
      </c>
      <c r="I54" s="91" t="e">
        <f>ROUND(H54*20/E54,1)</f>
        <v>#DIV/0!</v>
      </c>
      <c r="J54" s="78" t="e">
        <f>I54/25*100</f>
        <v>#DIV/0!</v>
      </c>
    </row>
    <row r="55" ht="13.8" customHeight="1" spans="1:10">
      <c r="A55" s="18"/>
      <c r="B55" s="86"/>
      <c r="C55" s="86"/>
      <c r="D55" s="16">
        <v>5</v>
      </c>
      <c r="E55" s="87">
        <f>B55-C55</f>
        <v>0</v>
      </c>
      <c r="F55" s="88">
        <v>8.204</v>
      </c>
      <c r="G55" s="89">
        <v>167314</v>
      </c>
      <c r="H55" s="90">
        <v>25.49</v>
      </c>
      <c r="I55" s="91" t="e">
        <f>ROUND(H55*20/E55,1)</f>
        <v>#DIV/0!</v>
      </c>
      <c r="J55" s="78" t="e">
        <f>I55/25*100</f>
        <v>#DIV/0!</v>
      </c>
    </row>
    <row r="56" ht="13.8" customHeight="1" spans="1:10">
      <c r="A56" s="18"/>
      <c r="B56" s="86"/>
      <c r="C56" s="86"/>
      <c r="D56" s="16">
        <v>6</v>
      </c>
      <c r="E56" s="87">
        <f>B56-C56</f>
        <v>0</v>
      </c>
      <c r="F56" s="88">
        <v>8.206</v>
      </c>
      <c r="G56" s="89">
        <v>165882</v>
      </c>
      <c r="H56" s="90">
        <v>25.28</v>
      </c>
      <c r="I56" s="91" t="e">
        <f>ROUND(H56*20/E56,1)</f>
        <v>#DIV/0!</v>
      </c>
      <c r="J56" s="78" t="e">
        <f>I56/25*100</f>
        <v>#DIV/0!</v>
      </c>
    </row>
    <row r="57" ht="27" customHeight="1" spans="1:10">
      <c r="A57" s="18"/>
      <c r="B57" s="78"/>
      <c r="C57" s="27"/>
      <c r="D57" s="16" t="s">
        <v>38</v>
      </c>
      <c r="E57" s="92" t="s">
        <v>93</v>
      </c>
      <c r="F57" s="93">
        <f>IFERROR(ROUNDUP(F63,1),"")</f>
        <v>0.1</v>
      </c>
      <c r="G57" s="92"/>
      <c r="H57" s="92"/>
      <c r="I57" s="93" t="str">
        <f>IFERROR(ROUNDUP(I63,1),"")</f>
        <v/>
      </c>
      <c r="J57" s="78" t="s">
        <v>102</v>
      </c>
    </row>
    <row r="58" ht="26.6" customHeight="1" spans="1:10">
      <c r="A58" s="18"/>
      <c r="B58" s="43"/>
      <c r="C58" s="44"/>
      <c r="D58" s="16" t="s">
        <v>94</v>
      </c>
      <c r="E58" s="92" t="e">
        <f>I57*SQRT(5/_xlfn.CHISQ.INV(0.975,5))</f>
        <v>#VALUE!</v>
      </c>
      <c r="F58" s="13"/>
      <c r="G58" s="92" t="s">
        <v>95</v>
      </c>
      <c r="H58" s="92" t="e">
        <f>I57*SQRT(5/_xlfn.CHISQ.INV(0.025,5))</f>
        <v>#VALUE!</v>
      </c>
      <c r="I58" s="13"/>
      <c r="J58" s="18"/>
    </row>
    <row r="59" ht="13.8" customHeight="1" spans="1:10">
      <c r="A59" s="18"/>
      <c r="B59" s="43"/>
      <c r="C59" s="44"/>
      <c r="D59" s="94" t="s">
        <v>96</v>
      </c>
      <c r="E59" s="13"/>
      <c r="F59" s="95" t="e">
        <f>AVERAGE(I51:I56)-TINV(0.05,6-1)*STDEV(I51:I56)/SQRT(6)</f>
        <v>#DIV/0!</v>
      </c>
      <c r="G59" s="94" t="s">
        <v>97</v>
      </c>
      <c r="H59" s="13"/>
      <c r="I59" s="95" t="e">
        <f>AVERAGE(I51:I56)+TINV(0.05,6-1)*STDEV(I51:I56)/SQRT(6)</f>
        <v>#DIV/0!</v>
      </c>
      <c r="J59" s="18"/>
    </row>
    <row r="60" ht="13.9" customHeight="1" spans="1:10">
      <c r="A60" s="18"/>
      <c r="B60" s="43"/>
      <c r="C60" s="44"/>
      <c r="D60" s="78" t="s">
        <v>98</v>
      </c>
      <c r="E60" s="13"/>
      <c r="F60" s="96" t="e">
        <f>F59/25*100</f>
        <v>#DIV/0!</v>
      </c>
      <c r="G60" s="78" t="s">
        <v>99</v>
      </c>
      <c r="H60" s="13"/>
      <c r="I60" s="96" t="e">
        <f>I59/25*100</f>
        <v>#DIV/0!</v>
      </c>
      <c r="J60" s="19"/>
    </row>
    <row r="61" ht="13.8" customHeight="1" spans="1:10">
      <c r="A61" s="18"/>
      <c r="B61" s="43"/>
      <c r="C61" s="44"/>
      <c r="D61" s="30" t="s">
        <v>40</v>
      </c>
      <c r="E61" s="13"/>
      <c r="F61" s="95">
        <f>AVERAGE(F51:F56)</f>
        <v>8.20616666666667</v>
      </c>
      <c r="G61" s="95">
        <f>AVERAGE(G51:G56)</f>
        <v>164611.833333333</v>
      </c>
      <c r="H61" s="95">
        <f>AVERAGE(H51:H56)</f>
        <v>25.0816666666667</v>
      </c>
      <c r="I61" s="95" t="e">
        <f>AVERAGE(I51:I56)</f>
        <v>#DIV/0!</v>
      </c>
      <c r="J61" s="98" t="e">
        <f>AVERAGE(I36:I41,I51:I56)</f>
        <v>#DIV/0!</v>
      </c>
    </row>
    <row r="62" ht="13.8" customHeight="1" spans="1:10">
      <c r="A62" s="18"/>
      <c r="B62" s="43"/>
      <c r="C62" s="44"/>
      <c r="D62" s="29" t="s">
        <v>41</v>
      </c>
      <c r="E62" s="13"/>
      <c r="F62" s="95">
        <f>STDEV(F51:F56)</f>
        <v>0.00194079021706773</v>
      </c>
      <c r="G62" s="95">
        <f>STDEV(G51:G56)</f>
        <v>3899.07878436262</v>
      </c>
      <c r="H62" s="95">
        <f>STDEV(H51:H56)</f>
        <v>0.592061370692824</v>
      </c>
      <c r="I62" s="95" t="e">
        <f>STDEV(I51:I56)</f>
        <v>#DIV/0!</v>
      </c>
      <c r="J62" s="99" t="e">
        <f>STDEV(I36:I41,I51:I56)</f>
        <v>#DIV/0!</v>
      </c>
    </row>
    <row r="63" ht="13.8" customHeight="1" spans="1:10">
      <c r="A63" s="18"/>
      <c r="B63" s="33"/>
      <c r="C63" s="34"/>
      <c r="D63" s="29" t="s">
        <v>42</v>
      </c>
      <c r="E63" s="13"/>
      <c r="F63" s="97">
        <f>F62/F61*100</f>
        <v>0.0236503875183427</v>
      </c>
      <c r="G63" s="95">
        <f>G62/G61*100</f>
        <v>2.36865036091732</v>
      </c>
      <c r="H63" s="95">
        <f>H62/H61*100</f>
        <v>2.36053440371915</v>
      </c>
      <c r="I63" s="95" t="e">
        <f>I62/I61*100</f>
        <v>#DIV/0!</v>
      </c>
      <c r="J63" s="99" t="str">
        <f>IFERROR(ROUNDUP(J62/J61*100,1),"")</f>
        <v/>
      </c>
    </row>
    <row r="64" ht="26.6" customHeight="1" spans="1:10">
      <c r="A64" s="18"/>
      <c r="B64" s="29" t="s">
        <v>103</v>
      </c>
      <c r="C64" s="27"/>
      <c r="D64" s="100" t="s">
        <v>94</v>
      </c>
      <c r="E64" s="13"/>
      <c r="F64" s="100" t="e">
        <f>J63*SQRT(11/_xlfn.CHISQ.INV(0.975,11))</f>
        <v>#VALUE!</v>
      </c>
      <c r="G64" s="100" t="s">
        <v>95</v>
      </c>
      <c r="H64" s="100" t="e">
        <f>J63*SQRT(11/_xlfn.CHISQ.INV(0.025,11))</f>
        <v>#VALUE!</v>
      </c>
      <c r="I64" s="13"/>
      <c r="J64" s="29"/>
    </row>
    <row r="65" ht="13.8" customHeight="1" spans="1:10">
      <c r="A65" s="18"/>
      <c r="B65" s="43"/>
      <c r="C65" s="44"/>
      <c r="D65" s="26" t="s">
        <v>96</v>
      </c>
      <c r="E65" s="13"/>
      <c r="F65" s="95" t="e">
        <f>AVERAGE(I36:I41,I51:I56)-TINV(0.05,12-1)*STDEV(I36:I41,I51:I56)/SQRT(12)</f>
        <v>#DIV/0!</v>
      </c>
      <c r="G65" s="26" t="s">
        <v>97</v>
      </c>
      <c r="H65" s="13"/>
      <c r="I65" s="101" t="e">
        <f>AVERAGE(I36:I41,I51:I56)+TINV(0.05,12-1)*STDEV(I36:I41,I51:I56)/SQRT(12)</f>
        <v>#DIV/0!</v>
      </c>
      <c r="J65" s="29"/>
    </row>
    <row r="66" ht="13.9" customHeight="1" spans="1:10">
      <c r="A66" s="19"/>
      <c r="B66" s="33"/>
      <c r="C66" s="34"/>
      <c r="D66" s="30" t="s">
        <v>98</v>
      </c>
      <c r="E66" s="13"/>
      <c r="F66" s="97" t="e">
        <f>F65/25*100</f>
        <v>#DIV/0!</v>
      </c>
      <c r="G66" s="30" t="s">
        <v>99</v>
      </c>
      <c r="H66" s="13"/>
      <c r="I66" s="97" t="e">
        <f>I65/25*100</f>
        <v>#DIV/0!</v>
      </c>
      <c r="J66" s="29"/>
    </row>
  </sheetData>
  <mergeCells count="64">
    <mergeCell ref="B1:J1"/>
    <mergeCell ref="E10:F10"/>
    <mergeCell ref="H10:I10"/>
    <mergeCell ref="D11:E11"/>
    <mergeCell ref="G11:H11"/>
    <mergeCell ref="D12:E12"/>
    <mergeCell ref="G12:H12"/>
    <mergeCell ref="D13:E13"/>
    <mergeCell ref="D14:E14"/>
    <mergeCell ref="D15:E15"/>
    <mergeCell ref="B16:J16"/>
    <mergeCell ref="E25:F25"/>
    <mergeCell ref="H25:I25"/>
    <mergeCell ref="D26:E26"/>
    <mergeCell ref="G26:H26"/>
    <mergeCell ref="D27:E27"/>
    <mergeCell ref="G27:H27"/>
    <mergeCell ref="D28:E28"/>
    <mergeCell ref="D29:E29"/>
    <mergeCell ref="D30:E30"/>
    <mergeCell ref="D31:E31"/>
    <mergeCell ref="H31:I31"/>
    <mergeCell ref="D32:E32"/>
    <mergeCell ref="G32:H32"/>
    <mergeCell ref="D33:E33"/>
    <mergeCell ref="G33:H33"/>
    <mergeCell ref="B34:J34"/>
    <mergeCell ref="E43:F43"/>
    <mergeCell ref="H43:I43"/>
    <mergeCell ref="D44:E44"/>
    <mergeCell ref="G44:H44"/>
    <mergeCell ref="D45:E45"/>
    <mergeCell ref="G45:H45"/>
    <mergeCell ref="D46:E46"/>
    <mergeCell ref="D47:E47"/>
    <mergeCell ref="D48:E48"/>
    <mergeCell ref="B49:J49"/>
    <mergeCell ref="E58:F58"/>
    <mergeCell ref="H58:I58"/>
    <mergeCell ref="D59:E59"/>
    <mergeCell ref="G59:H59"/>
    <mergeCell ref="D60:E60"/>
    <mergeCell ref="G60:H60"/>
    <mergeCell ref="D61:E61"/>
    <mergeCell ref="D62:E62"/>
    <mergeCell ref="D63:E63"/>
    <mergeCell ref="D64:E64"/>
    <mergeCell ref="H64:I64"/>
    <mergeCell ref="D65:E65"/>
    <mergeCell ref="G65:H65"/>
    <mergeCell ref="D66:E66"/>
    <mergeCell ref="G66:H66"/>
    <mergeCell ref="A2:A33"/>
    <mergeCell ref="A35:A66"/>
    <mergeCell ref="J9:J15"/>
    <mergeCell ref="J24:J27"/>
    <mergeCell ref="J42:J48"/>
    <mergeCell ref="J57:J60"/>
    <mergeCell ref="B9:C15"/>
    <mergeCell ref="B24:C30"/>
    <mergeCell ref="B31:C33"/>
    <mergeCell ref="B42:C48"/>
    <mergeCell ref="B57:C63"/>
    <mergeCell ref="B64:C66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56"/>
  <sheetViews>
    <sheetView workbookViewId="0">
      <selection activeCell="J16" sqref="A1:L28"/>
    </sheetView>
  </sheetViews>
  <sheetFormatPr defaultColWidth="9.02654867256637" defaultRowHeight="13.5"/>
  <cols>
    <col min="1" max="1" width="9.66371681415929" customWidth="1"/>
    <col min="2" max="2" width="12.2920353982301" customWidth="1"/>
    <col min="3" max="3" width="11.3805309734513" customWidth="1"/>
    <col min="4" max="4" width="18.787610619469" customWidth="1"/>
    <col min="5" max="5" width="20.3185840707965" customWidth="1"/>
    <col min="6" max="6" width="14.6106194690265" customWidth="1"/>
    <col min="7" max="7" width="16.5132743362832" customWidth="1"/>
    <col min="8" max="8" width="16.6017699115044" customWidth="1"/>
    <col min="9" max="10" width="16.5132743362832" customWidth="1"/>
    <col min="11" max="11" width="12.0973451327434" customWidth="1"/>
    <col min="12" max="12" width="8.96460176991151" customWidth="1"/>
  </cols>
  <sheetData>
    <row r="1" ht="25.1" customHeight="1" spans="1:12">
      <c r="A1" s="25" t="s">
        <v>104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3"/>
    </row>
    <row r="2" customHeight="1" spans="1:12">
      <c r="A2" s="26" t="s">
        <v>28</v>
      </c>
      <c r="B2" s="27"/>
      <c r="C2" s="28" t="s">
        <v>89</v>
      </c>
      <c r="D2" s="28" t="s">
        <v>101</v>
      </c>
      <c r="E2" s="29" t="s">
        <v>69</v>
      </c>
      <c r="F2" s="30" t="s">
        <v>105</v>
      </c>
      <c r="G2" s="26" t="s">
        <v>31</v>
      </c>
      <c r="H2" s="26" t="s">
        <v>91</v>
      </c>
      <c r="I2" s="31" t="s">
        <v>106</v>
      </c>
      <c r="J2" s="26" t="s">
        <v>107</v>
      </c>
      <c r="K2" s="32"/>
      <c r="L2" s="27"/>
    </row>
    <row r="3" ht="13.9" customHeight="1" spans="1:12">
      <c r="A3" s="33"/>
      <c r="B3" s="34"/>
      <c r="C3" s="19"/>
      <c r="D3" s="19"/>
      <c r="E3" s="19"/>
      <c r="F3" s="30" t="s">
        <v>108</v>
      </c>
      <c r="G3" s="19"/>
      <c r="H3" s="19"/>
      <c r="I3" s="19"/>
      <c r="J3" s="33"/>
      <c r="K3" s="35"/>
      <c r="L3" s="34"/>
    </row>
    <row r="4" ht="13.8" customHeight="1" spans="1:12">
      <c r="A4" s="36" t="s">
        <v>11</v>
      </c>
      <c r="B4" s="27"/>
      <c r="C4" s="37"/>
      <c r="D4" s="37"/>
      <c r="E4" s="29">
        <v>1</v>
      </c>
      <c r="F4" s="38">
        <f t="shared" ref="F4:F6" si="0">C4-D4</f>
        <v>0</v>
      </c>
      <c r="G4" s="39">
        <v>0</v>
      </c>
      <c r="H4" s="40">
        <v>0</v>
      </c>
      <c r="I4" s="41" t="e">
        <f t="shared" ref="I4:I6" si="1">ROUND(H4*20/F4,1)</f>
        <v>#DIV/0!</v>
      </c>
      <c r="J4" s="42" t="e">
        <f>SUM(I4:I6)/3</f>
        <v>#DIV/0!</v>
      </c>
      <c r="K4" s="32"/>
      <c r="L4" s="27"/>
    </row>
    <row r="5" ht="13.8" customHeight="1" spans="1:12">
      <c r="A5" s="43"/>
      <c r="B5" s="44"/>
      <c r="C5" s="37"/>
      <c r="D5" s="37"/>
      <c r="E5" s="29">
        <v>2</v>
      </c>
      <c r="F5" s="38">
        <f t="shared" si="0"/>
        <v>0</v>
      </c>
      <c r="G5" s="39">
        <v>0</v>
      </c>
      <c r="H5" s="40">
        <v>0</v>
      </c>
      <c r="I5" s="41" t="e">
        <f t="shared" si="1"/>
        <v>#DIV/0!</v>
      </c>
      <c r="J5" s="43"/>
      <c r="K5" s="1"/>
      <c r="L5" s="44"/>
    </row>
    <row r="6" ht="13.8" customHeight="1" spans="1:12">
      <c r="A6" s="33"/>
      <c r="B6" s="34"/>
      <c r="C6" s="37"/>
      <c r="D6" s="37"/>
      <c r="E6" s="29">
        <v>3</v>
      </c>
      <c r="F6" s="38">
        <f t="shared" si="0"/>
        <v>0</v>
      </c>
      <c r="G6" s="39">
        <v>0</v>
      </c>
      <c r="H6" s="40">
        <v>0</v>
      </c>
      <c r="I6" s="41" t="e">
        <f t="shared" si="1"/>
        <v>#DIV/0!</v>
      </c>
      <c r="J6" s="33"/>
      <c r="K6" s="35"/>
      <c r="L6" s="34"/>
    </row>
    <row r="7" customHeight="1" spans="1:12">
      <c r="A7" s="25" t="s">
        <v>109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27"/>
    </row>
    <row r="8" customHeight="1" spans="1:12">
      <c r="A8" s="33"/>
      <c r="B8" s="35"/>
      <c r="C8" s="35"/>
      <c r="D8" s="35"/>
      <c r="E8" s="35"/>
      <c r="F8" s="35"/>
      <c r="G8" s="35"/>
      <c r="H8" s="35"/>
      <c r="I8" s="35"/>
      <c r="J8" s="35"/>
      <c r="K8" s="35"/>
      <c r="L8" s="34"/>
    </row>
    <row r="9" ht="25" customHeight="1" spans="1:12">
      <c r="A9" s="45">
        <v>46162</v>
      </c>
      <c r="B9" s="25"/>
      <c r="C9" s="25"/>
      <c r="D9" s="25"/>
      <c r="E9" s="46"/>
      <c r="F9" s="47" t="s">
        <v>110</v>
      </c>
      <c r="G9" s="47" t="s">
        <v>111</v>
      </c>
      <c r="H9" s="47" t="s">
        <v>112</v>
      </c>
      <c r="I9" s="47" t="s">
        <v>113</v>
      </c>
      <c r="J9" s="47" t="s">
        <v>114</v>
      </c>
      <c r="K9" s="47" t="s">
        <v>115</v>
      </c>
      <c r="L9" s="13"/>
    </row>
    <row r="10" ht="25" customHeight="1" spans="1:12">
      <c r="A10" s="45"/>
      <c r="B10" s="48"/>
      <c r="C10" s="49"/>
      <c r="D10" s="48"/>
      <c r="E10" s="50"/>
      <c r="F10" s="51"/>
      <c r="G10" s="51"/>
      <c r="H10" s="52"/>
      <c r="I10" s="51"/>
      <c r="J10" s="51"/>
      <c r="K10" s="51"/>
      <c r="L10" s="13"/>
    </row>
    <row r="11" ht="25" customHeight="1" spans="1:12">
      <c r="A11" s="53" t="s">
        <v>43</v>
      </c>
      <c r="B11" s="54" t="s">
        <v>44</v>
      </c>
      <c r="C11" s="55" t="s">
        <v>45</v>
      </c>
      <c r="D11" s="54" t="s">
        <v>46</v>
      </c>
      <c r="E11" s="54" t="s">
        <v>47</v>
      </c>
      <c r="F11" s="50" t="s">
        <v>48</v>
      </c>
      <c r="G11" s="50" t="s">
        <v>49</v>
      </c>
      <c r="H11" s="48" t="s">
        <v>50</v>
      </c>
      <c r="I11" s="50" t="s">
        <v>51</v>
      </c>
      <c r="J11" s="50" t="s">
        <v>52</v>
      </c>
      <c r="K11" s="50" t="s">
        <v>53</v>
      </c>
      <c r="L11" s="13"/>
    </row>
    <row r="12" ht="20" customHeight="1" spans="1:12">
      <c r="A12" s="56" t="s">
        <v>11</v>
      </c>
      <c r="B12" s="57"/>
      <c r="C12" s="58"/>
      <c r="D12" s="59"/>
      <c r="E12" s="59"/>
      <c r="F12" s="57"/>
      <c r="G12" s="57"/>
      <c r="H12" s="57"/>
      <c r="I12" s="57"/>
      <c r="J12" s="57"/>
      <c r="K12" s="57"/>
      <c r="L12" s="13"/>
    </row>
    <row r="13" ht="25.1" customHeight="1" spans="1:12">
      <c r="A13" s="60" t="s">
        <v>116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3"/>
    </row>
    <row r="14" customHeight="1" spans="1:12">
      <c r="A14" s="56" t="s">
        <v>11</v>
      </c>
      <c r="B14" s="28" t="s">
        <v>89</v>
      </c>
      <c r="C14" s="28" t="s">
        <v>101</v>
      </c>
      <c r="D14" s="61" t="s">
        <v>117</v>
      </c>
      <c r="E14" s="62" t="s">
        <v>69</v>
      </c>
      <c r="F14" s="63" t="s">
        <v>118</v>
      </c>
      <c r="G14" s="63" t="s">
        <v>119</v>
      </c>
      <c r="H14" s="64" t="s">
        <v>120</v>
      </c>
      <c r="I14" s="63" t="s">
        <v>121</v>
      </c>
      <c r="J14" s="63" t="s">
        <v>122</v>
      </c>
      <c r="K14" s="63" t="s">
        <v>123</v>
      </c>
      <c r="L14" s="63" t="s">
        <v>124</v>
      </c>
    </row>
    <row r="15" ht="13.9" customHeight="1" spans="1:12">
      <c r="A15" s="18"/>
      <c r="B15" s="19"/>
      <c r="C15" s="19"/>
      <c r="D15" s="61" t="s">
        <v>43</v>
      </c>
      <c r="E15" s="19"/>
      <c r="F15" s="19"/>
      <c r="G15" s="19"/>
      <c r="H15" s="64" t="s">
        <v>125</v>
      </c>
      <c r="I15" s="63" t="s">
        <v>125</v>
      </c>
      <c r="J15" s="19"/>
      <c r="K15" s="63" t="s">
        <v>126</v>
      </c>
      <c r="L15" s="19"/>
    </row>
    <row r="16" ht="13.8" customHeight="1" spans="1:12">
      <c r="A16" s="18"/>
      <c r="B16" s="65">
        <v>20.25</v>
      </c>
      <c r="C16" s="65">
        <v>0</v>
      </c>
      <c r="D16" s="62" t="s">
        <v>127</v>
      </c>
      <c r="E16" s="62">
        <v>1</v>
      </c>
      <c r="F16" s="66">
        <f t="shared" ref="F16:F24" si="2">B16-C16</f>
        <v>20.25</v>
      </c>
      <c r="G16" s="67">
        <v>2.56</v>
      </c>
      <c r="H16" s="67">
        <v>51.2</v>
      </c>
      <c r="I16" s="68">
        <v>0</v>
      </c>
      <c r="J16" s="69">
        <v>51.35</v>
      </c>
      <c r="K16" s="70">
        <f>ROUND((H16-I16)/J16*100,1)</f>
        <v>99.7</v>
      </c>
      <c r="L16" s="71">
        <f>SUM(K16:K18)/3</f>
        <v>103.233333333333</v>
      </c>
    </row>
    <row r="17" ht="13.8" customHeight="1" spans="1:12">
      <c r="A17" s="18"/>
      <c r="B17" s="65">
        <v>20.46</v>
      </c>
      <c r="C17" s="65">
        <v>0.12</v>
      </c>
      <c r="D17" s="18"/>
      <c r="E17" s="62">
        <v>2</v>
      </c>
      <c r="F17" s="66">
        <f t="shared" si="2"/>
        <v>20.34</v>
      </c>
      <c r="G17" s="67">
        <v>2.61</v>
      </c>
      <c r="H17" s="67">
        <v>52.2</v>
      </c>
      <c r="I17" s="68">
        <v>0</v>
      </c>
      <c r="J17" s="18"/>
      <c r="K17" s="70">
        <f>ROUND((H17-I17)/J16*100,1)</f>
        <v>101.7</v>
      </c>
      <c r="L17" s="18"/>
    </row>
    <row r="18" ht="14.55" customHeight="1" spans="1:12">
      <c r="A18" s="18"/>
      <c r="B18" s="65">
        <v>20.19</v>
      </c>
      <c r="C18" s="65">
        <v>0</v>
      </c>
      <c r="D18" s="19"/>
      <c r="E18" s="62">
        <v>3</v>
      </c>
      <c r="F18" s="66">
        <f t="shared" si="2"/>
        <v>20.19</v>
      </c>
      <c r="G18" s="67">
        <v>2.78</v>
      </c>
      <c r="H18" s="67">
        <v>55.6</v>
      </c>
      <c r="I18" s="68">
        <v>0</v>
      </c>
      <c r="J18" s="19"/>
      <c r="K18" s="70">
        <f>ROUND((H18-I18)/J16*100,1)</f>
        <v>108.3</v>
      </c>
      <c r="L18" s="19"/>
    </row>
    <row r="19" ht="13.8" customHeight="1" spans="1:12">
      <c r="A19" s="18"/>
      <c r="B19" s="65">
        <v>20.02</v>
      </c>
      <c r="C19" s="65">
        <v>0</v>
      </c>
      <c r="D19" s="72" t="s">
        <v>128</v>
      </c>
      <c r="E19" s="62">
        <v>1</v>
      </c>
      <c r="F19" s="66">
        <f t="shared" si="2"/>
        <v>20.02</v>
      </c>
      <c r="G19" s="67">
        <v>26.3</v>
      </c>
      <c r="H19" s="67">
        <v>526</v>
      </c>
      <c r="I19" s="68">
        <v>0</v>
      </c>
      <c r="J19" s="73">
        <v>513.5</v>
      </c>
      <c r="K19" s="70">
        <f>ROUND((H19-I19)/J19*100,1)</f>
        <v>102.4</v>
      </c>
      <c r="L19" s="71">
        <f>SUM(K19:K21)/3</f>
        <v>102.766666666667</v>
      </c>
    </row>
    <row r="20" ht="13.8" customHeight="1" spans="1:12">
      <c r="A20" s="18"/>
      <c r="B20" s="65">
        <v>20.34</v>
      </c>
      <c r="C20" s="65">
        <v>0</v>
      </c>
      <c r="D20" s="18"/>
      <c r="E20" s="62">
        <v>2</v>
      </c>
      <c r="F20" s="66">
        <f t="shared" si="2"/>
        <v>20.34</v>
      </c>
      <c r="G20" s="67">
        <v>26.93</v>
      </c>
      <c r="H20" s="67">
        <v>538.6</v>
      </c>
      <c r="I20" s="68">
        <v>0</v>
      </c>
      <c r="J20" s="74"/>
      <c r="K20" s="70">
        <f>ROUND((H20-I20)/J19*100,1)</f>
        <v>104.9</v>
      </c>
      <c r="L20" s="18"/>
    </row>
    <row r="21" ht="14.55" customHeight="1" spans="1:12">
      <c r="A21" s="18"/>
      <c r="B21" s="65">
        <v>20.17</v>
      </c>
      <c r="C21" s="65">
        <v>0</v>
      </c>
      <c r="D21" s="19"/>
      <c r="E21" s="62">
        <v>3</v>
      </c>
      <c r="F21" s="66">
        <f t="shared" si="2"/>
        <v>20.17</v>
      </c>
      <c r="G21" s="67">
        <v>25.94</v>
      </c>
      <c r="H21" s="67">
        <v>518.8</v>
      </c>
      <c r="I21" s="68">
        <v>0</v>
      </c>
      <c r="J21" s="75"/>
      <c r="K21" s="70">
        <f>ROUND((H21-I21)/J19*100,1)</f>
        <v>101</v>
      </c>
      <c r="L21" s="19"/>
    </row>
    <row r="22" ht="13.8" customHeight="1" spans="1:12">
      <c r="A22" s="18"/>
      <c r="B22" s="65">
        <v>20.22</v>
      </c>
      <c r="C22" s="65">
        <v>0.03</v>
      </c>
      <c r="D22" s="72" t="s">
        <v>129</v>
      </c>
      <c r="E22" s="62">
        <v>1</v>
      </c>
      <c r="F22" s="66">
        <f t="shared" si="2"/>
        <v>20.19</v>
      </c>
      <c r="G22" s="67">
        <v>40.13</v>
      </c>
      <c r="H22" s="67">
        <v>802.6</v>
      </c>
      <c r="I22" s="68">
        <v>0</v>
      </c>
      <c r="J22" s="73">
        <v>770.25</v>
      </c>
      <c r="K22" s="70">
        <f>ROUND((H22-I22)/J22*100,1)</f>
        <v>104.2</v>
      </c>
      <c r="L22" s="71">
        <f>SUM(K22:K24)/3</f>
        <v>102.966666666667</v>
      </c>
    </row>
    <row r="23" ht="13.8" customHeight="1" spans="1:12">
      <c r="A23" s="18"/>
      <c r="B23" s="65">
        <v>20.3</v>
      </c>
      <c r="C23" s="65">
        <v>0.02</v>
      </c>
      <c r="D23" s="18"/>
      <c r="E23" s="62">
        <v>2</v>
      </c>
      <c r="F23" s="66">
        <f t="shared" si="2"/>
        <v>20.28</v>
      </c>
      <c r="G23" s="67">
        <v>39.26</v>
      </c>
      <c r="H23" s="67">
        <v>785.2</v>
      </c>
      <c r="I23" s="68">
        <v>0</v>
      </c>
      <c r="J23" s="74"/>
      <c r="K23" s="70">
        <f>ROUND((H23-I23)/J22*100,1)</f>
        <v>101.9</v>
      </c>
      <c r="L23" s="18"/>
    </row>
    <row r="24" ht="14.55" customHeight="1" spans="1:12">
      <c r="A24" s="18"/>
      <c r="B24" s="65">
        <v>20.02</v>
      </c>
      <c r="C24" s="65">
        <v>0</v>
      </c>
      <c r="D24" s="19"/>
      <c r="E24" s="62">
        <v>3</v>
      </c>
      <c r="F24" s="66">
        <f t="shared" si="2"/>
        <v>20.02</v>
      </c>
      <c r="G24" s="67">
        <v>39.6</v>
      </c>
      <c r="H24" s="67">
        <v>792</v>
      </c>
      <c r="I24" s="68">
        <v>0</v>
      </c>
      <c r="J24" s="75"/>
      <c r="K24" s="70">
        <f>ROUND((H24-I24)/J22*100,1)</f>
        <v>102.8</v>
      </c>
      <c r="L24" s="19"/>
    </row>
    <row r="25" ht="17" customHeight="1" spans="1:12">
      <c r="A25" s="18"/>
      <c r="B25" s="46"/>
      <c r="C25" s="27"/>
      <c r="D25" s="61" t="s">
        <v>130</v>
      </c>
      <c r="E25" s="12"/>
      <c r="F25" s="13"/>
      <c r="G25" s="76">
        <f>SUM(K16:K24)/9</f>
        <v>102.988888888889</v>
      </c>
      <c r="H25" s="12"/>
      <c r="I25" s="12"/>
      <c r="J25" s="12"/>
      <c r="K25" s="12"/>
      <c r="L25" s="13"/>
    </row>
    <row r="26" ht="17" customHeight="1" spans="1:12">
      <c r="A26" s="18"/>
      <c r="B26" s="43"/>
      <c r="C26" s="44"/>
      <c r="D26" s="62" t="s">
        <v>131</v>
      </c>
      <c r="E26" s="12"/>
      <c r="F26" s="13"/>
      <c r="G26" s="77">
        <f>IFERROR(STDEV(K16:K24)/AVERAGE(K16:K24)*100,"")</f>
        <v>2.45949285591224</v>
      </c>
      <c r="H26" s="12"/>
      <c r="I26" s="12"/>
      <c r="J26" s="12"/>
      <c r="K26" s="12"/>
      <c r="L26" s="13"/>
    </row>
    <row r="27" ht="17" customHeight="1" spans="1:12">
      <c r="A27" s="18"/>
      <c r="B27" s="43"/>
      <c r="C27" s="44"/>
      <c r="D27" s="78" t="s">
        <v>132</v>
      </c>
      <c r="E27" s="13"/>
      <c r="F27" s="79">
        <f>AVERAGEA(K16:K24)-TINV(0.05,8)*STDEVA(K16:K24)/SQRT(9)</f>
        <v>101.041849375799</v>
      </c>
      <c r="G27" s="12"/>
      <c r="H27" s="13"/>
      <c r="I27" s="78" t="s">
        <v>133</v>
      </c>
      <c r="J27" s="13"/>
      <c r="K27" s="79">
        <f>AVERAGEA(K16:K24)+TINV(0.05,9-1)*STDEVA(K16:K24)/SQRT(9)</f>
        <v>104.935928401979</v>
      </c>
      <c r="L27" s="13"/>
    </row>
    <row r="28" ht="17" customHeight="1" spans="1:12">
      <c r="A28" s="19"/>
      <c r="B28" s="33"/>
      <c r="C28" s="34"/>
      <c r="D28" s="61" t="s">
        <v>39</v>
      </c>
      <c r="E28" s="12"/>
      <c r="F28" s="13"/>
      <c r="G28" s="39"/>
      <c r="H28" s="12"/>
      <c r="I28" s="12"/>
      <c r="J28" s="12"/>
      <c r="K28" s="12"/>
      <c r="L28" s="13"/>
    </row>
    <row r="29" ht="25.1" customHeight="1" spans="1:12">
      <c r="A29" s="25" t="s">
        <v>104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3"/>
    </row>
    <row r="30" customHeight="1" spans="1:12">
      <c r="A30" s="26" t="s">
        <v>28</v>
      </c>
      <c r="B30" s="27"/>
      <c r="C30" s="28" t="s">
        <v>89</v>
      </c>
      <c r="D30" s="28" t="s">
        <v>101</v>
      </c>
      <c r="E30" s="29" t="s">
        <v>69</v>
      </c>
      <c r="F30" s="30" t="s">
        <v>105</v>
      </c>
      <c r="G30" s="26" t="s">
        <v>31</v>
      </c>
      <c r="H30" s="26" t="s">
        <v>91</v>
      </c>
      <c r="I30" s="31" t="s">
        <v>106</v>
      </c>
      <c r="J30" s="26" t="s">
        <v>107</v>
      </c>
      <c r="K30" s="32"/>
      <c r="L30" s="27"/>
    </row>
    <row r="31" ht="13.9" customHeight="1" spans="1:12">
      <c r="A31" s="33"/>
      <c r="B31" s="34"/>
      <c r="C31" s="19"/>
      <c r="D31" s="19"/>
      <c r="E31" s="19"/>
      <c r="F31" s="30" t="s">
        <v>108</v>
      </c>
      <c r="G31" s="19"/>
      <c r="H31" s="19"/>
      <c r="I31" s="19"/>
      <c r="J31" s="33"/>
      <c r="K31" s="35"/>
      <c r="L31" s="34"/>
    </row>
    <row r="32" ht="13.8" customHeight="1" spans="1:12">
      <c r="A32" s="36" t="s">
        <v>13</v>
      </c>
      <c r="B32" s="27"/>
      <c r="C32" s="37"/>
      <c r="D32" s="37"/>
      <c r="E32" s="29">
        <v>1</v>
      </c>
      <c r="F32" s="38">
        <f>C32-D32</f>
        <v>0</v>
      </c>
      <c r="G32" s="39">
        <v>0</v>
      </c>
      <c r="H32" s="40">
        <v>0</v>
      </c>
      <c r="I32" s="41" t="e">
        <f>ROUND(H32*20/F32,1)</f>
        <v>#DIV/0!</v>
      </c>
      <c r="J32" s="42" t="e">
        <f>SUM(I32:I34)/3</f>
        <v>#DIV/0!</v>
      </c>
      <c r="K32" s="32"/>
      <c r="L32" s="27"/>
    </row>
    <row r="33" ht="13.8" customHeight="1" spans="1:12">
      <c r="A33" s="43"/>
      <c r="B33" s="44"/>
      <c r="C33" s="37"/>
      <c r="D33" s="37"/>
      <c r="E33" s="29">
        <v>2</v>
      </c>
      <c r="F33" s="38">
        <f>C33-D33</f>
        <v>0</v>
      </c>
      <c r="G33" s="39">
        <v>0</v>
      </c>
      <c r="H33" s="40">
        <v>0</v>
      </c>
      <c r="I33" s="41" t="e">
        <f>ROUND(H33*20/F33,1)</f>
        <v>#DIV/0!</v>
      </c>
      <c r="J33" s="43"/>
      <c r="K33" s="1"/>
      <c r="L33" s="44"/>
    </row>
    <row r="34" ht="13.8" customHeight="1" spans="1:12">
      <c r="A34" s="33"/>
      <c r="B34" s="34"/>
      <c r="C34" s="37"/>
      <c r="D34" s="37"/>
      <c r="E34" s="29">
        <v>3</v>
      </c>
      <c r="F34" s="38">
        <f>C34-D34</f>
        <v>0</v>
      </c>
      <c r="G34" s="39">
        <v>0</v>
      </c>
      <c r="H34" s="40">
        <v>0</v>
      </c>
      <c r="I34" s="41" t="e">
        <f>ROUND(H34*20/F34,1)</f>
        <v>#DIV/0!</v>
      </c>
      <c r="J34" s="33"/>
      <c r="K34" s="35"/>
      <c r="L34" s="34"/>
    </row>
    <row r="35" customHeight="1" spans="1:12">
      <c r="A35" s="25" t="s">
        <v>109</v>
      </c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27"/>
    </row>
    <row r="36" customHeight="1" spans="1:12">
      <c r="A36" s="33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4"/>
    </row>
    <row r="37" ht="25" customHeight="1" spans="1:12">
      <c r="A37" s="45">
        <v>46162</v>
      </c>
      <c r="B37" s="25"/>
      <c r="C37" s="25"/>
      <c r="D37" s="25"/>
      <c r="E37" s="46"/>
      <c r="F37" s="47" t="s">
        <v>110</v>
      </c>
      <c r="G37" s="47" t="s">
        <v>111</v>
      </c>
      <c r="H37" s="47" t="s">
        <v>112</v>
      </c>
      <c r="I37" s="47" t="s">
        <v>113</v>
      </c>
      <c r="J37" s="47" t="s">
        <v>114</v>
      </c>
      <c r="K37" s="47" t="s">
        <v>115</v>
      </c>
      <c r="L37" s="13"/>
    </row>
    <row r="38" ht="25" customHeight="1" spans="1:12">
      <c r="A38" s="45"/>
      <c r="B38" s="48"/>
      <c r="C38" s="49"/>
      <c r="D38" s="48"/>
      <c r="E38" s="50"/>
      <c r="F38" s="51"/>
      <c r="G38" s="51"/>
      <c r="H38" s="52"/>
      <c r="I38" s="51"/>
      <c r="J38" s="51"/>
      <c r="K38" s="51"/>
      <c r="L38" s="13"/>
    </row>
    <row r="39" ht="25" customHeight="1" spans="1:12">
      <c r="A39" s="53" t="s">
        <v>43</v>
      </c>
      <c r="B39" s="54" t="s">
        <v>44</v>
      </c>
      <c r="C39" s="55" t="s">
        <v>45</v>
      </c>
      <c r="D39" s="54" t="s">
        <v>46</v>
      </c>
      <c r="E39" s="54" t="s">
        <v>47</v>
      </c>
      <c r="F39" s="50" t="s">
        <v>48</v>
      </c>
      <c r="G39" s="50" t="s">
        <v>49</v>
      </c>
      <c r="H39" s="48" t="s">
        <v>50</v>
      </c>
      <c r="I39" s="50" t="s">
        <v>51</v>
      </c>
      <c r="J39" s="50" t="s">
        <v>52</v>
      </c>
      <c r="K39" s="50" t="s">
        <v>53</v>
      </c>
      <c r="L39" s="13"/>
    </row>
    <row r="40" ht="20" customHeight="1" spans="1:12">
      <c r="A40" s="56" t="s">
        <v>13</v>
      </c>
      <c r="B40" s="57"/>
      <c r="C40" s="58"/>
      <c r="D40" s="59"/>
      <c r="E40" s="59"/>
      <c r="F40" s="57"/>
      <c r="G40" s="57"/>
      <c r="H40" s="57"/>
      <c r="I40" s="57"/>
      <c r="J40" s="57"/>
      <c r="K40" s="57"/>
      <c r="L40" s="13"/>
    </row>
    <row r="41" ht="25.1" customHeight="1" spans="1:12">
      <c r="A41" s="60" t="s">
        <v>116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3"/>
    </row>
    <row r="42" customHeight="1" spans="1:12">
      <c r="A42" s="56" t="s">
        <v>13</v>
      </c>
      <c r="B42" s="28" t="s">
        <v>89</v>
      </c>
      <c r="C42" s="28" t="s">
        <v>101</v>
      </c>
      <c r="D42" s="61" t="s">
        <v>117</v>
      </c>
      <c r="E42" s="62" t="s">
        <v>69</v>
      </c>
      <c r="F42" s="63" t="s">
        <v>118</v>
      </c>
      <c r="G42" s="63" t="s">
        <v>119</v>
      </c>
      <c r="H42" s="64" t="s">
        <v>120</v>
      </c>
      <c r="I42" s="63" t="s">
        <v>121</v>
      </c>
      <c r="J42" s="63" t="s">
        <v>122</v>
      </c>
      <c r="K42" s="63" t="s">
        <v>123</v>
      </c>
      <c r="L42" s="63" t="s">
        <v>124</v>
      </c>
    </row>
    <row r="43" ht="13.9" customHeight="1" spans="1:12">
      <c r="A43" s="18"/>
      <c r="B43" s="19"/>
      <c r="C43" s="19"/>
      <c r="D43" s="61" t="s">
        <v>43</v>
      </c>
      <c r="E43" s="19"/>
      <c r="F43" s="19"/>
      <c r="G43" s="19"/>
      <c r="H43" s="64" t="s">
        <v>125</v>
      </c>
      <c r="I43" s="63" t="s">
        <v>125</v>
      </c>
      <c r="J43" s="19"/>
      <c r="K43" s="63" t="s">
        <v>126</v>
      </c>
      <c r="L43" s="19"/>
    </row>
    <row r="44" ht="13.8" customHeight="1" spans="1:12">
      <c r="A44" s="18"/>
      <c r="B44" s="65"/>
      <c r="C44" s="65"/>
      <c r="D44" s="62" t="s">
        <v>127</v>
      </c>
      <c r="E44" s="62">
        <v>1</v>
      </c>
      <c r="F44" s="66">
        <f>B44-C44</f>
        <v>0</v>
      </c>
      <c r="G44" s="67"/>
      <c r="H44" s="67"/>
      <c r="I44" s="68"/>
      <c r="J44" s="69"/>
      <c r="K44" s="70" t="e">
        <f>ROUND((H44-I44)/J44*100,1)</f>
        <v>#DIV/0!</v>
      </c>
      <c r="L44" s="71" t="e">
        <f>SUM(K44:K46)/3</f>
        <v>#DIV/0!</v>
      </c>
    </row>
    <row r="45" ht="13.8" customHeight="1" spans="1:12">
      <c r="A45" s="18"/>
      <c r="B45" s="65"/>
      <c r="C45" s="65"/>
      <c r="D45" s="18"/>
      <c r="E45" s="62">
        <v>2</v>
      </c>
      <c r="F45" s="66">
        <f>B45-C45</f>
        <v>0</v>
      </c>
      <c r="G45" s="67"/>
      <c r="H45" s="67"/>
      <c r="I45" s="68"/>
      <c r="J45" s="18"/>
      <c r="K45" s="70" t="e">
        <f>ROUND((H45-I45)/J44*100,1)</f>
        <v>#DIV/0!</v>
      </c>
      <c r="L45" s="18"/>
    </row>
    <row r="46" ht="14.55" customHeight="1" spans="1:12">
      <c r="A46" s="18"/>
      <c r="B46" s="65"/>
      <c r="C46" s="65"/>
      <c r="D46" s="19"/>
      <c r="E46" s="62">
        <v>3</v>
      </c>
      <c r="F46" s="66">
        <f>B46-C46</f>
        <v>0</v>
      </c>
      <c r="G46" s="67"/>
      <c r="H46" s="67"/>
      <c r="I46" s="68"/>
      <c r="J46" s="19"/>
      <c r="K46" s="70" t="e">
        <f>ROUND((H46-I46)/J44*100,1)</f>
        <v>#DIV/0!</v>
      </c>
      <c r="L46" s="19"/>
    </row>
    <row r="47" ht="13.8" customHeight="1" spans="1:12">
      <c r="A47" s="18"/>
      <c r="B47" s="65"/>
      <c r="C47" s="65"/>
      <c r="D47" s="72" t="s">
        <v>128</v>
      </c>
      <c r="E47" s="62">
        <v>1</v>
      </c>
      <c r="F47" s="66">
        <f>B47-C47</f>
        <v>0</v>
      </c>
      <c r="G47" s="67"/>
      <c r="H47" s="67"/>
      <c r="I47" s="68"/>
      <c r="J47" s="73"/>
      <c r="K47" s="70" t="e">
        <f>ROUND((H47-I47)/J47*100,1)</f>
        <v>#DIV/0!</v>
      </c>
      <c r="L47" s="71" t="e">
        <f>SUM(K47:K49)/3</f>
        <v>#DIV/0!</v>
      </c>
    </row>
    <row r="48" ht="13.8" customHeight="1" spans="1:12">
      <c r="A48" s="18"/>
      <c r="B48" s="65"/>
      <c r="C48" s="65"/>
      <c r="D48" s="18"/>
      <c r="E48" s="62">
        <v>2</v>
      </c>
      <c r="F48" s="66">
        <f>B48-C48</f>
        <v>0</v>
      </c>
      <c r="G48" s="67"/>
      <c r="H48" s="67"/>
      <c r="I48" s="68"/>
      <c r="J48" s="74"/>
      <c r="K48" s="70" t="e">
        <f>ROUND((H48-I48)/J47*100,1)</f>
        <v>#DIV/0!</v>
      </c>
      <c r="L48" s="18"/>
    </row>
    <row r="49" ht="14.55" customHeight="1" spans="1:12">
      <c r="A49" s="18"/>
      <c r="B49" s="65"/>
      <c r="C49" s="65"/>
      <c r="D49" s="19"/>
      <c r="E49" s="62">
        <v>3</v>
      </c>
      <c r="F49" s="66">
        <f>B49-C49</f>
        <v>0</v>
      </c>
      <c r="G49" s="67"/>
      <c r="H49" s="67"/>
      <c r="I49" s="68"/>
      <c r="J49" s="75"/>
      <c r="K49" s="70" t="e">
        <f>ROUND((H49-I49)/J47*100,1)</f>
        <v>#DIV/0!</v>
      </c>
      <c r="L49" s="19"/>
    </row>
    <row r="50" ht="13.8" customHeight="1" spans="1:12">
      <c r="A50" s="18"/>
      <c r="B50" s="65"/>
      <c r="C50" s="65"/>
      <c r="D50" s="72" t="s">
        <v>129</v>
      </c>
      <c r="E50" s="62">
        <v>1</v>
      </c>
      <c r="F50" s="66">
        <f>B50-C50</f>
        <v>0</v>
      </c>
      <c r="G50" s="67"/>
      <c r="H50" s="67"/>
      <c r="I50" s="68"/>
      <c r="J50" s="73"/>
      <c r="K50" s="70" t="e">
        <f>ROUND((H50-I50)/J50*100,1)</f>
        <v>#DIV/0!</v>
      </c>
      <c r="L50" s="71" t="e">
        <f>SUM(K50:K52)/3</f>
        <v>#DIV/0!</v>
      </c>
    </row>
    <row r="51" ht="13.8" customHeight="1" spans="1:12">
      <c r="A51" s="18"/>
      <c r="B51" s="65"/>
      <c r="C51" s="65"/>
      <c r="D51" s="18"/>
      <c r="E51" s="62">
        <v>2</v>
      </c>
      <c r="F51" s="66">
        <f>B51-C51</f>
        <v>0</v>
      </c>
      <c r="G51" s="67"/>
      <c r="H51" s="67"/>
      <c r="I51" s="68"/>
      <c r="J51" s="74"/>
      <c r="K51" s="70" t="e">
        <f>ROUND((H51-I51)/J50*100,1)</f>
        <v>#DIV/0!</v>
      </c>
      <c r="L51" s="18"/>
    </row>
    <row r="52" ht="14.55" customHeight="1" spans="1:12">
      <c r="A52" s="18"/>
      <c r="B52" s="65"/>
      <c r="C52" s="65"/>
      <c r="D52" s="19"/>
      <c r="E52" s="62">
        <v>3</v>
      </c>
      <c r="F52" s="66">
        <f>B52-C52</f>
        <v>0</v>
      </c>
      <c r="G52" s="67"/>
      <c r="H52" s="67"/>
      <c r="I52" s="68"/>
      <c r="J52" s="75"/>
      <c r="K52" s="70" t="e">
        <f>ROUND((H52-I52)/J50*100,1)</f>
        <v>#DIV/0!</v>
      </c>
      <c r="L52" s="19"/>
    </row>
    <row r="53" ht="17" customHeight="1" spans="1:12">
      <c r="A53" s="18"/>
      <c r="B53" s="46"/>
      <c r="C53" s="27"/>
      <c r="D53" s="61" t="s">
        <v>130</v>
      </c>
      <c r="E53" s="12"/>
      <c r="F53" s="13"/>
      <c r="G53" s="76" t="e">
        <f>SUM(K44:K52)/9</f>
        <v>#DIV/0!</v>
      </c>
      <c r="H53" s="12"/>
      <c r="I53" s="12"/>
      <c r="J53" s="12"/>
      <c r="K53" s="12"/>
      <c r="L53" s="13"/>
    </row>
    <row r="54" ht="17" customHeight="1" spans="1:12">
      <c r="A54" s="18"/>
      <c r="B54" s="43"/>
      <c r="C54" s="44"/>
      <c r="D54" s="62" t="s">
        <v>131</v>
      </c>
      <c r="E54" s="12"/>
      <c r="F54" s="13"/>
      <c r="G54" s="77" t="str">
        <f>IFERROR(STDEV(K44:K52)/AVERAGE(K44:K52)*100,"")</f>
        <v/>
      </c>
      <c r="H54" s="12"/>
      <c r="I54" s="12"/>
      <c r="J54" s="12"/>
      <c r="K54" s="12"/>
      <c r="L54" s="13"/>
    </row>
    <row r="55" ht="17" customHeight="1" spans="1:12">
      <c r="A55" s="18"/>
      <c r="B55" s="43"/>
      <c r="C55" s="44"/>
      <c r="D55" s="78" t="s">
        <v>132</v>
      </c>
      <c r="E55" s="13"/>
      <c r="F55" s="79" t="e">
        <f>AVERAGEA(K44:K52)-TINV(0.05,8)*STDEVA(K44:K52)/SQRT(9)</f>
        <v>#DIV/0!</v>
      </c>
      <c r="G55" s="12"/>
      <c r="H55" s="13"/>
      <c r="I55" s="78" t="s">
        <v>133</v>
      </c>
      <c r="J55" s="13"/>
      <c r="K55" s="79" t="e">
        <f>AVERAGEA(K44:K52)+TINV(0.05,9-1)*STDEVA(K44:K52)/SQRT(9)</f>
        <v>#DIV/0!</v>
      </c>
      <c r="L55" s="13"/>
    </row>
    <row r="56" ht="17" customHeight="1" spans="1:12">
      <c r="A56" s="19"/>
      <c r="B56" s="33"/>
      <c r="C56" s="34"/>
      <c r="D56" s="61" t="s">
        <v>39</v>
      </c>
      <c r="E56" s="12"/>
      <c r="F56" s="13"/>
      <c r="G56" s="39"/>
      <c r="H56" s="12"/>
      <c r="I56" s="12"/>
      <c r="J56" s="12"/>
      <c r="K56" s="12"/>
      <c r="L56" s="13"/>
    </row>
  </sheetData>
  <mergeCells count="90">
    <mergeCell ref="A1:L1"/>
    <mergeCell ref="K9:L9"/>
    <mergeCell ref="K10:L10"/>
    <mergeCell ref="K11:L11"/>
    <mergeCell ref="K12:L12"/>
    <mergeCell ref="A13:L13"/>
    <mergeCell ref="D25:F25"/>
    <mergeCell ref="G25:L25"/>
    <mergeCell ref="D26:F26"/>
    <mergeCell ref="G26:L26"/>
    <mergeCell ref="D27:E27"/>
    <mergeCell ref="F27:H27"/>
    <mergeCell ref="I27:J27"/>
    <mergeCell ref="K27:L27"/>
    <mergeCell ref="D28:F28"/>
    <mergeCell ref="G28:L28"/>
    <mergeCell ref="A29:L29"/>
    <mergeCell ref="K37:L37"/>
    <mergeCell ref="K38:L38"/>
    <mergeCell ref="K39:L39"/>
    <mergeCell ref="K40:L40"/>
    <mergeCell ref="A41:L41"/>
    <mergeCell ref="D53:F53"/>
    <mergeCell ref="G53:L53"/>
    <mergeCell ref="D54:F54"/>
    <mergeCell ref="G54:L54"/>
    <mergeCell ref="D55:E55"/>
    <mergeCell ref="F55:H55"/>
    <mergeCell ref="I55:J55"/>
    <mergeCell ref="K55:L55"/>
    <mergeCell ref="D56:F56"/>
    <mergeCell ref="G56:L56"/>
    <mergeCell ref="A14:A28"/>
    <mergeCell ref="A42:A56"/>
    <mergeCell ref="B14:B15"/>
    <mergeCell ref="B42:B43"/>
    <mergeCell ref="C2:C3"/>
    <mergeCell ref="C14:C15"/>
    <mergeCell ref="C30:C31"/>
    <mergeCell ref="C42:C43"/>
    <mergeCell ref="D2:D3"/>
    <mergeCell ref="D16:D18"/>
    <mergeCell ref="D19:D21"/>
    <mergeCell ref="D22:D24"/>
    <mergeCell ref="D30:D31"/>
    <mergeCell ref="D44:D46"/>
    <mergeCell ref="D47:D49"/>
    <mergeCell ref="D50:D52"/>
    <mergeCell ref="E2:E3"/>
    <mergeCell ref="E14:E15"/>
    <mergeCell ref="E30:E31"/>
    <mergeCell ref="E42:E43"/>
    <mergeCell ref="F14:F15"/>
    <mergeCell ref="F42:F43"/>
    <mergeCell ref="G2:G3"/>
    <mergeCell ref="G14:G15"/>
    <mergeCell ref="G30:G31"/>
    <mergeCell ref="G42:G43"/>
    <mergeCell ref="H2:H3"/>
    <mergeCell ref="H30:H31"/>
    <mergeCell ref="I2:I3"/>
    <mergeCell ref="I30:I31"/>
    <mergeCell ref="J14:J15"/>
    <mergeCell ref="J16:J18"/>
    <mergeCell ref="J19:J21"/>
    <mergeCell ref="J22:J24"/>
    <mergeCell ref="J42:J43"/>
    <mergeCell ref="J44:J46"/>
    <mergeCell ref="J47:J49"/>
    <mergeCell ref="J50:J52"/>
    <mergeCell ref="L14:L15"/>
    <mergeCell ref="L16:L18"/>
    <mergeCell ref="L19:L21"/>
    <mergeCell ref="L22:L24"/>
    <mergeCell ref="L42:L43"/>
    <mergeCell ref="L44:L46"/>
    <mergeCell ref="L47:L49"/>
    <mergeCell ref="L50:L52"/>
    <mergeCell ref="A2:B3"/>
    <mergeCell ref="J2:L3"/>
    <mergeCell ref="A4:B6"/>
    <mergeCell ref="J4:L6"/>
    <mergeCell ref="A7:L8"/>
    <mergeCell ref="B25:C28"/>
    <mergeCell ref="A30:B31"/>
    <mergeCell ref="A32:B34"/>
    <mergeCell ref="B53:C56"/>
    <mergeCell ref="J30:L31"/>
    <mergeCell ref="J32:L34"/>
    <mergeCell ref="A35:L36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G18"/>
  <sheetViews>
    <sheetView tabSelected="1" workbookViewId="0">
      <selection activeCell="G22" sqref="G22"/>
    </sheetView>
  </sheetViews>
  <sheetFormatPr defaultColWidth="9.02654867256637" defaultRowHeight="13.5" outlineLevelCol="6"/>
  <cols>
    <col min="1" max="7" width="13.0884955752212" customWidth="1"/>
  </cols>
  <sheetData>
    <row r="1" ht="23.25" customHeight="1" spans="1:7">
      <c r="A1" s="10"/>
      <c r="B1" s="11" t="s">
        <v>134</v>
      </c>
      <c r="C1" s="12"/>
      <c r="D1" s="12"/>
      <c r="E1" s="12"/>
      <c r="F1" s="12"/>
      <c r="G1" s="13"/>
    </row>
    <row r="2" ht="19" customHeight="1" spans="1:7">
      <c r="A2" s="14" t="s">
        <v>11</v>
      </c>
      <c r="B2" s="15"/>
      <c r="C2" s="16" t="s">
        <v>135</v>
      </c>
      <c r="D2" s="17" t="s">
        <v>56</v>
      </c>
      <c r="E2" s="13"/>
      <c r="F2" s="17" t="s">
        <v>58</v>
      </c>
      <c r="G2" s="13"/>
    </row>
    <row r="3" customHeight="1" spans="1:7">
      <c r="A3" s="18"/>
      <c r="B3" s="19"/>
      <c r="C3" s="19"/>
      <c r="D3" s="20" t="s">
        <v>136</v>
      </c>
      <c r="E3" s="21" t="s">
        <v>137</v>
      </c>
      <c r="F3" s="20" t="s">
        <v>136</v>
      </c>
      <c r="G3" s="21" t="s">
        <v>137</v>
      </c>
    </row>
    <row r="4" spans="1:7">
      <c r="A4" s="18"/>
      <c r="B4" s="22">
        <v>0</v>
      </c>
      <c r="C4" s="23" t="s">
        <v>138</v>
      </c>
      <c r="D4" s="24">
        <v>24.04</v>
      </c>
      <c r="E4" s="21" t="s">
        <v>139</v>
      </c>
      <c r="F4" s="24">
        <v>24.06</v>
      </c>
      <c r="G4" s="21" t="s">
        <v>139</v>
      </c>
    </row>
    <row r="5" spans="1:7">
      <c r="A5" s="18"/>
      <c r="B5" s="22">
        <v>3.3</v>
      </c>
      <c r="C5" s="23" t="s">
        <v>140</v>
      </c>
      <c r="D5" s="24">
        <v>26.04</v>
      </c>
      <c r="E5" s="21">
        <f>ROUND(D5/D4,2)</f>
        <v>1.08</v>
      </c>
      <c r="F5" s="24">
        <v>25.44</v>
      </c>
      <c r="G5" s="21">
        <f>ROUND(F5/F4,2)</f>
        <v>1.06</v>
      </c>
    </row>
    <row r="6" spans="1:7">
      <c r="A6" s="18"/>
      <c r="B6" s="22">
        <v>6.4</v>
      </c>
      <c r="C6" s="23" t="s">
        <v>141</v>
      </c>
      <c r="D6" s="24">
        <v>25.82</v>
      </c>
      <c r="E6" s="21">
        <f>ROUND(D6/D4,2)</f>
        <v>1.07</v>
      </c>
      <c r="F6" s="24">
        <v>25.89</v>
      </c>
      <c r="G6" s="21">
        <f>ROUND(F6/F4,2)</f>
        <v>1.08</v>
      </c>
    </row>
    <row r="7" spans="1:7">
      <c r="A7" s="18"/>
      <c r="B7" s="22">
        <v>11.9</v>
      </c>
      <c r="C7" s="23" t="s">
        <v>142</v>
      </c>
      <c r="D7" s="24">
        <v>26.82</v>
      </c>
      <c r="E7" s="21">
        <f>ROUND(D7/D4,2)</f>
        <v>1.12</v>
      </c>
      <c r="F7" s="24">
        <v>26.73</v>
      </c>
      <c r="G7" s="21">
        <f>ROUND(F7/F4,2)</f>
        <v>1.11</v>
      </c>
    </row>
    <row r="8" spans="1:7">
      <c r="A8" s="18"/>
      <c r="B8" s="22">
        <v>14.4</v>
      </c>
      <c r="C8" s="23" t="s">
        <v>143</v>
      </c>
      <c r="D8" s="24">
        <v>22.75</v>
      </c>
      <c r="E8" s="21">
        <f>ROUND(D8/D4,2)</f>
        <v>0.95</v>
      </c>
      <c r="F8" s="24">
        <v>23.68</v>
      </c>
      <c r="G8" s="21">
        <f>ROUND(F8/F4,2)</f>
        <v>0.98</v>
      </c>
    </row>
    <row r="9" spans="1:7">
      <c r="A9" s="19"/>
      <c r="B9" s="22">
        <v>15.9</v>
      </c>
      <c r="C9" s="23" t="s">
        <v>144</v>
      </c>
      <c r="D9" s="24">
        <v>23.81</v>
      </c>
      <c r="E9" s="21">
        <f>ROUND(D9/D4,2)</f>
        <v>0.99</v>
      </c>
      <c r="F9" s="24">
        <v>25</v>
      </c>
      <c r="G9" s="21">
        <f>ROUND(F9/F4,2)</f>
        <v>1.04</v>
      </c>
    </row>
    <row r="10" ht="23.25" customHeight="1" spans="1:7">
      <c r="A10" s="10"/>
      <c r="B10" s="11" t="s">
        <v>134</v>
      </c>
      <c r="C10" s="12"/>
      <c r="D10" s="12"/>
      <c r="E10" s="12"/>
      <c r="F10" s="12"/>
      <c r="G10" s="13"/>
    </row>
    <row r="11" ht="19" customHeight="1" spans="1:7">
      <c r="A11" s="14" t="s">
        <v>13</v>
      </c>
      <c r="B11" s="15"/>
      <c r="C11" s="16" t="s">
        <v>135</v>
      </c>
      <c r="D11" s="17" t="s">
        <v>56</v>
      </c>
      <c r="E11" s="13"/>
      <c r="F11" s="17" t="s">
        <v>58</v>
      </c>
      <c r="G11" s="13"/>
    </row>
    <row r="12" customHeight="1" spans="1:7">
      <c r="A12" s="18"/>
      <c r="B12" s="19"/>
      <c r="C12" s="19"/>
      <c r="D12" s="20" t="s">
        <v>136</v>
      </c>
      <c r="E12" s="21" t="s">
        <v>137</v>
      </c>
      <c r="F12" s="20" t="s">
        <v>136</v>
      </c>
      <c r="G12" s="21" t="s">
        <v>137</v>
      </c>
    </row>
    <row r="13" spans="1:7">
      <c r="A13" s="18"/>
      <c r="B13" s="22">
        <v>0</v>
      </c>
      <c r="C13" s="23" t="s">
        <v>138</v>
      </c>
      <c r="D13" s="24">
        <v>24.04</v>
      </c>
      <c r="E13" s="21" t="s">
        <v>139</v>
      </c>
      <c r="F13" s="24">
        <v>24.06</v>
      </c>
      <c r="G13" s="21" t="s">
        <v>139</v>
      </c>
    </row>
    <row r="14" spans="1:7">
      <c r="A14" s="18"/>
      <c r="B14" s="22">
        <v>3.3</v>
      </c>
      <c r="C14" s="23" t="s">
        <v>140</v>
      </c>
      <c r="D14" s="24">
        <v>26.04</v>
      </c>
      <c r="E14" s="21">
        <f>ROUND(D14/D13,2)</f>
        <v>1.08</v>
      </c>
      <c r="F14" s="24">
        <v>25.44</v>
      </c>
      <c r="G14" s="21">
        <f>ROUND(F14/F13,2)</f>
        <v>1.06</v>
      </c>
    </row>
    <row r="15" spans="1:7">
      <c r="A15" s="18"/>
      <c r="B15" s="22">
        <v>6.4</v>
      </c>
      <c r="C15" s="23" t="s">
        <v>141</v>
      </c>
      <c r="D15" s="24">
        <v>25.82</v>
      </c>
      <c r="E15" s="21">
        <f>ROUND(D15/D13,2)</f>
        <v>1.07</v>
      </c>
      <c r="F15" s="24">
        <v>25.89</v>
      </c>
      <c r="G15" s="21">
        <f>ROUND(F15/F13,2)</f>
        <v>1.08</v>
      </c>
    </row>
    <row r="16" spans="1:7">
      <c r="A16" s="18"/>
      <c r="B16" s="22">
        <v>11.9</v>
      </c>
      <c r="C16" s="23" t="s">
        <v>142</v>
      </c>
      <c r="D16" s="24">
        <v>26.82</v>
      </c>
      <c r="E16" s="21">
        <f>ROUND(D16/D13,2)</f>
        <v>1.12</v>
      </c>
      <c r="F16" s="24">
        <v>26.73</v>
      </c>
      <c r="G16" s="21">
        <f>ROUND(F16/F13,2)</f>
        <v>1.11</v>
      </c>
    </row>
    <row r="17" spans="1:7">
      <c r="A17" s="18"/>
      <c r="B17" s="22">
        <v>14.4</v>
      </c>
      <c r="C17" s="23" t="s">
        <v>143</v>
      </c>
      <c r="D17" s="24">
        <v>22.75</v>
      </c>
      <c r="E17" s="21">
        <f>ROUND(D17/D13,2)</f>
        <v>0.95</v>
      </c>
      <c r="F17" s="24">
        <v>23.68</v>
      </c>
      <c r="G17" s="21">
        <f>ROUND(F17/F13,2)</f>
        <v>0.98</v>
      </c>
    </row>
    <row r="18" spans="1:7">
      <c r="A18" s="19"/>
      <c r="B18" s="22">
        <v>15.9</v>
      </c>
      <c r="C18" s="23" t="s">
        <v>144</v>
      </c>
      <c r="D18" s="24">
        <v>23.81</v>
      </c>
      <c r="E18" s="21">
        <f>ROUND(D18/D13,2)</f>
        <v>0.99</v>
      </c>
      <c r="F18" s="24">
        <v>25</v>
      </c>
      <c r="G18" s="21">
        <f>ROUND(F18/F13,2)</f>
        <v>1.04</v>
      </c>
    </row>
  </sheetData>
  <mergeCells count="12">
    <mergeCell ref="B1:G1"/>
    <mergeCell ref="D2:E2"/>
    <mergeCell ref="F2:G2"/>
    <mergeCell ref="B10:G10"/>
    <mergeCell ref="D11:E11"/>
    <mergeCell ref="F11:G11"/>
    <mergeCell ref="A2:A9"/>
    <mergeCell ref="A11:A18"/>
    <mergeCell ref="B2:B3"/>
    <mergeCell ref="B11:B12"/>
    <mergeCell ref="C2:C3"/>
    <mergeCell ref="C11:C12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C7"/>
  <sheetViews>
    <sheetView workbookViewId="0">
      <selection activeCell="D30" sqref="D30:D32"/>
    </sheetView>
  </sheetViews>
  <sheetFormatPr defaultColWidth="9.02654867256637" defaultRowHeight="13.5" outlineLevelRow="6" outlineLevelCol="2"/>
  <cols>
    <col min="1" max="1" width="19.716814159292" style="1" customWidth="1"/>
    <col min="2" max="2" width="29.6106194690265" style="1" customWidth="1"/>
    <col min="3" max="3" width="32.858407079646" style="1" customWidth="1"/>
  </cols>
  <sheetData>
    <row r="1" ht="26" customHeight="1" spans="1:3">
      <c r="A1" s="171" t="s">
        <v>29</v>
      </c>
      <c r="B1" s="172" t="s">
        <v>145</v>
      </c>
      <c r="C1" s="172" t="s">
        <v>146</v>
      </c>
    </row>
    <row r="2" ht="26" customHeight="1" spans="1:3">
      <c r="A2" s="171" t="s">
        <v>55</v>
      </c>
      <c r="B2" s="172"/>
      <c r="C2" s="172"/>
    </row>
    <row r="3" ht="26" customHeight="1" spans="1:3">
      <c r="A3" s="171" t="s">
        <v>57</v>
      </c>
      <c r="B3" s="172"/>
      <c r="C3" s="172"/>
    </row>
    <row r="4" ht="26" customHeight="1" spans="1:3">
      <c r="A4" s="171" t="s">
        <v>147</v>
      </c>
      <c r="B4" s="23"/>
      <c r="C4" s="23"/>
    </row>
    <row r="5" ht="26" customHeight="1" spans="1:3">
      <c r="A5" s="171" t="s">
        <v>148</v>
      </c>
      <c r="B5" s="23"/>
      <c r="C5" s="23"/>
    </row>
    <row r="6" ht="26" customHeight="1" spans="1:3">
      <c r="A6" s="171" t="s">
        <v>149</v>
      </c>
      <c r="B6" s="85" t="s">
        <v>150</v>
      </c>
      <c r="C6" s="85" t="s">
        <v>150</v>
      </c>
    </row>
    <row r="7" ht="26" customHeight="1" spans="1:3">
      <c r="A7" s="171" t="s">
        <v>151</v>
      </c>
      <c r="B7" s="85" t="s">
        <v>150</v>
      </c>
      <c r="C7" s="13"/>
    </row>
  </sheetData>
  <mergeCells count="1">
    <mergeCell ref="B7:C7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J10"/>
  <sheetViews>
    <sheetView topLeftCell="A3" workbookViewId="0">
      <selection activeCell="E1" sqref="E1:G10"/>
    </sheetView>
  </sheetViews>
  <sheetFormatPr defaultColWidth="9.02654867256637" defaultRowHeight="13.5"/>
  <cols>
    <col min="1" max="2" width="11.3805309734513" customWidth="1"/>
    <col min="3" max="3" width="43.1327433628319" customWidth="1"/>
    <col min="4" max="4" width="15.5752212389381" customWidth="1"/>
    <col min="5" max="5" width="16.9380530973451" customWidth="1"/>
    <col min="6" max="6" width="26.9557522123894" customWidth="1"/>
    <col min="7" max="7" width="21.1858407079646" customWidth="1"/>
    <col min="8" max="8" width="16.9380530973451" customWidth="1"/>
    <col min="9" max="9" width="26.9557522123894" customWidth="1"/>
    <col min="10" max="10" width="21.1858407079646" customWidth="1"/>
  </cols>
  <sheetData>
    <row r="1" ht="19" customHeight="1" spans="1:10">
      <c r="A1" s="2" t="s">
        <v>89</v>
      </c>
      <c r="B1" s="2" t="s">
        <v>101</v>
      </c>
      <c r="C1" s="3" t="s">
        <v>43</v>
      </c>
      <c r="D1" s="4" t="s">
        <v>90</v>
      </c>
      <c r="E1" s="5" t="s">
        <v>152</v>
      </c>
      <c r="F1" s="5" t="s">
        <v>153</v>
      </c>
      <c r="G1" s="5" t="s">
        <v>154</v>
      </c>
      <c r="H1" s="5" t="s">
        <v>155</v>
      </c>
      <c r="I1" s="5" t="s">
        <v>156</v>
      </c>
      <c r="J1" s="5" t="s">
        <v>157</v>
      </c>
    </row>
    <row r="2" ht="19" customHeight="1" spans="1:10">
      <c r="A2" s="6"/>
      <c r="B2" s="6"/>
      <c r="C2" s="7"/>
      <c r="D2" s="8">
        <f t="shared" ref="D2:D10" si="0">A2-B2</f>
        <v>0</v>
      </c>
      <c r="E2" s="7"/>
      <c r="F2" s="7"/>
      <c r="G2" s="9" t="e">
        <f t="shared" ref="G2:G10" si="1">ROUND(F2*20/D2,1)</f>
        <v>#DIV/0!</v>
      </c>
      <c r="H2" s="7"/>
      <c r="I2" s="7"/>
      <c r="J2" s="9" t="e">
        <f>ROUND(I2*20/G2,1)</f>
        <v>#DIV/0!</v>
      </c>
    </row>
    <row r="3" ht="19" customHeight="1" spans="1:10">
      <c r="A3" s="6"/>
      <c r="B3" s="6"/>
      <c r="C3" s="7"/>
      <c r="D3" s="8">
        <f t="shared" si="0"/>
        <v>0</v>
      </c>
      <c r="E3" s="7"/>
      <c r="F3" s="7"/>
      <c r="G3" s="9" t="e">
        <f t="shared" si="1"/>
        <v>#DIV/0!</v>
      </c>
      <c r="H3" s="7"/>
      <c r="I3" s="7"/>
      <c r="J3" s="9" t="e">
        <f>ROUND(I3*20/G3,1)</f>
        <v>#DIV/0!</v>
      </c>
    </row>
    <row r="4" ht="19" customHeight="1" spans="1:10">
      <c r="A4" s="6"/>
      <c r="B4" s="6"/>
      <c r="C4" s="7"/>
      <c r="D4" s="8">
        <f t="shared" si="0"/>
        <v>0</v>
      </c>
      <c r="E4" s="7"/>
      <c r="F4" s="7"/>
      <c r="G4" s="9" t="e">
        <f t="shared" si="1"/>
        <v>#DIV/0!</v>
      </c>
      <c r="H4" s="7"/>
      <c r="I4" s="7"/>
      <c r="J4" s="9" t="e">
        <f>ROUND(I4*20/G4,1)</f>
        <v>#DIV/0!</v>
      </c>
    </row>
    <row r="5" ht="19" customHeight="1" spans="1:10">
      <c r="A5" s="6"/>
      <c r="B5" s="6"/>
      <c r="C5" s="7"/>
      <c r="D5" s="8">
        <f t="shared" si="0"/>
        <v>0</v>
      </c>
      <c r="E5" s="7"/>
      <c r="F5" s="7"/>
      <c r="G5" s="9" t="e">
        <f t="shared" si="1"/>
        <v>#DIV/0!</v>
      </c>
      <c r="H5" s="7"/>
      <c r="I5" s="7"/>
      <c r="J5" s="9" t="e">
        <f>ROUND(I5*20/G5,1)</f>
        <v>#DIV/0!</v>
      </c>
    </row>
    <row r="6" ht="19" customHeight="1" spans="1:10">
      <c r="A6" s="6"/>
      <c r="B6" s="6"/>
      <c r="C6" s="7"/>
      <c r="D6" s="8">
        <f t="shared" si="0"/>
        <v>0</v>
      </c>
      <c r="E6" s="7"/>
      <c r="F6" s="7"/>
      <c r="G6" s="9" t="e">
        <f t="shared" si="1"/>
        <v>#DIV/0!</v>
      </c>
      <c r="H6" s="7"/>
      <c r="I6" s="7"/>
      <c r="J6" s="9" t="e">
        <f>ROUND(I6*20/G6,1)</f>
        <v>#DIV/0!</v>
      </c>
    </row>
    <row r="7" ht="19" customHeight="1" spans="1:10">
      <c r="A7" s="6"/>
      <c r="B7" s="6"/>
      <c r="C7" s="7"/>
      <c r="D7" s="8">
        <f t="shared" si="0"/>
        <v>0</v>
      </c>
      <c r="E7" s="7"/>
      <c r="F7" s="7"/>
      <c r="G7" s="9" t="e">
        <f t="shared" si="1"/>
        <v>#DIV/0!</v>
      </c>
      <c r="H7" s="7"/>
      <c r="I7" s="7"/>
      <c r="J7" s="9" t="e">
        <f>ROUND(I7*20/G7,1)</f>
        <v>#DIV/0!</v>
      </c>
    </row>
    <row r="8" ht="19" customHeight="1" spans="1:10">
      <c r="A8" s="6"/>
      <c r="B8" s="6"/>
      <c r="C8" s="7"/>
      <c r="D8" s="8">
        <f t="shared" si="0"/>
        <v>0</v>
      </c>
      <c r="E8" s="7"/>
      <c r="F8" s="7"/>
      <c r="G8" s="9" t="e">
        <f t="shared" si="1"/>
        <v>#DIV/0!</v>
      </c>
      <c r="H8" s="7"/>
      <c r="I8" s="7"/>
      <c r="J8" s="9" t="e">
        <f>ROUND(I8*20/G8,1)</f>
        <v>#DIV/0!</v>
      </c>
    </row>
    <row r="9" ht="19" customHeight="1" spans="1:10">
      <c r="A9" s="6"/>
      <c r="B9" s="6"/>
      <c r="C9" s="7"/>
      <c r="D9" s="8">
        <f t="shared" si="0"/>
        <v>0</v>
      </c>
      <c r="E9" s="7"/>
      <c r="F9" s="7"/>
      <c r="G9" s="9" t="e">
        <f t="shared" si="1"/>
        <v>#DIV/0!</v>
      </c>
      <c r="H9" s="7"/>
      <c r="I9" s="7"/>
      <c r="J9" s="9" t="e">
        <f>ROUND(I9*20/G9,1)</f>
        <v>#DIV/0!</v>
      </c>
    </row>
    <row r="10" ht="19" customHeight="1" spans="1:10">
      <c r="A10" s="6"/>
      <c r="B10" s="6"/>
      <c r="C10" s="7"/>
      <c r="D10" s="8">
        <f t="shared" si="0"/>
        <v>0</v>
      </c>
      <c r="E10" s="7"/>
      <c r="F10" s="7"/>
      <c r="G10" s="9" t="e">
        <f t="shared" si="1"/>
        <v>#DIV/0!</v>
      </c>
      <c r="H10" s="7"/>
      <c r="I10" s="7"/>
      <c r="J10" s="9" t="e">
        <f>ROUND(I10*20/G10,1)</f>
        <v>#DIV/0!</v>
      </c>
    </row>
  </sheetData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K103"/>
  <sheetViews>
    <sheetView workbookViewId="0">
      <selection activeCell="E22" sqref="A1:K103"/>
    </sheetView>
  </sheetViews>
  <sheetFormatPr defaultColWidth="9" defaultRowHeight="13.5"/>
  <cols>
    <col min="11" max="11" width="23.2389380530973" customWidth="1"/>
  </cols>
  <sheetData>
    <row r="1" spans="1:11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</row>
    <row r="2" spans="1:11">
      <c r="A2" s="155" t="s">
        <v>169</v>
      </c>
      <c r="B2" s="156" t="s">
        <v>170</v>
      </c>
      <c r="C2" s="156" t="s">
        <v>171</v>
      </c>
      <c r="D2" s="156">
        <v>0</v>
      </c>
      <c r="E2" s="156" t="s">
        <v>172</v>
      </c>
      <c r="F2" s="156" t="s">
        <v>172</v>
      </c>
      <c r="G2" s="156" t="s">
        <v>172</v>
      </c>
      <c r="H2" s="156" t="s">
        <v>172</v>
      </c>
      <c r="I2" s="156" t="s">
        <v>172</v>
      </c>
      <c r="J2" s="156" t="s">
        <v>172</v>
      </c>
      <c r="K2" s="157">
        <v>46167.5978819444</v>
      </c>
    </row>
    <row r="3" spans="1:11">
      <c r="A3" s="155"/>
      <c r="B3" s="156" t="s">
        <v>173</v>
      </c>
      <c r="C3" s="156" t="s">
        <v>171</v>
      </c>
      <c r="D3" s="156">
        <v>0</v>
      </c>
      <c r="E3" s="156" t="s">
        <v>172</v>
      </c>
      <c r="F3" s="156" t="s">
        <v>172</v>
      </c>
      <c r="G3" s="156" t="s">
        <v>172</v>
      </c>
      <c r="H3" s="156" t="s">
        <v>172</v>
      </c>
      <c r="I3" s="156" t="s">
        <v>172</v>
      </c>
      <c r="J3" s="156" t="s">
        <v>172</v>
      </c>
      <c r="K3" s="157">
        <v>46167.6097916667</v>
      </c>
    </row>
    <row r="4" spans="1:11">
      <c r="A4" s="155"/>
      <c r="B4" s="156" t="s">
        <v>174</v>
      </c>
      <c r="C4" s="156" t="s">
        <v>171</v>
      </c>
      <c r="D4" s="156">
        <v>0</v>
      </c>
      <c r="E4" s="158" t="s">
        <v>172</v>
      </c>
      <c r="F4" s="156" t="s">
        <v>172</v>
      </c>
      <c r="G4" s="156" t="s">
        <v>172</v>
      </c>
      <c r="H4" s="156" t="s">
        <v>172</v>
      </c>
      <c r="I4" s="156" t="s">
        <v>172</v>
      </c>
      <c r="J4" s="156" t="s">
        <v>172</v>
      </c>
      <c r="K4" s="157">
        <v>46167.6205324074</v>
      </c>
    </row>
    <row r="5" spans="1:11">
      <c r="A5" s="155"/>
      <c r="B5" s="156" t="s">
        <v>175</v>
      </c>
      <c r="C5" s="156" t="s">
        <v>171</v>
      </c>
      <c r="D5" s="156">
        <v>0</v>
      </c>
      <c r="E5" s="158" t="s">
        <v>172</v>
      </c>
      <c r="F5" s="156" t="s">
        <v>172</v>
      </c>
      <c r="G5" s="156" t="s">
        <v>172</v>
      </c>
      <c r="H5" s="156" t="s">
        <v>172</v>
      </c>
      <c r="I5" s="156" t="s">
        <v>172</v>
      </c>
      <c r="J5" s="156" t="s">
        <v>172</v>
      </c>
      <c r="K5" s="157">
        <v>46167.6312731481</v>
      </c>
    </row>
    <row r="6" spans="1:11">
      <c r="A6" s="155"/>
      <c r="B6" s="156" t="s">
        <v>176</v>
      </c>
      <c r="C6" s="156" t="s">
        <v>171</v>
      </c>
      <c r="D6" s="156">
        <v>0</v>
      </c>
      <c r="E6" s="158" t="s">
        <v>172</v>
      </c>
      <c r="F6" s="158" t="s">
        <v>172</v>
      </c>
      <c r="G6" s="156" t="s">
        <v>172</v>
      </c>
      <c r="H6" s="156" t="s">
        <v>172</v>
      </c>
      <c r="I6" s="156" t="s">
        <v>172</v>
      </c>
      <c r="J6" s="156" t="s">
        <v>172</v>
      </c>
      <c r="K6" s="157">
        <v>46167.642025463</v>
      </c>
    </row>
    <row r="7" spans="1:11">
      <c r="A7" s="155"/>
      <c r="B7" s="156" t="s">
        <v>177</v>
      </c>
      <c r="C7" s="156" t="s">
        <v>171</v>
      </c>
      <c r="D7" s="156">
        <v>0</v>
      </c>
      <c r="E7" s="158">
        <v>8.216</v>
      </c>
      <c r="F7" s="158">
        <v>6495</v>
      </c>
      <c r="G7" s="156">
        <v>1.15</v>
      </c>
      <c r="H7" s="156">
        <v>27.36</v>
      </c>
      <c r="I7" s="156" t="s">
        <v>172</v>
      </c>
      <c r="J7" s="156" t="s">
        <v>172</v>
      </c>
      <c r="K7" s="157">
        <v>46167.6527777778</v>
      </c>
    </row>
    <row r="8" spans="1:11">
      <c r="A8" s="155"/>
      <c r="B8" s="156" t="s">
        <v>178</v>
      </c>
      <c r="C8" s="156" t="s">
        <v>171</v>
      </c>
      <c r="D8" s="156">
        <v>0</v>
      </c>
      <c r="E8" s="158">
        <v>8.211</v>
      </c>
      <c r="F8" s="158">
        <v>134250</v>
      </c>
      <c r="G8" s="156">
        <v>22.57</v>
      </c>
      <c r="H8" s="156">
        <v>387.18</v>
      </c>
      <c r="I8" s="156" t="s">
        <v>172</v>
      </c>
      <c r="J8" s="156" t="s">
        <v>172</v>
      </c>
      <c r="K8" s="157">
        <v>46167.6635069444</v>
      </c>
    </row>
    <row r="9" spans="1:11">
      <c r="A9" s="155"/>
      <c r="B9" s="156" t="s">
        <v>179</v>
      </c>
      <c r="C9" s="156" t="s">
        <v>171</v>
      </c>
      <c r="D9" s="156">
        <v>0</v>
      </c>
      <c r="E9" s="158">
        <v>8.211</v>
      </c>
      <c r="F9" s="158">
        <v>136126</v>
      </c>
      <c r="G9" s="156">
        <v>22.88</v>
      </c>
      <c r="H9" s="156">
        <v>402.62</v>
      </c>
      <c r="I9" s="156" t="s">
        <v>172</v>
      </c>
      <c r="J9" s="156" t="s">
        <v>172</v>
      </c>
      <c r="K9" s="157">
        <v>46167.6742361111</v>
      </c>
    </row>
    <row r="10" spans="1:11">
      <c r="A10" s="155"/>
      <c r="B10" s="156" t="s">
        <v>180</v>
      </c>
      <c r="C10" s="156" t="s">
        <v>171</v>
      </c>
      <c r="D10" s="156">
        <v>0</v>
      </c>
      <c r="E10" s="158">
        <v>8.212</v>
      </c>
      <c r="F10" s="158">
        <v>136734</v>
      </c>
      <c r="G10" s="156">
        <v>22.99</v>
      </c>
      <c r="H10" s="156">
        <v>405.09</v>
      </c>
      <c r="I10" s="156" t="s">
        <v>172</v>
      </c>
      <c r="J10" s="156" t="s">
        <v>172</v>
      </c>
      <c r="K10" s="157">
        <v>46167.6849537037</v>
      </c>
    </row>
    <row r="11" spans="1:11">
      <c r="A11" s="155"/>
      <c r="B11" s="156" t="s">
        <v>181</v>
      </c>
      <c r="C11" s="156" t="s">
        <v>171</v>
      </c>
      <c r="D11" s="156">
        <v>0</v>
      </c>
      <c r="E11" s="158">
        <v>8.212</v>
      </c>
      <c r="F11" s="158">
        <v>141748</v>
      </c>
      <c r="G11" s="156">
        <v>23.83</v>
      </c>
      <c r="H11" s="156">
        <v>443.9</v>
      </c>
      <c r="I11" s="156" t="s">
        <v>172</v>
      </c>
      <c r="J11" s="156" t="s">
        <v>172</v>
      </c>
      <c r="K11" s="157">
        <v>46167.6956828704</v>
      </c>
    </row>
    <row r="12" spans="1:11">
      <c r="A12" s="155"/>
      <c r="B12" s="156" t="s">
        <v>182</v>
      </c>
      <c r="C12" s="156" t="s">
        <v>171</v>
      </c>
      <c r="D12" s="156">
        <v>0</v>
      </c>
      <c r="E12" s="158">
        <v>8.209</v>
      </c>
      <c r="F12" s="158">
        <v>143948</v>
      </c>
      <c r="G12" s="156">
        <v>24.2</v>
      </c>
      <c r="H12" s="156">
        <v>420.61</v>
      </c>
      <c r="I12" s="156" t="s">
        <v>172</v>
      </c>
      <c r="J12" s="156" t="s">
        <v>172</v>
      </c>
      <c r="K12" s="157">
        <v>46167.7064699074</v>
      </c>
    </row>
    <row r="13" spans="1:11">
      <c r="A13" s="155"/>
      <c r="B13" s="156" t="s">
        <v>183</v>
      </c>
      <c r="C13" s="156" t="s">
        <v>171</v>
      </c>
      <c r="D13" s="156">
        <v>0</v>
      </c>
      <c r="E13" s="158">
        <v>8.21</v>
      </c>
      <c r="F13" s="158">
        <v>140876</v>
      </c>
      <c r="G13" s="156">
        <v>23.68</v>
      </c>
      <c r="H13" s="156">
        <v>343.65</v>
      </c>
      <c r="I13" s="156" t="s">
        <v>172</v>
      </c>
      <c r="J13" s="156" t="s">
        <v>172</v>
      </c>
      <c r="K13" s="157">
        <v>46167.7171990741</v>
      </c>
    </row>
    <row r="14" spans="1:11">
      <c r="A14" s="155"/>
      <c r="B14" s="156" t="s">
        <v>184</v>
      </c>
      <c r="C14" s="156" t="s">
        <v>171</v>
      </c>
      <c r="D14" s="156">
        <v>0</v>
      </c>
      <c r="E14" s="158">
        <v>8.205</v>
      </c>
      <c r="F14" s="158">
        <v>143006</v>
      </c>
      <c r="G14" s="156">
        <v>24.04</v>
      </c>
      <c r="H14" s="156">
        <v>558.34</v>
      </c>
      <c r="I14" s="156" t="s">
        <v>172</v>
      </c>
      <c r="J14" s="156" t="s">
        <v>172</v>
      </c>
      <c r="K14" s="157">
        <v>46167.7279282407</v>
      </c>
    </row>
    <row r="15" spans="1:11">
      <c r="A15" s="155"/>
      <c r="B15" s="156" t="s">
        <v>185</v>
      </c>
      <c r="C15" s="156" t="s">
        <v>171</v>
      </c>
      <c r="D15" s="156">
        <v>0</v>
      </c>
      <c r="E15" s="158">
        <v>8.208</v>
      </c>
      <c r="F15" s="158">
        <v>143129</v>
      </c>
      <c r="G15" s="156">
        <v>24.06</v>
      </c>
      <c r="H15" s="156">
        <v>500.99</v>
      </c>
      <c r="I15" s="156" t="s">
        <v>172</v>
      </c>
      <c r="J15" s="156" t="s">
        <v>172</v>
      </c>
      <c r="K15" s="157">
        <v>46167.7386805556</v>
      </c>
    </row>
    <row r="16" spans="1:11">
      <c r="A16" s="155"/>
      <c r="B16" s="156" t="s">
        <v>186</v>
      </c>
      <c r="C16" s="156" t="s">
        <v>171</v>
      </c>
      <c r="D16" s="156">
        <v>0</v>
      </c>
      <c r="E16" s="158" t="s">
        <v>172</v>
      </c>
      <c r="F16" s="158" t="s">
        <v>172</v>
      </c>
      <c r="G16" s="156" t="s">
        <v>172</v>
      </c>
      <c r="H16" s="156" t="s">
        <v>172</v>
      </c>
      <c r="I16" s="156" t="s">
        <v>172</v>
      </c>
      <c r="J16" s="156" t="s">
        <v>172</v>
      </c>
      <c r="K16" s="157">
        <v>46167.7494097222</v>
      </c>
    </row>
    <row r="17" spans="1:11">
      <c r="A17" s="155"/>
      <c r="B17" s="159" t="s">
        <v>187</v>
      </c>
      <c r="C17" s="159" t="s">
        <v>188</v>
      </c>
      <c r="D17" s="159">
        <v>1</v>
      </c>
      <c r="E17" s="160">
        <v>8.206</v>
      </c>
      <c r="F17" s="160">
        <v>14889</v>
      </c>
      <c r="G17" s="159">
        <v>2.56</v>
      </c>
      <c r="H17" s="159">
        <v>60.15</v>
      </c>
      <c r="I17" s="159">
        <v>2.57</v>
      </c>
      <c r="J17" s="159">
        <v>99.6</v>
      </c>
      <c r="K17" s="161">
        <v>46167.7601388889</v>
      </c>
    </row>
    <row r="18" spans="1:11">
      <c r="A18" s="155"/>
      <c r="B18" s="159" t="s">
        <v>189</v>
      </c>
      <c r="C18" s="159" t="s">
        <v>188</v>
      </c>
      <c r="D18" s="159">
        <v>2</v>
      </c>
      <c r="E18" s="160">
        <v>8.211</v>
      </c>
      <c r="F18" s="160">
        <v>78112</v>
      </c>
      <c r="G18" s="159">
        <v>13.16</v>
      </c>
      <c r="H18" s="159">
        <v>289.34</v>
      </c>
      <c r="I18" s="159">
        <v>12.84</v>
      </c>
      <c r="J18" s="159">
        <v>102.5</v>
      </c>
      <c r="K18" s="161">
        <v>46167.7708680556</v>
      </c>
    </row>
    <row r="19" spans="1:11">
      <c r="A19" s="155"/>
      <c r="B19" s="159" t="s">
        <v>190</v>
      </c>
      <c r="C19" s="159" t="s">
        <v>188</v>
      </c>
      <c r="D19" s="159">
        <v>3</v>
      </c>
      <c r="E19" s="160">
        <v>8.205</v>
      </c>
      <c r="F19" s="160">
        <v>152417</v>
      </c>
      <c r="G19" s="159">
        <v>25.62</v>
      </c>
      <c r="H19" s="162">
        <v>493.47</v>
      </c>
      <c r="I19" s="159">
        <v>25.68</v>
      </c>
      <c r="J19" s="159">
        <v>99.7</v>
      </c>
      <c r="K19" s="161">
        <v>46167.7816087963</v>
      </c>
    </row>
    <row r="20" spans="1:11">
      <c r="A20" s="155"/>
      <c r="B20" s="159" t="s">
        <v>191</v>
      </c>
      <c r="C20" s="159" t="s">
        <v>188</v>
      </c>
      <c r="D20" s="159">
        <v>4</v>
      </c>
      <c r="E20" s="160">
        <v>8.213</v>
      </c>
      <c r="F20" s="160">
        <v>227051</v>
      </c>
      <c r="G20" s="159">
        <v>38.13</v>
      </c>
      <c r="H20" s="162">
        <v>627.68</v>
      </c>
      <c r="I20" s="159">
        <v>38.51</v>
      </c>
      <c r="J20" s="159">
        <v>99</v>
      </c>
      <c r="K20" s="161">
        <v>46167.7923611111</v>
      </c>
    </row>
    <row r="21" spans="1:11">
      <c r="A21" s="155"/>
      <c r="B21" s="159" t="s">
        <v>192</v>
      </c>
      <c r="C21" s="159" t="s">
        <v>188</v>
      </c>
      <c r="D21" s="159">
        <v>5</v>
      </c>
      <c r="E21" s="160">
        <v>8.205</v>
      </c>
      <c r="F21" s="160">
        <v>303254</v>
      </c>
      <c r="G21" s="159">
        <v>50.9</v>
      </c>
      <c r="H21" s="159">
        <v>657.92</v>
      </c>
      <c r="I21" s="159">
        <v>51.35</v>
      </c>
      <c r="J21" s="159">
        <v>99.1</v>
      </c>
      <c r="K21" s="161">
        <v>46167.8030671296</v>
      </c>
    </row>
    <row r="22" spans="1:11">
      <c r="A22" s="155"/>
      <c r="B22" s="156" t="s">
        <v>193</v>
      </c>
      <c r="C22" s="156" t="s">
        <v>171</v>
      </c>
      <c r="D22" s="156">
        <v>0</v>
      </c>
      <c r="E22" s="158" t="s">
        <v>172</v>
      </c>
      <c r="F22" s="158" t="s">
        <v>172</v>
      </c>
      <c r="G22" s="156" t="s">
        <v>172</v>
      </c>
      <c r="H22" s="156" t="s">
        <v>172</v>
      </c>
      <c r="I22" s="156" t="s">
        <v>172</v>
      </c>
      <c r="J22" s="156" t="s">
        <v>172</v>
      </c>
      <c r="K22" s="157">
        <v>46167.8138078704</v>
      </c>
    </row>
    <row r="23" spans="1:11">
      <c r="A23" s="155"/>
      <c r="B23" s="156" t="s">
        <v>194</v>
      </c>
      <c r="C23" s="156" t="s">
        <v>171</v>
      </c>
      <c r="D23" s="156">
        <v>0</v>
      </c>
      <c r="E23" s="156">
        <v>8.208</v>
      </c>
      <c r="F23" s="158">
        <v>7859</v>
      </c>
      <c r="G23" s="156">
        <v>1.38</v>
      </c>
      <c r="H23" s="156">
        <v>31.31</v>
      </c>
      <c r="I23" s="156" t="s">
        <v>172</v>
      </c>
      <c r="J23" s="156" t="s">
        <v>172</v>
      </c>
      <c r="K23" s="157">
        <v>46167.8245949074</v>
      </c>
    </row>
    <row r="24" spans="1:11">
      <c r="A24" s="155"/>
      <c r="B24" s="156" t="s">
        <v>195</v>
      </c>
      <c r="C24" s="156" t="s">
        <v>171</v>
      </c>
      <c r="D24" s="156">
        <v>0</v>
      </c>
      <c r="E24" s="158" t="s">
        <v>172</v>
      </c>
      <c r="F24" s="158" t="s">
        <v>172</v>
      </c>
      <c r="G24" s="156" t="s">
        <v>172</v>
      </c>
      <c r="H24" s="156" t="s">
        <v>172</v>
      </c>
      <c r="I24" s="156" t="s">
        <v>172</v>
      </c>
      <c r="J24" s="156" t="s">
        <v>172</v>
      </c>
      <c r="K24" s="157">
        <v>46167.8353240741</v>
      </c>
    </row>
    <row r="25" spans="1:11">
      <c r="A25" s="155"/>
      <c r="B25" s="156" t="s">
        <v>196</v>
      </c>
      <c r="C25" s="156" t="s">
        <v>171</v>
      </c>
      <c r="D25" s="156">
        <v>0</v>
      </c>
      <c r="E25" s="158">
        <v>8.212</v>
      </c>
      <c r="F25" s="158">
        <v>155366</v>
      </c>
      <c r="G25" s="156">
        <v>26.11</v>
      </c>
      <c r="H25" s="156">
        <v>460.2</v>
      </c>
      <c r="I25" s="156" t="s">
        <v>172</v>
      </c>
      <c r="J25" s="156" t="s">
        <v>172</v>
      </c>
      <c r="K25" s="157">
        <v>46167.8460416667</v>
      </c>
    </row>
    <row r="26" spans="1:11">
      <c r="A26" s="155"/>
      <c r="B26" s="156" t="s">
        <v>197</v>
      </c>
      <c r="C26" s="156" t="s">
        <v>171</v>
      </c>
      <c r="D26" s="156">
        <v>0</v>
      </c>
      <c r="E26" s="158" t="s">
        <v>172</v>
      </c>
      <c r="F26" s="158" t="s">
        <v>172</v>
      </c>
      <c r="G26" s="156" t="s">
        <v>172</v>
      </c>
      <c r="H26" s="156" t="s">
        <v>172</v>
      </c>
      <c r="I26" s="156" t="s">
        <v>172</v>
      </c>
      <c r="J26" s="156" t="s">
        <v>172</v>
      </c>
      <c r="K26" s="157">
        <v>46167.8567592593</v>
      </c>
    </row>
    <row r="27" spans="1:11">
      <c r="A27" s="155"/>
      <c r="B27" s="156" t="s">
        <v>198</v>
      </c>
      <c r="C27" s="156" t="s">
        <v>171</v>
      </c>
      <c r="D27" s="156">
        <v>0</v>
      </c>
      <c r="E27" s="158">
        <v>8.204</v>
      </c>
      <c r="F27" s="158">
        <v>154952</v>
      </c>
      <c r="G27" s="156">
        <v>26.04</v>
      </c>
      <c r="H27" s="156">
        <v>467</v>
      </c>
      <c r="I27" s="156" t="s">
        <v>172</v>
      </c>
      <c r="J27" s="156" t="s">
        <v>172</v>
      </c>
      <c r="K27" s="157">
        <v>46167.8675</v>
      </c>
    </row>
    <row r="28" spans="1:11">
      <c r="A28" s="155"/>
      <c r="B28" s="156" t="s">
        <v>199</v>
      </c>
      <c r="C28" s="156" t="s">
        <v>171</v>
      </c>
      <c r="D28" s="156">
        <v>0</v>
      </c>
      <c r="E28" s="158">
        <v>8.213</v>
      </c>
      <c r="F28" s="158">
        <v>151390</v>
      </c>
      <c r="G28" s="156">
        <v>25.44</v>
      </c>
      <c r="H28" s="156">
        <v>526.74</v>
      </c>
      <c r="I28" s="156" t="s">
        <v>172</v>
      </c>
      <c r="J28" s="156" t="s">
        <v>172</v>
      </c>
      <c r="K28" s="157">
        <v>46167.878275463</v>
      </c>
    </row>
    <row r="29" spans="1:11">
      <c r="A29" s="155"/>
      <c r="B29" s="156" t="s">
        <v>200</v>
      </c>
      <c r="C29" s="156" t="s">
        <v>171</v>
      </c>
      <c r="D29" s="156">
        <v>0</v>
      </c>
      <c r="E29" s="158" t="s">
        <v>172</v>
      </c>
      <c r="F29" s="158" t="s">
        <v>172</v>
      </c>
      <c r="G29" s="156" t="s">
        <v>172</v>
      </c>
      <c r="H29" s="156" t="s">
        <v>172</v>
      </c>
      <c r="I29" s="156" t="s">
        <v>172</v>
      </c>
      <c r="J29" s="156" t="s">
        <v>172</v>
      </c>
      <c r="K29" s="157">
        <v>46167.8889930556</v>
      </c>
    </row>
    <row r="30" spans="1:11">
      <c r="A30" s="155"/>
      <c r="B30" s="156" t="s">
        <v>201</v>
      </c>
      <c r="C30" s="156" t="s">
        <v>171</v>
      </c>
      <c r="D30" s="156">
        <v>0</v>
      </c>
      <c r="E30" s="158">
        <v>8.212</v>
      </c>
      <c r="F30" s="158">
        <v>7785</v>
      </c>
      <c r="G30" s="156">
        <v>1.37</v>
      </c>
      <c r="H30" s="156">
        <v>34.02</v>
      </c>
      <c r="I30" s="156" t="s">
        <v>172</v>
      </c>
      <c r="J30" s="156" t="s">
        <v>172</v>
      </c>
      <c r="K30" s="157">
        <v>46167.8997337963</v>
      </c>
    </row>
    <row r="31" spans="1:11">
      <c r="A31" s="155"/>
      <c r="B31" s="156" t="s">
        <v>202</v>
      </c>
      <c r="C31" s="156" t="s">
        <v>171</v>
      </c>
      <c r="D31" s="156">
        <v>0</v>
      </c>
      <c r="E31" s="158">
        <v>8.212</v>
      </c>
      <c r="F31" s="158">
        <v>7823</v>
      </c>
      <c r="G31" s="156">
        <v>1.38</v>
      </c>
      <c r="H31" s="156">
        <v>27.43</v>
      </c>
      <c r="I31" s="156" t="s">
        <v>172</v>
      </c>
      <c r="J31" s="156" t="s">
        <v>172</v>
      </c>
      <c r="K31" s="157">
        <v>46167.9104398148</v>
      </c>
    </row>
    <row r="32" spans="1:11">
      <c r="A32" s="155"/>
      <c r="B32" s="156" t="s">
        <v>203</v>
      </c>
      <c r="C32" s="156" t="s">
        <v>171</v>
      </c>
      <c r="D32" s="156">
        <v>0</v>
      </c>
      <c r="E32" s="158">
        <v>8.206</v>
      </c>
      <c r="F32" s="158">
        <v>8035</v>
      </c>
      <c r="G32" s="156">
        <v>1.41</v>
      </c>
      <c r="H32" s="156">
        <v>30.65</v>
      </c>
      <c r="I32" s="156" t="s">
        <v>172</v>
      </c>
      <c r="J32" s="156" t="s">
        <v>172</v>
      </c>
      <c r="K32" s="157">
        <v>46167.9211689815</v>
      </c>
    </row>
    <row r="33" spans="1:11">
      <c r="A33" s="155"/>
      <c r="B33" s="156" t="s">
        <v>204</v>
      </c>
      <c r="C33" s="156" t="s">
        <v>171</v>
      </c>
      <c r="D33" s="156">
        <v>0</v>
      </c>
      <c r="E33" s="158">
        <v>8.211</v>
      </c>
      <c r="F33" s="158">
        <v>15766</v>
      </c>
      <c r="G33" s="156">
        <v>2.71</v>
      </c>
      <c r="H33" s="156">
        <v>58.44</v>
      </c>
      <c r="I33" s="156" t="s">
        <v>172</v>
      </c>
      <c r="J33" s="156" t="s">
        <v>172</v>
      </c>
      <c r="K33" s="157">
        <v>46167.9318865741</v>
      </c>
    </row>
    <row r="34" spans="1:11">
      <c r="A34" s="155"/>
      <c r="B34" s="156" t="s">
        <v>205</v>
      </c>
      <c r="C34" s="156" t="s">
        <v>171</v>
      </c>
      <c r="D34" s="156">
        <v>0</v>
      </c>
      <c r="E34" s="158">
        <v>8.21</v>
      </c>
      <c r="F34" s="158">
        <v>16006</v>
      </c>
      <c r="G34" s="156">
        <v>2.75</v>
      </c>
      <c r="H34" s="156">
        <v>60.69</v>
      </c>
      <c r="I34" s="156" t="s">
        <v>172</v>
      </c>
      <c r="J34" s="156" t="s">
        <v>172</v>
      </c>
      <c r="K34" s="157">
        <v>46167.9426157407</v>
      </c>
    </row>
    <row r="35" spans="1:11">
      <c r="A35" s="155"/>
      <c r="B35" s="156" t="s">
        <v>206</v>
      </c>
      <c r="C35" s="156" t="s">
        <v>171</v>
      </c>
      <c r="D35" s="156">
        <v>0</v>
      </c>
      <c r="E35" s="158">
        <v>8.208</v>
      </c>
      <c r="F35" s="158">
        <v>15409</v>
      </c>
      <c r="G35" s="156">
        <v>2.65</v>
      </c>
      <c r="H35" s="156">
        <v>70.11</v>
      </c>
      <c r="I35" s="156" t="s">
        <v>172</v>
      </c>
      <c r="J35" s="156" t="s">
        <v>172</v>
      </c>
      <c r="K35" s="157">
        <v>46167.9533449074</v>
      </c>
    </row>
    <row r="36" spans="1:11">
      <c r="A36" s="155"/>
      <c r="B36" s="156" t="s">
        <v>207</v>
      </c>
      <c r="C36" s="156" t="s">
        <v>171</v>
      </c>
      <c r="D36" s="156">
        <v>0</v>
      </c>
      <c r="E36" s="158">
        <v>8.205</v>
      </c>
      <c r="F36" s="158">
        <v>15196</v>
      </c>
      <c r="G36" s="156">
        <v>2.61</v>
      </c>
      <c r="H36" s="156">
        <v>50.12</v>
      </c>
      <c r="I36" s="156" t="s">
        <v>172</v>
      </c>
      <c r="J36" s="156" t="s">
        <v>172</v>
      </c>
      <c r="K36" s="157">
        <v>46167.9640740741</v>
      </c>
    </row>
    <row r="37" spans="1:11">
      <c r="A37" s="155"/>
      <c r="B37" s="156" t="s">
        <v>208</v>
      </c>
      <c r="C37" s="156" t="s">
        <v>171</v>
      </c>
      <c r="D37" s="156">
        <v>0</v>
      </c>
      <c r="E37" s="158">
        <v>8.206</v>
      </c>
      <c r="F37" s="158">
        <v>15968</v>
      </c>
      <c r="G37" s="156">
        <v>2.74</v>
      </c>
      <c r="H37" s="156">
        <v>59.39</v>
      </c>
      <c r="I37" s="156" t="s">
        <v>172</v>
      </c>
      <c r="J37" s="156" t="s">
        <v>172</v>
      </c>
      <c r="K37" s="157">
        <v>46167.9747916667</v>
      </c>
    </row>
    <row r="38" spans="1:11">
      <c r="A38" s="155"/>
      <c r="B38" s="156" t="s">
        <v>209</v>
      </c>
      <c r="C38" s="156" t="s">
        <v>171</v>
      </c>
      <c r="D38" s="156">
        <v>0</v>
      </c>
      <c r="E38" s="158">
        <v>8.207</v>
      </c>
      <c r="F38" s="158">
        <v>15816</v>
      </c>
      <c r="G38" s="156">
        <v>2.72</v>
      </c>
      <c r="H38" s="156">
        <v>50.72</v>
      </c>
      <c r="I38" s="156" t="s">
        <v>172</v>
      </c>
      <c r="J38" s="156" t="s">
        <v>172</v>
      </c>
      <c r="K38" s="157">
        <v>46167.9855324074</v>
      </c>
    </row>
    <row r="39" spans="1:11">
      <c r="A39" s="155"/>
      <c r="B39" s="156" t="s">
        <v>210</v>
      </c>
      <c r="C39" s="156" t="s">
        <v>171</v>
      </c>
      <c r="D39" s="156">
        <v>0</v>
      </c>
      <c r="E39" s="158">
        <v>8.204</v>
      </c>
      <c r="F39" s="158">
        <v>153656</v>
      </c>
      <c r="G39" s="156">
        <v>25.82</v>
      </c>
      <c r="H39" s="156">
        <v>562.59</v>
      </c>
      <c r="I39" s="156" t="s">
        <v>172</v>
      </c>
      <c r="J39" s="156" t="s">
        <v>172</v>
      </c>
      <c r="K39" s="157">
        <v>46167.99625</v>
      </c>
    </row>
    <row r="40" spans="1:11">
      <c r="A40" s="155"/>
      <c r="B40" s="156" t="s">
        <v>211</v>
      </c>
      <c r="C40" s="156" t="s">
        <v>171</v>
      </c>
      <c r="D40" s="156">
        <v>0</v>
      </c>
      <c r="E40" s="156">
        <v>8.202</v>
      </c>
      <c r="F40" s="158">
        <v>154063</v>
      </c>
      <c r="G40" s="156">
        <v>25.89</v>
      </c>
      <c r="H40" s="156">
        <v>428.55</v>
      </c>
      <c r="I40" s="156" t="s">
        <v>172</v>
      </c>
      <c r="J40" s="156" t="s">
        <v>172</v>
      </c>
      <c r="K40" s="157">
        <v>46168.0069791667</v>
      </c>
    </row>
    <row r="41" spans="1:11">
      <c r="A41" s="155"/>
      <c r="B41" s="156" t="s">
        <v>212</v>
      </c>
      <c r="C41" s="156" t="s">
        <v>171</v>
      </c>
      <c r="D41" s="156">
        <v>0</v>
      </c>
      <c r="E41" s="158" t="s">
        <v>172</v>
      </c>
      <c r="F41" s="156" t="s">
        <v>172</v>
      </c>
      <c r="G41" s="156" t="s">
        <v>172</v>
      </c>
      <c r="H41" s="156" t="s">
        <v>172</v>
      </c>
      <c r="I41" s="156" t="s">
        <v>172</v>
      </c>
      <c r="J41" s="156" t="s">
        <v>172</v>
      </c>
      <c r="K41" s="157">
        <v>46168.0177199074</v>
      </c>
    </row>
    <row r="42" spans="1:11">
      <c r="A42" s="155"/>
      <c r="B42" s="156" t="s">
        <v>213</v>
      </c>
      <c r="C42" s="156" t="s">
        <v>171</v>
      </c>
      <c r="D42" s="156">
        <v>0</v>
      </c>
      <c r="E42" s="158" t="s">
        <v>172</v>
      </c>
      <c r="F42" s="156" t="s">
        <v>172</v>
      </c>
      <c r="G42" s="156" t="s">
        <v>172</v>
      </c>
      <c r="H42" s="156" t="s">
        <v>172</v>
      </c>
      <c r="I42" s="156" t="s">
        <v>172</v>
      </c>
      <c r="J42" s="156" t="s">
        <v>172</v>
      </c>
      <c r="K42" s="157">
        <v>46168.0284606482</v>
      </c>
    </row>
    <row r="43" spans="1:11">
      <c r="A43" s="155"/>
      <c r="B43" s="156" t="s">
        <v>214</v>
      </c>
      <c r="C43" s="156" t="s">
        <v>171</v>
      </c>
      <c r="D43" s="156">
        <v>0</v>
      </c>
      <c r="E43" s="158" t="s">
        <v>172</v>
      </c>
      <c r="F43" s="156" t="s">
        <v>172</v>
      </c>
      <c r="G43" s="156" t="s">
        <v>172</v>
      </c>
      <c r="H43" s="156" t="s">
        <v>172</v>
      </c>
      <c r="I43" s="156" t="s">
        <v>172</v>
      </c>
      <c r="J43" s="156" t="s">
        <v>172</v>
      </c>
      <c r="K43" s="157">
        <v>46168.0391898148</v>
      </c>
    </row>
    <row r="44" spans="1:11">
      <c r="A44" s="155"/>
      <c r="B44" s="156" t="s">
        <v>215</v>
      </c>
      <c r="C44" s="156" t="s">
        <v>171</v>
      </c>
      <c r="D44" s="156">
        <v>0</v>
      </c>
      <c r="E44" s="158" t="s">
        <v>172</v>
      </c>
      <c r="F44" s="158" t="s">
        <v>172</v>
      </c>
      <c r="G44" s="156" t="s">
        <v>172</v>
      </c>
      <c r="H44" s="156" t="s">
        <v>172</v>
      </c>
      <c r="I44" s="156" t="s">
        <v>172</v>
      </c>
      <c r="J44" s="156" t="s">
        <v>172</v>
      </c>
      <c r="K44" s="157">
        <v>46168.0499189815</v>
      </c>
    </row>
    <row r="45" spans="1:11">
      <c r="A45" s="155"/>
      <c r="B45" s="156" t="s">
        <v>216</v>
      </c>
      <c r="C45" s="156" t="s">
        <v>171</v>
      </c>
      <c r="D45" s="156">
        <v>0</v>
      </c>
      <c r="E45" s="158">
        <v>8.206</v>
      </c>
      <c r="F45" s="158">
        <v>14905</v>
      </c>
      <c r="G45" s="156">
        <v>2.56</v>
      </c>
      <c r="H45" s="156">
        <v>45.32</v>
      </c>
      <c r="I45" s="156" t="s">
        <v>172</v>
      </c>
      <c r="J45" s="156" t="s">
        <v>172</v>
      </c>
      <c r="K45" s="157">
        <v>46168.0606597222</v>
      </c>
    </row>
    <row r="46" spans="1:11">
      <c r="A46" s="155"/>
      <c r="B46" s="156" t="s">
        <v>217</v>
      </c>
      <c r="C46" s="156" t="s">
        <v>171</v>
      </c>
      <c r="D46" s="156">
        <v>0</v>
      </c>
      <c r="E46" s="158">
        <v>8.214</v>
      </c>
      <c r="F46" s="158">
        <v>15163</v>
      </c>
      <c r="G46" s="156">
        <v>2.61</v>
      </c>
      <c r="H46" s="156">
        <v>61.99</v>
      </c>
      <c r="I46" s="156" t="s">
        <v>172</v>
      </c>
      <c r="J46" s="156" t="s">
        <v>172</v>
      </c>
      <c r="K46" s="157">
        <v>46168.0713888889</v>
      </c>
    </row>
    <row r="47" spans="1:11">
      <c r="A47" s="155"/>
      <c r="B47" s="156" t="s">
        <v>218</v>
      </c>
      <c r="C47" s="156" t="s">
        <v>171</v>
      </c>
      <c r="D47" s="156">
        <v>0</v>
      </c>
      <c r="E47" s="158">
        <v>8.206</v>
      </c>
      <c r="F47" s="158">
        <v>16172</v>
      </c>
      <c r="G47" s="156">
        <v>2.78</v>
      </c>
      <c r="H47" s="156">
        <v>47.21</v>
      </c>
      <c r="I47" s="156" t="s">
        <v>172</v>
      </c>
      <c r="J47" s="156" t="s">
        <v>172</v>
      </c>
      <c r="K47" s="157">
        <v>46168.0821875</v>
      </c>
    </row>
    <row r="48" spans="1:11">
      <c r="A48" s="155"/>
      <c r="B48" s="156" t="s">
        <v>219</v>
      </c>
      <c r="C48" s="156" t="s">
        <v>171</v>
      </c>
      <c r="D48" s="156">
        <v>0</v>
      </c>
      <c r="E48" s="158" t="s">
        <v>172</v>
      </c>
      <c r="F48" s="158" t="s">
        <v>172</v>
      </c>
      <c r="G48" s="156" t="s">
        <v>172</v>
      </c>
      <c r="H48" s="156" t="s">
        <v>172</v>
      </c>
      <c r="I48" s="156" t="s">
        <v>172</v>
      </c>
      <c r="J48" s="156" t="s">
        <v>172</v>
      </c>
      <c r="K48" s="157">
        <v>46168.0929398148</v>
      </c>
    </row>
    <row r="49" spans="1:11">
      <c r="A49" s="155"/>
      <c r="B49" s="156" t="s">
        <v>220</v>
      </c>
      <c r="C49" s="156" t="s">
        <v>171</v>
      </c>
      <c r="D49" s="156">
        <v>0</v>
      </c>
      <c r="E49" s="158">
        <v>8.211</v>
      </c>
      <c r="F49" s="158">
        <v>156531</v>
      </c>
      <c r="G49" s="156">
        <v>26.3</v>
      </c>
      <c r="H49" s="156">
        <v>526.68</v>
      </c>
      <c r="I49" s="156" t="s">
        <v>172</v>
      </c>
      <c r="J49" s="156" t="s">
        <v>172</v>
      </c>
      <c r="K49" s="157">
        <v>46168.1036805556</v>
      </c>
    </row>
    <row r="50" spans="1:11">
      <c r="A50" s="155"/>
      <c r="B50" s="156" t="s">
        <v>221</v>
      </c>
      <c r="C50" s="156" t="s">
        <v>171</v>
      </c>
      <c r="D50" s="156">
        <v>0</v>
      </c>
      <c r="E50" s="158">
        <v>8.212</v>
      </c>
      <c r="F50" s="158">
        <v>160279</v>
      </c>
      <c r="G50" s="156">
        <v>26.93</v>
      </c>
      <c r="H50" s="156">
        <v>523.29</v>
      </c>
      <c r="I50" s="156" t="s">
        <v>172</v>
      </c>
      <c r="J50" s="156" t="s">
        <v>172</v>
      </c>
      <c r="K50" s="157">
        <v>46168.1144560185</v>
      </c>
    </row>
    <row r="51" spans="1:11">
      <c r="A51" s="155"/>
      <c r="B51" s="156" t="s">
        <v>222</v>
      </c>
      <c r="C51" s="156" t="s">
        <v>171</v>
      </c>
      <c r="D51" s="156">
        <v>0</v>
      </c>
      <c r="E51" s="158">
        <v>8.208</v>
      </c>
      <c r="F51" s="158">
        <v>154371</v>
      </c>
      <c r="G51" s="156">
        <v>25.94</v>
      </c>
      <c r="H51" s="156">
        <v>369.44</v>
      </c>
      <c r="I51" s="156" t="s">
        <v>172</v>
      </c>
      <c r="J51" s="156" t="s">
        <v>172</v>
      </c>
      <c r="K51" s="157">
        <v>46168.1251851852</v>
      </c>
    </row>
    <row r="52" spans="1:11">
      <c r="A52" s="155"/>
      <c r="B52" s="156" t="s">
        <v>223</v>
      </c>
      <c r="C52" s="156" t="s">
        <v>171</v>
      </c>
      <c r="D52" s="156">
        <v>0</v>
      </c>
      <c r="E52" s="158">
        <v>8.207</v>
      </c>
      <c r="F52" s="158">
        <v>159010</v>
      </c>
      <c r="G52" s="156">
        <v>26.72</v>
      </c>
      <c r="H52" s="156">
        <v>498.54</v>
      </c>
      <c r="I52" s="156" t="s">
        <v>172</v>
      </c>
      <c r="J52" s="156" t="s">
        <v>172</v>
      </c>
      <c r="K52" s="157">
        <v>46168.1359143518</v>
      </c>
    </row>
    <row r="53" spans="1:11">
      <c r="A53" s="155"/>
      <c r="B53" s="156" t="s">
        <v>224</v>
      </c>
      <c r="C53" s="156" t="s">
        <v>171</v>
      </c>
      <c r="D53" s="156">
        <v>0</v>
      </c>
      <c r="E53" s="158">
        <v>8.209</v>
      </c>
      <c r="F53" s="158">
        <v>161875</v>
      </c>
      <c r="G53" s="156">
        <v>27.2</v>
      </c>
      <c r="H53" s="156">
        <v>501.45</v>
      </c>
      <c r="I53" s="156" t="s">
        <v>172</v>
      </c>
      <c r="J53" s="156" t="s">
        <v>172</v>
      </c>
      <c r="K53" s="157">
        <v>46168.1466435185</v>
      </c>
    </row>
    <row r="54" spans="1:11">
      <c r="A54" s="155"/>
      <c r="B54" s="156" t="s">
        <v>225</v>
      </c>
      <c r="C54" s="156" t="s">
        <v>171</v>
      </c>
      <c r="D54" s="156">
        <v>0</v>
      </c>
      <c r="E54" s="158">
        <v>8.21</v>
      </c>
      <c r="F54" s="158">
        <v>160824</v>
      </c>
      <c r="G54" s="156">
        <v>27.02</v>
      </c>
      <c r="H54" s="156">
        <v>410.35</v>
      </c>
      <c r="I54" s="156" t="s">
        <v>172</v>
      </c>
      <c r="J54" s="156" t="s">
        <v>172</v>
      </c>
      <c r="K54" s="157">
        <v>46168.1573726852</v>
      </c>
    </row>
    <row r="55" spans="1:11">
      <c r="A55" s="155"/>
      <c r="B55" s="156" t="s">
        <v>226</v>
      </c>
      <c r="C55" s="156" t="s">
        <v>171</v>
      </c>
      <c r="D55" s="156">
        <v>0</v>
      </c>
      <c r="E55" s="158" t="s">
        <v>172</v>
      </c>
      <c r="F55" s="158" t="s">
        <v>172</v>
      </c>
      <c r="G55" s="156" t="s">
        <v>172</v>
      </c>
      <c r="H55" s="156" t="s">
        <v>172</v>
      </c>
      <c r="I55" s="156" t="s">
        <v>172</v>
      </c>
      <c r="J55" s="156" t="s">
        <v>172</v>
      </c>
      <c r="K55" s="157">
        <v>46168.1681018519</v>
      </c>
    </row>
    <row r="56" spans="1:11">
      <c r="A56" s="155"/>
      <c r="B56" s="156" t="s">
        <v>227</v>
      </c>
      <c r="C56" s="156" t="s">
        <v>171</v>
      </c>
      <c r="D56" s="156">
        <v>0</v>
      </c>
      <c r="E56" s="158">
        <v>8.206</v>
      </c>
      <c r="F56" s="158">
        <v>239010</v>
      </c>
      <c r="G56" s="156">
        <v>40.13</v>
      </c>
      <c r="H56" s="156">
        <v>627.73</v>
      </c>
      <c r="I56" s="156" t="s">
        <v>172</v>
      </c>
      <c r="J56" s="156" t="s">
        <v>172</v>
      </c>
      <c r="K56" s="157">
        <v>46168.1788425926</v>
      </c>
    </row>
    <row r="57" spans="1:11">
      <c r="A57" s="155"/>
      <c r="B57" s="156" t="s">
        <v>228</v>
      </c>
      <c r="C57" s="156" t="s">
        <v>171</v>
      </c>
      <c r="D57" s="156">
        <v>0</v>
      </c>
      <c r="E57" s="158">
        <v>8.204</v>
      </c>
      <c r="F57" s="158">
        <v>233830</v>
      </c>
      <c r="G57" s="156">
        <v>39.26</v>
      </c>
      <c r="H57" s="156">
        <v>640.62</v>
      </c>
      <c r="I57" s="156" t="s">
        <v>172</v>
      </c>
      <c r="J57" s="156" t="s">
        <v>172</v>
      </c>
      <c r="K57" s="157">
        <v>46168.1895833333</v>
      </c>
    </row>
    <row r="58" spans="1:11">
      <c r="A58" s="155"/>
      <c r="B58" s="156" t="s">
        <v>229</v>
      </c>
      <c r="C58" s="156" t="s">
        <v>171</v>
      </c>
      <c r="D58" s="156">
        <v>0</v>
      </c>
      <c r="E58" s="158">
        <v>8.208</v>
      </c>
      <c r="F58" s="158">
        <v>235852</v>
      </c>
      <c r="G58" s="156">
        <v>39.6</v>
      </c>
      <c r="H58" s="156">
        <v>579.86</v>
      </c>
      <c r="I58" s="156" t="s">
        <v>172</v>
      </c>
      <c r="J58" s="156" t="s">
        <v>172</v>
      </c>
      <c r="K58" s="157">
        <v>46168.2003009259</v>
      </c>
    </row>
    <row r="59" spans="1:11">
      <c r="A59" s="155"/>
      <c r="B59" s="156" t="s">
        <v>230</v>
      </c>
      <c r="C59" s="156" t="s">
        <v>171</v>
      </c>
      <c r="D59" s="156">
        <v>0</v>
      </c>
      <c r="E59" s="158" t="s">
        <v>172</v>
      </c>
      <c r="F59" s="158" t="s">
        <v>172</v>
      </c>
      <c r="G59" s="156" t="s">
        <v>172</v>
      </c>
      <c r="H59" s="156" t="s">
        <v>172</v>
      </c>
      <c r="I59" s="156" t="s">
        <v>172</v>
      </c>
      <c r="J59" s="156" t="s">
        <v>172</v>
      </c>
      <c r="K59" s="157">
        <v>46168.2110648148</v>
      </c>
    </row>
    <row r="60" spans="1:11">
      <c r="A60" s="155"/>
      <c r="B60" s="156" t="s">
        <v>231</v>
      </c>
      <c r="C60" s="156" t="s">
        <v>171</v>
      </c>
      <c r="D60" s="156">
        <v>0</v>
      </c>
      <c r="E60" s="158">
        <v>8.211</v>
      </c>
      <c r="F60" s="158">
        <v>159628</v>
      </c>
      <c r="G60" s="156">
        <v>26.82</v>
      </c>
      <c r="H60" s="156">
        <v>456.62</v>
      </c>
      <c r="I60" s="156" t="s">
        <v>172</v>
      </c>
      <c r="J60" s="156" t="s">
        <v>172</v>
      </c>
      <c r="K60" s="157">
        <v>46168.2217939815</v>
      </c>
    </row>
    <row r="61" spans="1:11">
      <c r="A61" s="155"/>
      <c r="B61" s="156" t="s">
        <v>232</v>
      </c>
      <c r="C61" s="156" t="s">
        <v>171</v>
      </c>
      <c r="D61" s="156">
        <v>0</v>
      </c>
      <c r="E61" s="158">
        <v>8.205</v>
      </c>
      <c r="F61" s="158">
        <v>159054</v>
      </c>
      <c r="G61" s="156">
        <v>26.73</v>
      </c>
      <c r="H61" s="156">
        <v>516.5</v>
      </c>
      <c r="I61" s="156" t="s">
        <v>172</v>
      </c>
      <c r="J61" s="156" t="s">
        <v>172</v>
      </c>
      <c r="K61" s="157">
        <v>46168.2325462963</v>
      </c>
    </row>
    <row r="62" spans="1:11">
      <c r="A62" s="155"/>
      <c r="B62" s="156" t="s">
        <v>233</v>
      </c>
      <c r="C62" s="156" t="s">
        <v>171</v>
      </c>
      <c r="D62" s="156">
        <v>0</v>
      </c>
      <c r="E62" s="158" t="s">
        <v>172</v>
      </c>
      <c r="F62" s="156" t="s">
        <v>172</v>
      </c>
      <c r="G62" s="156" t="s">
        <v>172</v>
      </c>
      <c r="H62" s="156" t="s">
        <v>172</v>
      </c>
      <c r="I62" s="156" t="s">
        <v>172</v>
      </c>
      <c r="J62" s="156" t="s">
        <v>172</v>
      </c>
      <c r="K62" s="157">
        <v>46168.243275463</v>
      </c>
    </row>
    <row r="63" spans="1:11">
      <c r="A63" s="155"/>
      <c r="B63" s="156" t="s">
        <v>234</v>
      </c>
      <c r="C63" s="156" t="s">
        <v>171</v>
      </c>
      <c r="D63" s="156">
        <v>0</v>
      </c>
      <c r="E63" s="158" t="s">
        <v>172</v>
      </c>
      <c r="F63" s="158" t="s">
        <v>172</v>
      </c>
      <c r="G63" s="156" t="s">
        <v>172</v>
      </c>
      <c r="H63" s="156" t="s">
        <v>172</v>
      </c>
      <c r="I63" s="156" t="s">
        <v>172</v>
      </c>
      <c r="J63" s="156" t="s">
        <v>172</v>
      </c>
      <c r="K63" s="157">
        <v>46168.2852662037</v>
      </c>
    </row>
    <row r="64" spans="1:11">
      <c r="A64" s="155"/>
      <c r="B64" s="156" t="s">
        <v>235</v>
      </c>
      <c r="C64" s="156" t="s">
        <v>171</v>
      </c>
      <c r="D64" s="156">
        <v>0</v>
      </c>
      <c r="E64" s="158">
        <v>8.207</v>
      </c>
      <c r="F64" s="158">
        <v>135306</v>
      </c>
      <c r="G64" s="156">
        <v>22.75</v>
      </c>
      <c r="H64" s="156">
        <v>569.67</v>
      </c>
      <c r="I64" s="156" t="s">
        <v>172</v>
      </c>
      <c r="J64" s="156" t="s">
        <v>172</v>
      </c>
      <c r="K64" s="157">
        <v>46168.3272685185</v>
      </c>
    </row>
    <row r="65" spans="1:11">
      <c r="A65" s="155"/>
      <c r="B65" s="156" t="s">
        <v>236</v>
      </c>
      <c r="C65" s="156" t="s">
        <v>171</v>
      </c>
      <c r="D65" s="156">
        <v>0</v>
      </c>
      <c r="E65" s="158">
        <v>8.203</v>
      </c>
      <c r="F65" s="158">
        <v>140894</v>
      </c>
      <c r="G65" s="156">
        <v>23.68</v>
      </c>
      <c r="H65" s="156">
        <v>409.89</v>
      </c>
      <c r="I65" s="156" t="s">
        <v>172</v>
      </c>
      <c r="J65" s="156" t="s">
        <v>172</v>
      </c>
      <c r="K65" s="157">
        <v>46168.3380208333</v>
      </c>
    </row>
    <row r="66" spans="1:11">
      <c r="A66" s="155"/>
      <c r="B66" s="156" t="s">
        <v>237</v>
      </c>
      <c r="C66" s="156" t="s">
        <v>171</v>
      </c>
      <c r="D66" s="156">
        <v>0</v>
      </c>
      <c r="E66" s="158" t="s">
        <v>172</v>
      </c>
      <c r="F66" s="156" t="s">
        <v>172</v>
      </c>
      <c r="G66" s="156" t="s">
        <v>172</v>
      </c>
      <c r="H66" s="156" t="s">
        <v>172</v>
      </c>
      <c r="I66" s="156" t="s">
        <v>172</v>
      </c>
      <c r="J66" s="156" t="s">
        <v>172</v>
      </c>
      <c r="K66" s="157">
        <v>46168.3487731482</v>
      </c>
    </row>
    <row r="67" spans="1:11">
      <c r="A67" s="155"/>
      <c r="B67" s="156" t="s">
        <v>238</v>
      </c>
      <c r="C67" s="156" t="s">
        <v>171</v>
      </c>
      <c r="D67" s="156">
        <v>0</v>
      </c>
      <c r="E67" s="156">
        <v>8.207</v>
      </c>
      <c r="F67" s="158">
        <v>141624</v>
      </c>
      <c r="G67" s="156">
        <v>23.81</v>
      </c>
      <c r="H67" s="156">
        <v>460.93</v>
      </c>
      <c r="I67" s="156" t="s">
        <v>172</v>
      </c>
      <c r="J67" s="156" t="s">
        <v>172</v>
      </c>
      <c r="K67" s="157">
        <v>46168.3907638889</v>
      </c>
    </row>
    <row r="68" spans="1:11">
      <c r="A68" s="155"/>
      <c r="B68" s="156" t="s">
        <v>239</v>
      </c>
      <c r="C68" s="156" t="s">
        <v>171</v>
      </c>
      <c r="D68" s="156">
        <v>0</v>
      </c>
      <c r="E68" s="158">
        <v>8.205</v>
      </c>
      <c r="F68" s="158">
        <v>148774</v>
      </c>
      <c r="G68" s="156">
        <v>25</v>
      </c>
      <c r="H68" s="156">
        <v>446.39</v>
      </c>
      <c r="I68" s="156" t="s">
        <v>172</v>
      </c>
      <c r="J68" s="156" t="s">
        <v>172</v>
      </c>
      <c r="K68" s="157">
        <v>46168.4014930556</v>
      </c>
    </row>
    <row r="69" spans="1:11">
      <c r="A69" s="136" t="s">
        <v>240</v>
      </c>
      <c r="B69" s="163" t="s">
        <v>170</v>
      </c>
      <c r="C69" s="163" t="s">
        <v>171</v>
      </c>
      <c r="D69" s="163">
        <v>0</v>
      </c>
      <c r="E69" s="163" t="s">
        <v>172</v>
      </c>
      <c r="F69" s="164" t="s">
        <v>172</v>
      </c>
      <c r="G69" s="163" t="s">
        <v>172</v>
      </c>
      <c r="H69" s="163" t="s">
        <v>172</v>
      </c>
      <c r="I69" s="163" t="s">
        <v>172</v>
      </c>
      <c r="J69" s="163" t="s">
        <v>172</v>
      </c>
      <c r="K69" s="165">
        <v>46168.4585763889</v>
      </c>
    </row>
    <row r="70" spans="1:11">
      <c r="A70" s="136"/>
      <c r="B70" s="163" t="s">
        <v>173</v>
      </c>
      <c r="C70" s="163" t="s">
        <v>171</v>
      </c>
      <c r="D70" s="163">
        <v>0</v>
      </c>
      <c r="E70" s="163" t="s">
        <v>172</v>
      </c>
      <c r="F70" s="164" t="s">
        <v>172</v>
      </c>
      <c r="G70" s="163" t="s">
        <v>172</v>
      </c>
      <c r="H70" s="163" t="s">
        <v>172</v>
      </c>
      <c r="I70" s="163" t="s">
        <v>172</v>
      </c>
      <c r="J70" s="163" t="s">
        <v>172</v>
      </c>
      <c r="K70" s="165">
        <v>46168.4693055556</v>
      </c>
    </row>
    <row r="71" spans="1:11">
      <c r="A71" s="136"/>
      <c r="B71" s="163" t="s">
        <v>174</v>
      </c>
      <c r="C71" s="163" t="s">
        <v>171</v>
      </c>
      <c r="D71" s="163">
        <v>0</v>
      </c>
      <c r="E71" s="163" t="s">
        <v>172</v>
      </c>
      <c r="F71" s="164" t="s">
        <v>172</v>
      </c>
      <c r="G71" s="163" t="s">
        <v>172</v>
      </c>
      <c r="H71" s="163" t="s">
        <v>172</v>
      </c>
      <c r="I71" s="163" t="s">
        <v>172</v>
      </c>
      <c r="J71" s="163" t="s">
        <v>172</v>
      </c>
      <c r="K71" s="165">
        <v>46168.4800462963</v>
      </c>
    </row>
    <row r="72" spans="1:11">
      <c r="A72" s="136"/>
      <c r="B72" s="163" t="s">
        <v>175</v>
      </c>
      <c r="C72" s="163" t="s">
        <v>171</v>
      </c>
      <c r="D72" s="163">
        <v>0</v>
      </c>
      <c r="E72" s="163" t="s">
        <v>172</v>
      </c>
      <c r="F72" s="164" t="s">
        <v>172</v>
      </c>
      <c r="G72" s="163" t="s">
        <v>172</v>
      </c>
      <c r="H72" s="163" t="s">
        <v>172</v>
      </c>
      <c r="I72" s="163" t="s">
        <v>172</v>
      </c>
      <c r="J72" s="163" t="s">
        <v>172</v>
      </c>
      <c r="K72" s="165">
        <v>46168.490775463</v>
      </c>
    </row>
    <row r="73" spans="1:11">
      <c r="A73" s="136"/>
      <c r="B73" s="163" t="s">
        <v>177</v>
      </c>
      <c r="C73" s="163" t="s">
        <v>171</v>
      </c>
      <c r="D73" s="163">
        <v>0</v>
      </c>
      <c r="E73" s="166">
        <v>8.208</v>
      </c>
      <c r="F73" s="164">
        <v>8276</v>
      </c>
      <c r="G73" s="163">
        <v>1.28</v>
      </c>
      <c r="H73" s="163">
        <v>36.18</v>
      </c>
      <c r="I73" s="163" t="s">
        <v>172</v>
      </c>
      <c r="J73" s="163" t="s">
        <v>172</v>
      </c>
      <c r="K73" s="165">
        <v>46168.5021412037</v>
      </c>
    </row>
    <row r="74" spans="1:11">
      <c r="A74" s="136"/>
      <c r="B74" s="163" t="s">
        <v>241</v>
      </c>
      <c r="C74" s="163" t="s">
        <v>171</v>
      </c>
      <c r="D74" s="163">
        <v>0</v>
      </c>
      <c r="E74" s="166">
        <v>8.204</v>
      </c>
      <c r="F74" s="164">
        <v>8063</v>
      </c>
      <c r="G74" s="163">
        <v>1.24</v>
      </c>
      <c r="H74" s="163">
        <v>32.75</v>
      </c>
      <c r="I74" s="163" t="s">
        <v>172</v>
      </c>
      <c r="J74" s="163" t="s">
        <v>172</v>
      </c>
      <c r="K74" s="165">
        <v>46168.5128819444</v>
      </c>
    </row>
    <row r="75" spans="1:11">
      <c r="A75" s="136"/>
      <c r="B75" s="167" t="s">
        <v>187</v>
      </c>
      <c r="C75" s="167" t="s">
        <v>188</v>
      </c>
      <c r="D75" s="167">
        <v>1</v>
      </c>
      <c r="E75" s="168">
        <v>8.206</v>
      </c>
      <c r="F75" s="169">
        <v>16439</v>
      </c>
      <c r="G75" s="167">
        <v>2.52</v>
      </c>
      <c r="H75" s="167">
        <v>51.97</v>
      </c>
      <c r="I75" s="167">
        <v>2.52</v>
      </c>
      <c r="J75" s="167">
        <v>100</v>
      </c>
      <c r="K75" s="170">
        <v>46168.5236111111</v>
      </c>
    </row>
    <row r="76" spans="1:11">
      <c r="A76" s="136"/>
      <c r="B76" s="167" t="s">
        <v>189</v>
      </c>
      <c r="C76" s="167" t="s">
        <v>188</v>
      </c>
      <c r="D76" s="167">
        <v>2</v>
      </c>
      <c r="E76" s="168">
        <v>8.204</v>
      </c>
      <c r="F76" s="169">
        <v>82784</v>
      </c>
      <c r="G76" s="167">
        <v>12.62</v>
      </c>
      <c r="H76" s="167">
        <v>338.73</v>
      </c>
      <c r="I76" s="167">
        <v>12.62</v>
      </c>
      <c r="J76" s="167">
        <v>100</v>
      </c>
      <c r="K76" s="170">
        <v>46168.5343402778</v>
      </c>
    </row>
    <row r="77" spans="1:11">
      <c r="A77" s="136"/>
      <c r="B77" s="167" t="s">
        <v>190</v>
      </c>
      <c r="C77" s="167" t="s">
        <v>188</v>
      </c>
      <c r="D77" s="167">
        <v>3</v>
      </c>
      <c r="E77" s="168">
        <v>8.204</v>
      </c>
      <c r="F77" s="169">
        <v>168669</v>
      </c>
      <c r="G77" s="167">
        <v>25.7</v>
      </c>
      <c r="H77" s="167">
        <v>486.97</v>
      </c>
      <c r="I77" s="167">
        <v>25.24</v>
      </c>
      <c r="J77" s="167">
        <v>101.8</v>
      </c>
      <c r="K77" s="170">
        <v>46168.5451041667</v>
      </c>
    </row>
    <row r="78" spans="1:11">
      <c r="A78" s="136"/>
      <c r="B78" s="167" t="s">
        <v>191</v>
      </c>
      <c r="C78" s="167" t="s">
        <v>188</v>
      </c>
      <c r="D78" s="167">
        <v>4</v>
      </c>
      <c r="E78" s="168">
        <v>8.206</v>
      </c>
      <c r="F78" s="169">
        <v>241097</v>
      </c>
      <c r="G78" s="167">
        <v>36.73</v>
      </c>
      <c r="H78" s="167">
        <v>473.53</v>
      </c>
      <c r="I78" s="167">
        <v>37.86</v>
      </c>
      <c r="J78" s="167">
        <v>97</v>
      </c>
      <c r="K78" s="170">
        <v>46168.5558449074</v>
      </c>
    </row>
    <row r="79" spans="1:11">
      <c r="A79" s="136"/>
      <c r="B79" s="167" t="s">
        <v>192</v>
      </c>
      <c r="C79" s="167" t="s">
        <v>188</v>
      </c>
      <c r="D79" s="167">
        <v>5</v>
      </c>
      <c r="E79" s="168">
        <v>8.204</v>
      </c>
      <c r="F79" s="169">
        <v>335328</v>
      </c>
      <c r="G79" s="167">
        <v>51.08</v>
      </c>
      <c r="H79" s="167">
        <v>777.85</v>
      </c>
      <c r="I79" s="167">
        <v>50.48</v>
      </c>
      <c r="J79" s="167">
        <v>101.2</v>
      </c>
      <c r="K79" s="170">
        <v>46168.5665856482</v>
      </c>
    </row>
    <row r="80" spans="1:11">
      <c r="A80" s="136"/>
      <c r="B80" s="163" t="s">
        <v>176</v>
      </c>
      <c r="C80" s="163" t="s">
        <v>171</v>
      </c>
      <c r="D80" s="163">
        <v>0</v>
      </c>
      <c r="E80" s="163" t="s">
        <v>172</v>
      </c>
      <c r="F80" s="164" t="s">
        <v>172</v>
      </c>
      <c r="G80" s="163" t="s">
        <v>172</v>
      </c>
      <c r="H80" s="163" t="s">
        <v>172</v>
      </c>
      <c r="I80" s="163" t="s">
        <v>172</v>
      </c>
      <c r="J80" s="163" t="s">
        <v>172</v>
      </c>
      <c r="K80" s="165">
        <v>46168.5773148148</v>
      </c>
    </row>
    <row r="81" spans="1:11">
      <c r="A81" s="136"/>
      <c r="B81" s="163" t="s">
        <v>186</v>
      </c>
      <c r="C81" s="163" t="s">
        <v>171</v>
      </c>
      <c r="D81" s="163">
        <v>0</v>
      </c>
      <c r="E81" s="163" t="s">
        <v>172</v>
      </c>
      <c r="F81" s="164" t="s">
        <v>172</v>
      </c>
      <c r="G81" s="163" t="s">
        <v>172</v>
      </c>
      <c r="H81" s="163" t="s">
        <v>172</v>
      </c>
      <c r="I81" s="163" t="s">
        <v>172</v>
      </c>
      <c r="J81" s="163" t="s">
        <v>172</v>
      </c>
      <c r="K81" s="165">
        <v>46168.5880324074</v>
      </c>
    </row>
    <row r="82" spans="1:11">
      <c r="A82" s="136"/>
      <c r="B82" s="163" t="s">
        <v>193</v>
      </c>
      <c r="C82" s="163" t="s">
        <v>171</v>
      </c>
      <c r="D82" s="163">
        <v>0</v>
      </c>
      <c r="E82" s="166" t="s">
        <v>172</v>
      </c>
      <c r="F82" s="164" t="s">
        <v>172</v>
      </c>
      <c r="G82" s="163" t="s">
        <v>172</v>
      </c>
      <c r="H82" s="163" t="s">
        <v>172</v>
      </c>
      <c r="I82" s="163" t="s">
        <v>172</v>
      </c>
      <c r="J82" s="163" t="s">
        <v>172</v>
      </c>
      <c r="K82" s="165">
        <v>46168.5987847222</v>
      </c>
    </row>
    <row r="83" spans="1:11">
      <c r="A83" s="136"/>
      <c r="B83" s="163" t="s">
        <v>242</v>
      </c>
      <c r="C83" s="163" t="s">
        <v>171</v>
      </c>
      <c r="D83" s="163">
        <v>0</v>
      </c>
      <c r="E83" s="166" t="s">
        <v>172</v>
      </c>
      <c r="F83" s="164" t="s">
        <v>172</v>
      </c>
      <c r="G83" s="163" t="s">
        <v>172</v>
      </c>
      <c r="H83" s="163" t="s">
        <v>172</v>
      </c>
      <c r="I83" s="163" t="s">
        <v>172</v>
      </c>
      <c r="J83" s="163" t="s">
        <v>172</v>
      </c>
      <c r="K83" s="165">
        <v>46168.6095601852</v>
      </c>
    </row>
    <row r="84" spans="1:11">
      <c r="A84" s="136"/>
      <c r="B84" s="163" t="s">
        <v>243</v>
      </c>
      <c r="C84" s="163" t="s">
        <v>171</v>
      </c>
      <c r="D84" s="163">
        <v>0</v>
      </c>
      <c r="E84" s="166">
        <v>8.203</v>
      </c>
      <c r="F84" s="164">
        <v>163004</v>
      </c>
      <c r="G84" s="163">
        <v>24.84</v>
      </c>
      <c r="H84" s="163">
        <v>396.39</v>
      </c>
      <c r="I84" s="163" t="s">
        <v>172</v>
      </c>
      <c r="J84" s="163" t="s">
        <v>172</v>
      </c>
      <c r="K84" s="165">
        <v>46168.6202893518</v>
      </c>
    </row>
    <row r="85" spans="1:11">
      <c r="A85" s="136"/>
      <c r="B85" s="163" t="s">
        <v>244</v>
      </c>
      <c r="C85" s="163" t="s">
        <v>171</v>
      </c>
      <c r="D85" s="163">
        <v>0</v>
      </c>
      <c r="E85" s="166">
        <v>8.205</v>
      </c>
      <c r="F85" s="164">
        <v>163605</v>
      </c>
      <c r="G85" s="163">
        <v>24.93</v>
      </c>
      <c r="H85" s="163">
        <v>396.65</v>
      </c>
      <c r="I85" s="163" t="s">
        <v>172</v>
      </c>
      <c r="J85" s="163" t="s">
        <v>172</v>
      </c>
      <c r="K85" s="165">
        <v>46168.6310185185</v>
      </c>
    </row>
    <row r="86" spans="1:11">
      <c r="A86" s="136"/>
      <c r="B86" s="163" t="s">
        <v>245</v>
      </c>
      <c r="C86" s="163" t="s">
        <v>171</v>
      </c>
      <c r="D86" s="163">
        <v>0</v>
      </c>
      <c r="E86" s="166">
        <v>8.205</v>
      </c>
      <c r="F86" s="164">
        <v>158276</v>
      </c>
      <c r="G86" s="163">
        <v>24.12</v>
      </c>
      <c r="H86" s="163">
        <v>486.52</v>
      </c>
      <c r="I86" s="163" t="s">
        <v>172</v>
      </c>
      <c r="J86" s="163" t="s">
        <v>172</v>
      </c>
      <c r="K86" s="165">
        <v>46168.6417476852</v>
      </c>
    </row>
    <row r="87" spans="1:11">
      <c r="A87" s="136"/>
      <c r="B87" s="163" t="s">
        <v>246</v>
      </c>
      <c r="C87" s="163" t="s">
        <v>171</v>
      </c>
      <c r="D87" s="163">
        <v>0</v>
      </c>
      <c r="E87" s="166">
        <v>8.208</v>
      </c>
      <c r="F87" s="164">
        <v>163114</v>
      </c>
      <c r="G87" s="163">
        <v>24.85</v>
      </c>
      <c r="H87" s="163">
        <v>458.03</v>
      </c>
      <c r="I87" s="163" t="s">
        <v>172</v>
      </c>
      <c r="J87" s="163" t="s">
        <v>172</v>
      </c>
      <c r="K87" s="165">
        <v>46168.6524768519</v>
      </c>
    </row>
    <row r="88" spans="1:11">
      <c r="A88" s="136"/>
      <c r="B88" s="163" t="s">
        <v>247</v>
      </c>
      <c r="C88" s="163" t="s">
        <v>171</v>
      </c>
      <c r="D88" s="163">
        <v>0</v>
      </c>
      <c r="E88" s="166">
        <v>8.209</v>
      </c>
      <c r="F88" s="164">
        <v>169480</v>
      </c>
      <c r="G88" s="163">
        <v>25.82</v>
      </c>
      <c r="H88" s="163">
        <v>485</v>
      </c>
      <c r="I88" s="163" t="s">
        <v>172</v>
      </c>
      <c r="J88" s="163" t="s">
        <v>172</v>
      </c>
      <c r="K88" s="165">
        <v>46168.6632060185</v>
      </c>
    </row>
    <row r="89" spans="1:11">
      <c r="A89" s="136"/>
      <c r="B89" s="163" t="s">
        <v>248</v>
      </c>
      <c r="C89" s="163" t="s">
        <v>171</v>
      </c>
      <c r="D89" s="163">
        <v>0</v>
      </c>
      <c r="E89" s="163">
        <v>8.204</v>
      </c>
      <c r="F89" s="164">
        <v>167314</v>
      </c>
      <c r="G89" s="163">
        <v>25.49</v>
      </c>
      <c r="H89" s="163">
        <v>476.19</v>
      </c>
      <c r="I89" s="163" t="s">
        <v>172</v>
      </c>
      <c r="J89" s="163" t="s">
        <v>172</v>
      </c>
      <c r="K89" s="165">
        <v>46168.6739351852</v>
      </c>
    </row>
    <row r="90" spans="1:11">
      <c r="A90" s="136"/>
      <c r="B90" s="163" t="s">
        <v>249</v>
      </c>
      <c r="C90" s="163" t="s">
        <v>171</v>
      </c>
      <c r="D90" s="163">
        <v>0</v>
      </c>
      <c r="E90" s="163">
        <v>8.206</v>
      </c>
      <c r="F90" s="164">
        <v>165882</v>
      </c>
      <c r="G90" s="163">
        <v>25.28</v>
      </c>
      <c r="H90" s="163">
        <v>483.96</v>
      </c>
      <c r="I90" s="163" t="s">
        <v>172</v>
      </c>
      <c r="J90" s="163" t="s">
        <v>172</v>
      </c>
      <c r="K90" s="165">
        <v>46168.6846759259</v>
      </c>
    </row>
    <row r="91" spans="1:11">
      <c r="A91" s="136"/>
      <c r="B91" s="163" t="s">
        <v>197</v>
      </c>
      <c r="C91" s="163" t="s">
        <v>171</v>
      </c>
      <c r="D91" s="163">
        <v>0</v>
      </c>
      <c r="E91" s="163" t="s">
        <v>172</v>
      </c>
      <c r="F91" s="164" t="s">
        <v>172</v>
      </c>
      <c r="G91" s="163" t="s">
        <v>172</v>
      </c>
      <c r="H91" s="163" t="s">
        <v>172</v>
      </c>
      <c r="I91" s="163" t="s">
        <v>172</v>
      </c>
      <c r="J91" s="163" t="s">
        <v>172</v>
      </c>
      <c r="K91" s="165">
        <v>46168.6954050926</v>
      </c>
    </row>
    <row r="92" spans="1:11">
      <c r="A92" s="136"/>
      <c r="B92" s="163" t="s">
        <v>200</v>
      </c>
      <c r="C92" s="163" t="s">
        <v>171</v>
      </c>
      <c r="D92" s="163">
        <v>0</v>
      </c>
      <c r="E92" s="163" t="s">
        <v>172</v>
      </c>
      <c r="F92" s="164" t="s">
        <v>172</v>
      </c>
      <c r="G92" s="163" t="s">
        <v>172</v>
      </c>
      <c r="H92" s="163" t="s">
        <v>172</v>
      </c>
      <c r="I92" s="163" t="s">
        <v>172</v>
      </c>
      <c r="J92" s="163" t="s">
        <v>172</v>
      </c>
      <c r="K92" s="165">
        <v>46168.7061342593</v>
      </c>
    </row>
    <row r="93" spans="1:11">
      <c r="A93" s="136"/>
      <c r="B93" s="163" t="s">
        <v>212</v>
      </c>
      <c r="C93" s="163" t="s">
        <v>171</v>
      </c>
      <c r="D93" s="163">
        <v>0</v>
      </c>
      <c r="E93" s="163" t="s">
        <v>172</v>
      </c>
      <c r="F93" s="164" t="s">
        <v>172</v>
      </c>
      <c r="G93" s="163" t="s">
        <v>172</v>
      </c>
      <c r="H93" s="163" t="s">
        <v>172</v>
      </c>
      <c r="I93" s="163" t="s">
        <v>172</v>
      </c>
      <c r="J93" s="163" t="s">
        <v>172</v>
      </c>
      <c r="K93" s="165">
        <v>46168.7168518519</v>
      </c>
    </row>
    <row r="94" spans="1:11">
      <c r="A94" s="136"/>
      <c r="B94" s="163" t="s">
        <v>219</v>
      </c>
      <c r="C94" s="163" t="s">
        <v>171</v>
      </c>
      <c r="D94" s="163">
        <v>0</v>
      </c>
      <c r="E94" s="163" t="s">
        <v>172</v>
      </c>
      <c r="F94" s="164" t="s">
        <v>172</v>
      </c>
      <c r="G94" s="163" t="s">
        <v>172</v>
      </c>
      <c r="H94" s="163" t="s">
        <v>172</v>
      </c>
      <c r="I94" s="163" t="s">
        <v>172</v>
      </c>
      <c r="J94" s="163" t="s">
        <v>172</v>
      </c>
      <c r="K94" s="165">
        <v>46168.7275810185</v>
      </c>
    </row>
    <row r="95" spans="1:11">
      <c r="A95" s="136"/>
      <c r="B95" s="163" t="s">
        <v>250</v>
      </c>
      <c r="C95" s="163" t="s">
        <v>171</v>
      </c>
      <c r="D95" s="163">
        <v>0</v>
      </c>
      <c r="E95" s="163" t="s">
        <v>172</v>
      </c>
      <c r="F95" s="164" t="s">
        <v>172</v>
      </c>
      <c r="G95" s="163" t="s">
        <v>172</v>
      </c>
      <c r="H95" s="163" t="s">
        <v>172</v>
      </c>
      <c r="I95" s="163" t="s">
        <v>172</v>
      </c>
      <c r="J95" s="163" t="s">
        <v>172</v>
      </c>
      <c r="K95" s="165">
        <v>46168.7383101852</v>
      </c>
    </row>
    <row r="96" spans="1:11">
      <c r="A96" s="136"/>
      <c r="B96" s="163" t="s">
        <v>251</v>
      </c>
      <c r="C96" s="163" t="s">
        <v>171</v>
      </c>
      <c r="D96" s="163">
        <v>0</v>
      </c>
      <c r="E96" s="163" t="s">
        <v>172</v>
      </c>
      <c r="F96" s="164" t="s">
        <v>172</v>
      </c>
      <c r="G96" s="163" t="s">
        <v>172</v>
      </c>
      <c r="H96" s="163" t="s">
        <v>172</v>
      </c>
      <c r="I96" s="163" t="s">
        <v>172</v>
      </c>
      <c r="J96" s="163" t="s">
        <v>172</v>
      </c>
      <c r="K96" s="165">
        <v>46168.7490393519</v>
      </c>
    </row>
    <row r="97" spans="1:11">
      <c r="A97" s="136"/>
      <c r="B97" s="163" t="s">
        <v>252</v>
      </c>
      <c r="C97" s="163" t="s">
        <v>171</v>
      </c>
      <c r="D97" s="163">
        <v>0</v>
      </c>
      <c r="E97" s="163" t="s">
        <v>172</v>
      </c>
      <c r="F97" s="164" t="s">
        <v>172</v>
      </c>
      <c r="G97" s="163" t="s">
        <v>172</v>
      </c>
      <c r="H97" s="163" t="s">
        <v>172</v>
      </c>
      <c r="I97" s="163" t="s">
        <v>172</v>
      </c>
      <c r="J97" s="163" t="s">
        <v>172</v>
      </c>
      <c r="K97" s="165">
        <v>46168.7597685185</v>
      </c>
    </row>
    <row r="98" spans="1:11">
      <c r="A98" s="136"/>
      <c r="B98" s="163" t="s">
        <v>253</v>
      </c>
      <c r="C98" s="163" t="s">
        <v>171</v>
      </c>
      <c r="D98" s="163">
        <v>0</v>
      </c>
      <c r="E98" s="163" t="s">
        <v>172</v>
      </c>
      <c r="F98" s="164" t="s">
        <v>172</v>
      </c>
      <c r="G98" s="163" t="s">
        <v>172</v>
      </c>
      <c r="H98" s="163" t="s">
        <v>172</v>
      </c>
      <c r="I98" s="163" t="s">
        <v>172</v>
      </c>
      <c r="J98" s="163" t="s">
        <v>172</v>
      </c>
      <c r="K98" s="165">
        <v>46168.7705092593</v>
      </c>
    </row>
    <row r="99" spans="1:11">
      <c r="A99" s="136"/>
      <c r="B99" s="163" t="s">
        <v>254</v>
      </c>
      <c r="C99" s="163" t="s">
        <v>171</v>
      </c>
      <c r="D99" s="163">
        <v>0</v>
      </c>
      <c r="E99" s="163" t="s">
        <v>172</v>
      </c>
      <c r="F99" s="164" t="s">
        <v>172</v>
      </c>
      <c r="G99" s="163" t="s">
        <v>172</v>
      </c>
      <c r="H99" s="163" t="s">
        <v>172</v>
      </c>
      <c r="I99" s="163" t="s">
        <v>172</v>
      </c>
      <c r="J99" s="163" t="s">
        <v>172</v>
      </c>
      <c r="K99" s="165">
        <v>46168.7812384259</v>
      </c>
    </row>
    <row r="100" spans="1:11">
      <c r="A100" s="136"/>
      <c r="B100" s="163" t="s">
        <v>255</v>
      </c>
      <c r="C100" s="163" t="s">
        <v>171</v>
      </c>
      <c r="D100" s="163">
        <v>0</v>
      </c>
      <c r="E100" s="163" t="s">
        <v>172</v>
      </c>
      <c r="F100" s="164" t="s">
        <v>172</v>
      </c>
      <c r="G100" s="163" t="s">
        <v>172</v>
      </c>
      <c r="H100" s="163" t="s">
        <v>172</v>
      </c>
      <c r="I100" s="163" t="s">
        <v>172</v>
      </c>
      <c r="J100" s="163" t="s">
        <v>172</v>
      </c>
      <c r="K100" s="165">
        <v>46168.7919444444</v>
      </c>
    </row>
    <row r="101" spans="1:11">
      <c r="A101" s="136"/>
      <c r="B101" s="163" t="s">
        <v>256</v>
      </c>
      <c r="C101" s="163" t="s">
        <v>171</v>
      </c>
      <c r="D101" s="163">
        <v>0</v>
      </c>
      <c r="E101" s="166" t="s">
        <v>172</v>
      </c>
      <c r="F101" s="164" t="s">
        <v>172</v>
      </c>
      <c r="G101" s="163" t="s">
        <v>172</v>
      </c>
      <c r="H101" s="163" t="s">
        <v>172</v>
      </c>
      <c r="I101" s="163" t="s">
        <v>172</v>
      </c>
      <c r="J101" s="163" t="s">
        <v>172</v>
      </c>
      <c r="K101" s="165">
        <v>46168.8026851852</v>
      </c>
    </row>
    <row r="102" spans="1:11">
      <c r="A102" s="136"/>
      <c r="B102" s="163" t="s">
        <v>257</v>
      </c>
      <c r="C102" s="163" t="s">
        <v>171</v>
      </c>
      <c r="D102" s="163">
        <v>0</v>
      </c>
      <c r="E102" s="166" t="s">
        <v>172</v>
      </c>
      <c r="F102" s="164" t="s">
        <v>172</v>
      </c>
      <c r="G102" s="163" t="s">
        <v>172</v>
      </c>
      <c r="H102" s="163" t="s">
        <v>172</v>
      </c>
      <c r="I102" s="163" t="s">
        <v>172</v>
      </c>
      <c r="J102" s="163" t="s">
        <v>172</v>
      </c>
      <c r="K102" s="165">
        <v>46168.8134143519</v>
      </c>
    </row>
    <row r="103" spans="1:11">
      <c r="A103" s="136"/>
      <c r="B103" s="163" t="s">
        <v>258</v>
      </c>
      <c r="C103" s="163" t="s">
        <v>171</v>
      </c>
      <c r="D103" s="163">
        <v>0</v>
      </c>
      <c r="E103" s="166" t="s">
        <v>172</v>
      </c>
      <c r="F103" s="164" t="s">
        <v>172</v>
      </c>
      <c r="G103" s="163" t="s">
        <v>172</v>
      </c>
      <c r="H103" s="163" t="s">
        <v>172</v>
      </c>
      <c r="I103" s="163" t="s">
        <v>172</v>
      </c>
      <c r="J103" s="163" t="s">
        <v>172</v>
      </c>
      <c r="K103" s="165">
        <v>46168.8241435185</v>
      </c>
    </row>
  </sheetData>
  <mergeCells count="2">
    <mergeCell ref="A2:A68"/>
    <mergeCell ref="A69:A103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/>
  <dimension ref="A1:K103"/>
  <sheetViews>
    <sheetView workbookViewId="0">
      <selection activeCell="F21" sqref="A1:K103"/>
    </sheetView>
  </sheetViews>
  <sheetFormatPr defaultColWidth="9.02654867256637" defaultRowHeight="13.5"/>
  <sheetData>
    <row r="1" spans="1:11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</row>
    <row r="2" spans="1:11">
      <c r="A2" s="155" t="s">
        <v>169</v>
      </c>
      <c r="B2" s="156" t="s">
        <v>170</v>
      </c>
      <c r="C2" s="156" t="s">
        <v>171</v>
      </c>
      <c r="D2" s="156">
        <v>0</v>
      </c>
      <c r="E2" s="156" t="s">
        <v>172</v>
      </c>
      <c r="F2" s="156" t="s">
        <v>172</v>
      </c>
      <c r="G2" s="156" t="s">
        <v>172</v>
      </c>
      <c r="H2" s="156" t="s">
        <v>172</v>
      </c>
      <c r="I2" s="156" t="s">
        <v>172</v>
      </c>
      <c r="J2" s="156" t="s">
        <v>172</v>
      </c>
      <c r="K2" s="157">
        <v>46167.5978819444</v>
      </c>
    </row>
    <row r="3" spans="1:11">
      <c r="A3" s="155"/>
      <c r="B3" s="156" t="s">
        <v>173</v>
      </c>
      <c r="C3" s="156" t="s">
        <v>171</v>
      </c>
      <c r="D3" s="156">
        <v>0</v>
      </c>
      <c r="E3" s="156" t="s">
        <v>172</v>
      </c>
      <c r="F3" s="156" t="s">
        <v>172</v>
      </c>
      <c r="G3" s="156" t="s">
        <v>172</v>
      </c>
      <c r="H3" s="156" t="s">
        <v>172</v>
      </c>
      <c r="I3" s="156" t="s">
        <v>172</v>
      </c>
      <c r="J3" s="156" t="s">
        <v>172</v>
      </c>
      <c r="K3" s="157">
        <v>46167.6097916667</v>
      </c>
    </row>
    <row r="4" spans="1:11">
      <c r="A4" s="155"/>
      <c r="B4" s="156" t="s">
        <v>174</v>
      </c>
      <c r="C4" s="156" t="s">
        <v>171</v>
      </c>
      <c r="D4" s="156">
        <v>0</v>
      </c>
      <c r="E4" s="158" t="s">
        <v>172</v>
      </c>
      <c r="F4" s="156" t="s">
        <v>172</v>
      </c>
      <c r="G4" s="156" t="s">
        <v>172</v>
      </c>
      <c r="H4" s="156" t="s">
        <v>172</v>
      </c>
      <c r="I4" s="156" t="s">
        <v>172</v>
      </c>
      <c r="J4" s="156" t="s">
        <v>172</v>
      </c>
      <c r="K4" s="157">
        <v>46167.6205324074</v>
      </c>
    </row>
    <row r="5" spans="1:11">
      <c r="A5" s="155"/>
      <c r="B5" s="156" t="s">
        <v>175</v>
      </c>
      <c r="C5" s="156" t="s">
        <v>171</v>
      </c>
      <c r="D5" s="156">
        <v>0</v>
      </c>
      <c r="E5" s="158" t="s">
        <v>172</v>
      </c>
      <c r="F5" s="156" t="s">
        <v>172</v>
      </c>
      <c r="G5" s="156" t="s">
        <v>172</v>
      </c>
      <c r="H5" s="156" t="s">
        <v>172</v>
      </c>
      <c r="I5" s="156" t="s">
        <v>172</v>
      </c>
      <c r="J5" s="156" t="s">
        <v>172</v>
      </c>
      <c r="K5" s="157">
        <v>46167.6312731481</v>
      </c>
    </row>
    <row r="6" spans="1:11">
      <c r="A6" s="155"/>
      <c r="B6" s="156" t="s">
        <v>176</v>
      </c>
      <c r="C6" s="156" t="s">
        <v>171</v>
      </c>
      <c r="D6" s="156">
        <v>0</v>
      </c>
      <c r="E6" s="158" t="s">
        <v>172</v>
      </c>
      <c r="F6" s="158" t="s">
        <v>172</v>
      </c>
      <c r="G6" s="156" t="s">
        <v>172</v>
      </c>
      <c r="H6" s="156" t="s">
        <v>172</v>
      </c>
      <c r="I6" s="156" t="s">
        <v>172</v>
      </c>
      <c r="J6" s="156" t="s">
        <v>172</v>
      </c>
      <c r="K6" s="157">
        <v>46167.642025463</v>
      </c>
    </row>
    <row r="7" spans="1:11">
      <c r="A7" s="155"/>
      <c r="B7" s="156" t="s">
        <v>177</v>
      </c>
      <c r="C7" s="156" t="s">
        <v>171</v>
      </c>
      <c r="D7" s="156">
        <v>0</v>
      </c>
      <c r="E7" s="158">
        <v>8.216</v>
      </c>
      <c r="F7" s="158">
        <v>6495</v>
      </c>
      <c r="G7" s="156">
        <v>1.15</v>
      </c>
      <c r="H7" s="156">
        <v>27.36</v>
      </c>
      <c r="I7" s="156" t="s">
        <v>172</v>
      </c>
      <c r="J7" s="156" t="s">
        <v>172</v>
      </c>
      <c r="K7" s="157">
        <v>46167.6527777778</v>
      </c>
    </row>
    <row r="8" spans="1:11">
      <c r="A8" s="155"/>
      <c r="B8" s="156" t="s">
        <v>178</v>
      </c>
      <c r="C8" s="156" t="s">
        <v>171</v>
      </c>
      <c r="D8" s="156">
        <v>0</v>
      </c>
      <c r="E8" s="158">
        <v>8.211</v>
      </c>
      <c r="F8" s="158">
        <v>134250</v>
      </c>
      <c r="G8" s="156">
        <v>22.57</v>
      </c>
      <c r="H8" s="156">
        <v>387.18</v>
      </c>
      <c r="I8" s="156" t="s">
        <v>172</v>
      </c>
      <c r="J8" s="156" t="s">
        <v>172</v>
      </c>
      <c r="K8" s="157">
        <v>46167.6635069444</v>
      </c>
    </row>
    <row r="9" spans="1:11">
      <c r="A9" s="155"/>
      <c r="B9" s="156" t="s">
        <v>179</v>
      </c>
      <c r="C9" s="156" t="s">
        <v>171</v>
      </c>
      <c r="D9" s="156">
        <v>0</v>
      </c>
      <c r="E9" s="158">
        <v>8.211</v>
      </c>
      <c r="F9" s="158">
        <v>136126</v>
      </c>
      <c r="G9" s="156">
        <v>22.88</v>
      </c>
      <c r="H9" s="156">
        <v>402.62</v>
      </c>
      <c r="I9" s="156" t="s">
        <v>172</v>
      </c>
      <c r="J9" s="156" t="s">
        <v>172</v>
      </c>
      <c r="K9" s="157">
        <v>46167.6742361111</v>
      </c>
    </row>
    <row r="10" spans="1:11">
      <c r="A10" s="155"/>
      <c r="B10" s="156" t="s">
        <v>180</v>
      </c>
      <c r="C10" s="156" t="s">
        <v>171</v>
      </c>
      <c r="D10" s="156">
        <v>0</v>
      </c>
      <c r="E10" s="158">
        <v>8.212</v>
      </c>
      <c r="F10" s="158">
        <v>136734</v>
      </c>
      <c r="G10" s="156">
        <v>22.99</v>
      </c>
      <c r="H10" s="156">
        <v>405.09</v>
      </c>
      <c r="I10" s="156" t="s">
        <v>172</v>
      </c>
      <c r="J10" s="156" t="s">
        <v>172</v>
      </c>
      <c r="K10" s="157">
        <v>46167.6849537037</v>
      </c>
    </row>
    <row r="11" spans="1:11">
      <c r="A11" s="155"/>
      <c r="B11" s="156" t="s">
        <v>181</v>
      </c>
      <c r="C11" s="156" t="s">
        <v>171</v>
      </c>
      <c r="D11" s="156">
        <v>0</v>
      </c>
      <c r="E11" s="158">
        <v>8.212</v>
      </c>
      <c r="F11" s="158">
        <v>141748</v>
      </c>
      <c r="G11" s="156">
        <v>23.83</v>
      </c>
      <c r="H11" s="156">
        <v>443.9</v>
      </c>
      <c r="I11" s="156" t="s">
        <v>172</v>
      </c>
      <c r="J11" s="156" t="s">
        <v>172</v>
      </c>
      <c r="K11" s="157">
        <v>46167.6956828704</v>
      </c>
    </row>
    <row r="12" spans="1:11">
      <c r="A12" s="155"/>
      <c r="B12" s="156" t="s">
        <v>182</v>
      </c>
      <c r="C12" s="156" t="s">
        <v>171</v>
      </c>
      <c r="D12" s="156">
        <v>0</v>
      </c>
      <c r="E12" s="158">
        <v>8.209</v>
      </c>
      <c r="F12" s="158">
        <v>143948</v>
      </c>
      <c r="G12" s="156">
        <v>24.2</v>
      </c>
      <c r="H12" s="156">
        <v>420.61</v>
      </c>
      <c r="I12" s="156" t="s">
        <v>172</v>
      </c>
      <c r="J12" s="156" t="s">
        <v>172</v>
      </c>
      <c r="K12" s="157">
        <v>46167.7064699074</v>
      </c>
    </row>
    <row r="13" spans="1:11">
      <c r="A13" s="155"/>
      <c r="B13" s="156" t="s">
        <v>183</v>
      </c>
      <c r="C13" s="156" t="s">
        <v>171</v>
      </c>
      <c r="D13" s="156">
        <v>0</v>
      </c>
      <c r="E13" s="158">
        <v>8.21</v>
      </c>
      <c r="F13" s="158">
        <v>140876</v>
      </c>
      <c r="G13" s="156">
        <v>23.68</v>
      </c>
      <c r="H13" s="156">
        <v>343.65</v>
      </c>
      <c r="I13" s="156" t="s">
        <v>172</v>
      </c>
      <c r="J13" s="156" t="s">
        <v>172</v>
      </c>
      <c r="K13" s="157">
        <v>46167.7171990741</v>
      </c>
    </row>
    <row r="14" spans="1:11">
      <c r="A14" s="155"/>
      <c r="B14" s="156" t="s">
        <v>184</v>
      </c>
      <c r="C14" s="156" t="s">
        <v>171</v>
      </c>
      <c r="D14" s="156">
        <v>0</v>
      </c>
      <c r="E14" s="158">
        <v>8.205</v>
      </c>
      <c r="F14" s="158">
        <v>143006</v>
      </c>
      <c r="G14" s="156">
        <v>24.04</v>
      </c>
      <c r="H14" s="156">
        <v>558.34</v>
      </c>
      <c r="I14" s="156" t="s">
        <v>172</v>
      </c>
      <c r="J14" s="156" t="s">
        <v>172</v>
      </c>
      <c r="K14" s="157">
        <v>46167.7279282407</v>
      </c>
    </row>
    <row r="15" spans="1:11">
      <c r="A15" s="155"/>
      <c r="B15" s="156" t="s">
        <v>185</v>
      </c>
      <c r="C15" s="156" t="s">
        <v>171</v>
      </c>
      <c r="D15" s="156">
        <v>0</v>
      </c>
      <c r="E15" s="158">
        <v>8.208</v>
      </c>
      <c r="F15" s="158">
        <v>143129</v>
      </c>
      <c r="G15" s="156">
        <v>24.06</v>
      </c>
      <c r="H15" s="156">
        <v>500.99</v>
      </c>
      <c r="I15" s="156" t="s">
        <v>172</v>
      </c>
      <c r="J15" s="156" t="s">
        <v>172</v>
      </c>
      <c r="K15" s="157">
        <v>46167.7386805556</v>
      </c>
    </row>
    <row r="16" spans="1:11">
      <c r="A16" s="155"/>
      <c r="B16" s="156" t="s">
        <v>186</v>
      </c>
      <c r="C16" s="156" t="s">
        <v>171</v>
      </c>
      <c r="D16" s="156">
        <v>0</v>
      </c>
      <c r="E16" s="158" t="s">
        <v>172</v>
      </c>
      <c r="F16" s="158" t="s">
        <v>172</v>
      </c>
      <c r="G16" s="156" t="s">
        <v>172</v>
      </c>
      <c r="H16" s="156" t="s">
        <v>172</v>
      </c>
      <c r="I16" s="156" t="s">
        <v>172</v>
      </c>
      <c r="J16" s="156" t="s">
        <v>172</v>
      </c>
      <c r="K16" s="157">
        <v>46167.7494097222</v>
      </c>
    </row>
    <row r="17" spans="1:11">
      <c r="A17" s="155"/>
      <c r="B17" s="159" t="s">
        <v>187</v>
      </c>
      <c r="C17" s="159" t="s">
        <v>188</v>
      </c>
      <c r="D17" s="159">
        <v>1</v>
      </c>
      <c r="E17" s="160">
        <v>8.206</v>
      </c>
      <c r="F17" s="160">
        <v>14889</v>
      </c>
      <c r="G17" s="159">
        <v>2.56</v>
      </c>
      <c r="H17" s="159">
        <v>60.15</v>
      </c>
      <c r="I17" s="159">
        <v>2.57</v>
      </c>
      <c r="J17" s="159">
        <v>99.6</v>
      </c>
      <c r="K17" s="161">
        <v>46167.7601388889</v>
      </c>
    </row>
    <row r="18" spans="1:11">
      <c r="A18" s="155"/>
      <c r="B18" s="159" t="s">
        <v>189</v>
      </c>
      <c r="C18" s="159" t="s">
        <v>188</v>
      </c>
      <c r="D18" s="159">
        <v>2</v>
      </c>
      <c r="E18" s="160">
        <v>8.211</v>
      </c>
      <c r="F18" s="160">
        <v>78112</v>
      </c>
      <c r="G18" s="159">
        <v>13.16</v>
      </c>
      <c r="H18" s="159">
        <v>289.34</v>
      </c>
      <c r="I18" s="159">
        <v>12.84</v>
      </c>
      <c r="J18" s="159">
        <v>102.5</v>
      </c>
      <c r="K18" s="161">
        <v>46167.7708680556</v>
      </c>
    </row>
    <row r="19" spans="1:11">
      <c r="A19" s="155"/>
      <c r="B19" s="159" t="s">
        <v>190</v>
      </c>
      <c r="C19" s="159" t="s">
        <v>188</v>
      </c>
      <c r="D19" s="159">
        <v>3</v>
      </c>
      <c r="E19" s="160">
        <v>8.205</v>
      </c>
      <c r="F19" s="160">
        <v>152417</v>
      </c>
      <c r="G19" s="159">
        <v>25.62</v>
      </c>
      <c r="H19" s="162">
        <v>493.47</v>
      </c>
      <c r="I19" s="159">
        <v>25.68</v>
      </c>
      <c r="J19" s="159">
        <v>99.7</v>
      </c>
      <c r="K19" s="161">
        <v>46167.7816087963</v>
      </c>
    </row>
    <row r="20" spans="1:11">
      <c r="A20" s="155"/>
      <c r="B20" s="159" t="s">
        <v>191</v>
      </c>
      <c r="C20" s="159" t="s">
        <v>188</v>
      </c>
      <c r="D20" s="159">
        <v>4</v>
      </c>
      <c r="E20" s="160">
        <v>8.213</v>
      </c>
      <c r="F20" s="160">
        <v>227051</v>
      </c>
      <c r="G20" s="159">
        <v>38.13</v>
      </c>
      <c r="H20" s="162">
        <v>627.68</v>
      </c>
      <c r="I20" s="159">
        <v>38.51</v>
      </c>
      <c r="J20" s="159">
        <v>99</v>
      </c>
      <c r="K20" s="161">
        <v>46167.7923611111</v>
      </c>
    </row>
    <row r="21" spans="1:11">
      <c r="A21" s="155"/>
      <c r="B21" s="159" t="s">
        <v>192</v>
      </c>
      <c r="C21" s="159" t="s">
        <v>188</v>
      </c>
      <c r="D21" s="159">
        <v>5</v>
      </c>
      <c r="E21" s="160">
        <v>8.205</v>
      </c>
      <c r="F21" s="160">
        <v>303254</v>
      </c>
      <c r="G21" s="159">
        <v>50.9</v>
      </c>
      <c r="H21" s="159">
        <v>657.92</v>
      </c>
      <c r="I21" s="159">
        <v>51.35</v>
      </c>
      <c r="J21" s="159">
        <v>99.1</v>
      </c>
      <c r="K21" s="161">
        <v>46167.8030671296</v>
      </c>
    </row>
    <row r="22" spans="1:11">
      <c r="A22" s="155"/>
      <c r="B22" s="156" t="s">
        <v>193</v>
      </c>
      <c r="C22" s="156" t="s">
        <v>171</v>
      </c>
      <c r="D22" s="156">
        <v>0</v>
      </c>
      <c r="E22" s="158" t="s">
        <v>172</v>
      </c>
      <c r="F22" s="158" t="s">
        <v>172</v>
      </c>
      <c r="G22" s="156" t="s">
        <v>172</v>
      </c>
      <c r="H22" s="156" t="s">
        <v>172</v>
      </c>
      <c r="I22" s="156" t="s">
        <v>172</v>
      </c>
      <c r="J22" s="156" t="s">
        <v>172</v>
      </c>
      <c r="K22" s="157">
        <v>46167.8138078704</v>
      </c>
    </row>
    <row r="23" spans="1:11">
      <c r="A23" s="155"/>
      <c r="B23" s="156" t="s">
        <v>194</v>
      </c>
      <c r="C23" s="156" t="s">
        <v>171</v>
      </c>
      <c r="D23" s="156">
        <v>0</v>
      </c>
      <c r="E23" s="156">
        <v>8.208</v>
      </c>
      <c r="F23" s="158">
        <v>7859</v>
      </c>
      <c r="G23" s="156">
        <v>1.38</v>
      </c>
      <c r="H23" s="156">
        <v>31.31</v>
      </c>
      <c r="I23" s="156" t="s">
        <v>172</v>
      </c>
      <c r="J23" s="156" t="s">
        <v>172</v>
      </c>
      <c r="K23" s="157">
        <v>46167.8245949074</v>
      </c>
    </row>
    <row r="24" spans="1:11">
      <c r="A24" s="155"/>
      <c r="B24" s="156" t="s">
        <v>195</v>
      </c>
      <c r="C24" s="156" t="s">
        <v>171</v>
      </c>
      <c r="D24" s="156">
        <v>0</v>
      </c>
      <c r="E24" s="158" t="s">
        <v>172</v>
      </c>
      <c r="F24" s="158" t="s">
        <v>172</v>
      </c>
      <c r="G24" s="156" t="s">
        <v>172</v>
      </c>
      <c r="H24" s="156" t="s">
        <v>172</v>
      </c>
      <c r="I24" s="156" t="s">
        <v>172</v>
      </c>
      <c r="J24" s="156" t="s">
        <v>172</v>
      </c>
      <c r="K24" s="157">
        <v>46167.8353240741</v>
      </c>
    </row>
    <row r="25" spans="1:11">
      <c r="A25" s="155"/>
      <c r="B25" s="156" t="s">
        <v>196</v>
      </c>
      <c r="C25" s="156" t="s">
        <v>171</v>
      </c>
      <c r="D25" s="156">
        <v>0</v>
      </c>
      <c r="E25" s="158">
        <v>8.212</v>
      </c>
      <c r="F25" s="158">
        <v>155366</v>
      </c>
      <c r="G25" s="156">
        <v>26.11</v>
      </c>
      <c r="H25" s="156">
        <v>460.2</v>
      </c>
      <c r="I25" s="156" t="s">
        <v>172</v>
      </c>
      <c r="J25" s="156" t="s">
        <v>172</v>
      </c>
      <c r="K25" s="157">
        <v>46167.8460416667</v>
      </c>
    </row>
    <row r="26" spans="1:11">
      <c r="A26" s="155"/>
      <c r="B26" s="156" t="s">
        <v>197</v>
      </c>
      <c r="C26" s="156" t="s">
        <v>171</v>
      </c>
      <c r="D26" s="156">
        <v>0</v>
      </c>
      <c r="E26" s="158" t="s">
        <v>172</v>
      </c>
      <c r="F26" s="158" t="s">
        <v>172</v>
      </c>
      <c r="G26" s="156" t="s">
        <v>172</v>
      </c>
      <c r="H26" s="156" t="s">
        <v>172</v>
      </c>
      <c r="I26" s="156" t="s">
        <v>172</v>
      </c>
      <c r="J26" s="156" t="s">
        <v>172</v>
      </c>
      <c r="K26" s="157">
        <v>46167.8567592593</v>
      </c>
    </row>
    <row r="27" spans="1:11">
      <c r="A27" s="155"/>
      <c r="B27" s="156" t="s">
        <v>198</v>
      </c>
      <c r="C27" s="156" t="s">
        <v>171</v>
      </c>
      <c r="D27" s="156">
        <v>0</v>
      </c>
      <c r="E27" s="158">
        <v>8.204</v>
      </c>
      <c r="F27" s="158">
        <v>154952</v>
      </c>
      <c r="G27" s="156">
        <v>26.04</v>
      </c>
      <c r="H27" s="156">
        <v>467</v>
      </c>
      <c r="I27" s="156" t="s">
        <v>172</v>
      </c>
      <c r="J27" s="156" t="s">
        <v>172</v>
      </c>
      <c r="K27" s="157">
        <v>46167.8675</v>
      </c>
    </row>
    <row r="28" spans="1:11">
      <c r="A28" s="155"/>
      <c r="B28" s="156" t="s">
        <v>199</v>
      </c>
      <c r="C28" s="156" t="s">
        <v>171</v>
      </c>
      <c r="D28" s="156">
        <v>0</v>
      </c>
      <c r="E28" s="158">
        <v>8.213</v>
      </c>
      <c r="F28" s="158">
        <v>151390</v>
      </c>
      <c r="G28" s="156">
        <v>25.44</v>
      </c>
      <c r="H28" s="156">
        <v>526.74</v>
      </c>
      <c r="I28" s="156" t="s">
        <v>172</v>
      </c>
      <c r="J28" s="156" t="s">
        <v>172</v>
      </c>
      <c r="K28" s="157">
        <v>46167.878275463</v>
      </c>
    </row>
    <row r="29" spans="1:11">
      <c r="A29" s="155"/>
      <c r="B29" s="156" t="s">
        <v>200</v>
      </c>
      <c r="C29" s="156" t="s">
        <v>171</v>
      </c>
      <c r="D29" s="156">
        <v>0</v>
      </c>
      <c r="E29" s="158" t="s">
        <v>172</v>
      </c>
      <c r="F29" s="158" t="s">
        <v>172</v>
      </c>
      <c r="G29" s="156" t="s">
        <v>172</v>
      </c>
      <c r="H29" s="156" t="s">
        <v>172</v>
      </c>
      <c r="I29" s="156" t="s">
        <v>172</v>
      </c>
      <c r="J29" s="156" t="s">
        <v>172</v>
      </c>
      <c r="K29" s="157">
        <v>46167.8889930556</v>
      </c>
    </row>
    <row r="30" spans="1:11">
      <c r="A30" s="155"/>
      <c r="B30" s="156" t="s">
        <v>201</v>
      </c>
      <c r="C30" s="156" t="s">
        <v>171</v>
      </c>
      <c r="D30" s="156">
        <v>0</v>
      </c>
      <c r="E30" s="158">
        <v>8.212</v>
      </c>
      <c r="F30" s="158">
        <v>7785</v>
      </c>
      <c r="G30" s="156">
        <v>1.37</v>
      </c>
      <c r="H30" s="156">
        <v>34.02</v>
      </c>
      <c r="I30" s="156" t="s">
        <v>172</v>
      </c>
      <c r="J30" s="156" t="s">
        <v>172</v>
      </c>
      <c r="K30" s="157">
        <v>46167.8997337963</v>
      </c>
    </row>
    <row r="31" spans="1:11">
      <c r="A31" s="155"/>
      <c r="B31" s="156" t="s">
        <v>202</v>
      </c>
      <c r="C31" s="156" t="s">
        <v>171</v>
      </c>
      <c r="D31" s="156">
        <v>0</v>
      </c>
      <c r="E31" s="158">
        <v>8.212</v>
      </c>
      <c r="F31" s="158">
        <v>7823</v>
      </c>
      <c r="G31" s="156">
        <v>1.38</v>
      </c>
      <c r="H31" s="156">
        <v>27.43</v>
      </c>
      <c r="I31" s="156" t="s">
        <v>172</v>
      </c>
      <c r="J31" s="156" t="s">
        <v>172</v>
      </c>
      <c r="K31" s="157">
        <v>46167.9104398148</v>
      </c>
    </row>
    <row r="32" spans="1:11">
      <c r="A32" s="155"/>
      <c r="B32" s="156" t="s">
        <v>203</v>
      </c>
      <c r="C32" s="156" t="s">
        <v>171</v>
      </c>
      <c r="D32" s="156">
        <v>0</v>
      </c>
      <c r="E32" s="158">
        <v>8.206</v>
      </c>
      <c r="F32" s="158">
        <v>8035</v>
      </c>
      <c r="G32" s="156">
        <v>1.41</v>
      </c>
      <c r="H32" s="156">
        <v>30.65</v>
      </c>
      <c r="I32" s="156" t="s">
        <v>172</v>
      </c>
      <c r="J32" s="156" t="s">
        <v>172</v>
      </c>
      <c r="K32" s="157">
        <v>46167.9211689815</v>
      </c>
    </row>
    <row r="33" spans="1:11">
      <c r="A33" s="155"/>
      <c r="B33" s="156" t="s">
        <v>204</v>
      </c>
      <c r="C33" s="156" t="s">
        <v>171</v>
      </c>
      <c r="D33" s="156">
        <v>0</v>
      </c>
      <c r="E33" s="158">
        <v>8.211</v>
      </c>
      <c r="F33" s="158">
        <v>15766</v>
      </c>
      <c r="G33" s="156">
        <v>2.71</v>
      </c>
      <c r="H33" s="156">
        <v>58.44</v>
      </c>
      <c r="I33" s="156" t="s">
        <v>172</v>
      </c>
      <c r="J33" s="156" t="s">
        <v>172</v>
      </c>
      <c r="K33" s="157">
        <v>46167.9318865741</v>
      </c>
    </row>
    <row r="34" spans="1:11">
      <c r="A34" s="155"/>
      <c r="B34" s="156" t="s">
        <v>205</v>
      </c>
      <c r="C34" s="156" t="s">
        <v>171</v>
      </c>
      <c r="D34" s="156">
        <v>0</v>
      </c>
      <c r="E34" s="158">
        <v>8.21</v>
      </c>
      <c r="F34" s="158">
        <v>16006</v>
      </c>
      <c r="G34" s="156">
        <v>2.75</v>
      </c>
      <c r="H34" s="156">
        <v>60.69</v>
      </c>
      <c r="I34" s="156" t="s">
        <v>172</v>
      </c>
      <c r="J34" s="156" t="s">
        <v>172</v>
      </c>
      <c r="K34" s="157">
        <v>46167.9426157407</v>
      </c>
    </row>
    <row r="35" spans="1:11">
      <c r="A35" s="155"/>
      <c r="B35" s="156" t="s">
        <v>206</v>
      </c>
      <c r="C35" s="156" t="s">
        <v>171</v>
      </c>
      <c r="D35" s="156">
        <v>0</v>
      </c>
      <c r="E35" s="158">
        <v>8.208</v>
      </c>
      <c r="F35" s="158">
        <v>15409</v>
      </c>
      <c r="G35" s="156">
        <v>2.65</v>
      </c>
      <c r="H35" s="156">
        <v>70.11</v>
      </c>
      <c r="I35" s="156" t="s">
        <v>172</v>
      </c>
      <c r="J35" s="156" t="s">
        <v>172</v>
      </c>
      <c r="K35" s="157">
        <v>46167.9533449074</v>
      </c>
    </row>
    <row r="36" spans="1:11">
      <c r="A36" s="155"/>
      <c r="B36" s="156" t="s">
        <v>207</v>
      </c>
      <c r="C36" s="156" t="s">
        <v>171</v>
      </c>
      <c r="D36" s="156">
        <v>0</v>
      </c>
      <c r="E36" s="158">
        <v>8.205</v>
      </c>
      <c r="F36" s="158">
        <v>15196</v>
      </c>
      <c r="G36" s="156">
        <v>2.61</v>
      </c>
      <c r="H36" s="156">
        <v>50.12</v>
      </c>
      <c r="I36" s="156" t="s">
        <v>172</v>
      </c>
      <c r="J36" s="156" t="s">
        <v>172</v>
      </c>
      <c r="K36" s="157">
        <v>46167.9640740741</v>
      </c>
    </row>
    <row r="37" spans="1:11">
      <c r="A37" s="155"/>
      <c r="B37" s="156" t="s">
        <v>208</v>
      </c>
      <c r="C37" s="156" t="s">
        <v>171</v>
      </c>
      <c r="D37" s="156">
        <v>0</v>
      </c>
      <c r="E37" s="158">
        <v>8.206</v>
      </c>
      <c r="F37" s="158">
        <v>15968</v>
      </c>
      <c r="G37" s="156">
        <v>2.74</v>
      </c>
      <c r="H37" s="156">
        <v>59.39</v>
      </c>
      <c r="I37" s="156" t="s">
        <v>172</v>
      </c>
      <c r="J37" s="156" t="s">
        <v>172</v>
      </c>
      <c r="K37" s="157">
        <v>46167.9747916667</v>
      </c>
    </row>
    <row r="38" spans="1:11">
      <c r="A38" s="155"/>
      <c r="B38" s="156" t="s">
        <v>209</v>
      </c>
      <c r="C38" s="156" t="s">
        <v>171</v>
      </c>
      <c r="D38" s="156">
        <v>0</v>
      </c>
      <c r="E38" s="158">
        <v>8.207</v>
      </c>
      <c r="F38" s="158">
        <v>15816</v>
      </c>
      <c r="G38" s="156">
        <v>2.72</v>
      </c>
      <c r="H38" s="156">
        <v>50.72</v>
      </c>
      <c r="I38" s="156" t="s">
        <v>172</v>
      </c>
      <c r="J38" s="156" t="s">
        <v>172</v>
      </c>
      <c r="K38" s="157">
        <v>46167.9855324074</v>
      </c>
    </row>
    <row r="39" spans="1:11">
      <c r="A39" s="155"/>
      <c r="B39" s="156" t="s">
        <v>210</v>
      </c>
      <c r="C39" s="156" t="s">
        <v>171</v>
      </c>
      <c r="D39" s="156">
        <v>0</v>
      </c>
      <c r="E39" s="158">
        <v>8.204</v>
      </c>
      <c r="F39" s="158">
        <v>153656</v>
      </c>
      <c r="G39" s="156">
        <v>25.82</v>
      </c>
      <c r="H39" s="156">
        <v>562.59</v>
      </c>
      <c r="I39" s="156" t="s">
        <v>172</v>
      </c>
      <c r="J39" s="156" t="s">
        <v>172</v>
      </c>
      <c r="K39" s="157">
        <v>46167.99625</v>
      </c>
    </row>
    <row r="40" spans="1:11">
      <c r="A40" s="155"/>
      <c r="B40" s="156" t="s">
        <v>211</v>
      </c>
      <c r="C40" s="156" t="s">
        <v>171</v>
      </c>
      <c r="D40" s="156">
        <v>0</v>
      </c>
      <c r="E40" s="156">
        <v>8.202</v>
      </c>
      <c r="F40" s="158">
        <v>154063</v>
      </c>
      <c r="G40" s="156">
        <v>25.89</v>
      </c>
      <c r="H40" s="156">
        <v>428.55</v>
      </c>
      <c r="I40" s="156" t="s">
        <v>172</v>
      </c>
      <c r="J40" s="156" t="s">
        <v>172</v>
      </c>
      <c r="K40" s="157">
        <v>46168.0069791667</v>
      </c>
    </row>
    <row r="41" spans="1:11">
      <c r="A41" s="155"/>
      <c r="B41" s="156" t="s">
        <v>212</v>
      </c>
      <c r="C41" s="156" t="s">
        <v>171</v>
      </c>
      <c r="D41" s="156">
        <v>0</v>
      </c>
      <c r="E41" s="158" t="s">
        <v>172</v>
      </c>
      <c r="F41" s="156" t="s">
        <v>172</v>
      </c>
      <c r="G41" s="156" t="s">
        <v>172</v>
      </c>
      <c r="H41" s="156" t="s">
        <v>172</v>
      </c>
      <c r="I41" s="156" t="s">
        <v>172</v>
      </c>
      <c r="J41" s="156" t="s">
        <v>172</v>
      </c>
      <c r="K41" s="157">
        <v>46168.0177199074</v>
      </c>
    </row>
    <row r="42" spans="1:11">
      <c r="A42" s="155"/>
      <c r="B42" s="156" t="s">
        <v>213</v>
      </c>
      <c r="C42" s="156" t="s">
        <v>171</v>
      </c>
      <c r="D42" s="156">
        <v>0</v>
      </c>
      <c r="E42" s="158" t="s">
        <v>172</v>
      </c>
      <c r="F42" s="156" t="s">
        <v>172</v>
      </c>
      <c r="G42" s="156" t="s">
        <v>172</v>
      </c>
      <c r="H42" s="156" t="s">
        <v>172</v>
      </c>
      <c r="I42" s="156" t="s">
        <v>172</v>
      </c>
      <c r="J42" s="156" t="s">
        <v>172</v>
      </c>
      <c r="K42" s="157">
        <v>46168.0284606482</v>
      </c>
    </row>
    <row r="43" spans="1:11">
      <c r="A43" s="155"/>
      <c r="B43" s="156" t="s">
        <v>214</v>
      </c>
      <c r="C43" s="156" t="s">
        <v>171</v>
      </c>
      <c r="D43" s="156">
        <v>0</v>
      </c>
      <c r="E43" s="158" t="s">
        <v>172</v>
      </c>
      <c r="F43" s="156" t="s">
        <v>172</v>
      </c>
      <c r="G43" s="156" t="s">
        <v>172</v>
      </c>
      <c r="H43" s="156" t="s">
        <v>172</v>
      </c>
      <c r="I43" s="156" t="s">
        <v>172</v>
      </c>
      <c r="J43" s="156" t="s">
        <v>172</v>
      </c>
      <c r="K43" s="157">
        <v>46168.0391898148</v>
      </c>
    </row>
    <row r="44" spans="1:11">
      <c r="A44" s="155"/>
      <c r="B44" s="156" t="s">
        <v>215</v>
      </c>
      <c r="C44" s="156" t="s">
        <v>171</v>
      </c>
      <c r="D44" s="156">
        <v>0</v>
      </c>
      <c r="E44" s="158" t="s">
        <v>172</v>
      </c>
      <c r="F44" s="158" t="s">
        <v>172</v>
      </c>
      <c r="G44" s="156" t="s">
        <v>172</v>
      </c>
      <c r="H44" s="156" t="s">
        <v>172</v>
      </c>
      <c r="I44" s="156" t="s">
        <v>172</v>
      </c>
      <c r="J44" s="156" t="s">
        <v>172</v>
      </c>
      <c r="K44" s="157">
        <v>46168.0499189815</v>
      </c>
    </row>
    <row r="45" spans="1:11">
      <c r="A45" s="155"/>
      <c r="B45" s="156" t="s">
        <v>216</v>
      </c>
      <c r="C45" s="156" t="s">
        <v>171</v>
      </c>
      <c r="D45" s="156">
        <v>0</v>
      </c>
      <c r="E45" s="158">
        <v>8.206</v>
      </c>
      <c r="F45" s="158">
        <v>14905</v>
      </c>
      <c r="G45" s="156">
        <v>2.56</v>
      </c>
      <c r="H45" s="156">
        <v>45.32</v>
      </c>
      <c r="I45" s="156" t="s">
        <v>172</v>
      </c>
      <c r="J45" s="156" t="s">
        <v>172</v>
      </c>
      <c r="K45" s="157">
        <v>46168.0606597222</v>
      </c>
    </row>
    <row r="46" spans="1:11">
      <c r="A46" s="155"/>
      <c r="B46" s="156" t="s">
        <v>217</v>
      </c>
      <c r="C46" s="156" t="s">
        <v>171</v>
      </c>
      <c r="D46" s="156">
        <v>0</v>
      </c>
      <c r="E46" s="158">
        <v>8.214</v>
      </c>
      <c r="F46" s="158">
        <v>15163</v>
      </c>
      <c r="G46" s="156">
        <v>2.61</v>
      </c>
      <c r="H46" s="156">
        <v>61.99</v>
      </c>
      <c r="I46" s="156" t="s">
        <v>172</v>
      </c>
      <c r="J46" s="156" t="s">
        <v>172</v>
      </c>
      <c r="K46" s="157">
        <v>46168.0713888889</v>
      </c>
    </row>
    <row r="47" spans="1:11">
      <c r="A47" s="155"/>
      <c r="B47" s="156" t="s">
        <v>218</v>
      </c>
      <c r="C47" s="156" t="s">
        <v>171</v>
      </c>
      <c r="D47" s="156">
        <v>0</v>
      </c>
      <c r="E47" s="158">
        <v>8.206</v>
      </c>
      <c r="F47" s="158">
        <v>16172</v>
      </c>
      <c r="G47" s="156">
        <v>2.78</v>
      </c>
      <c r="H47" s="156">
        <v>47.21</v>
      </c>
      <c r="I47" s="156" t="s">
        <v>172</v>
      </c>
      <c r="J47" s="156" t="s">
        <v>172</v>
      </c>
      <c r="K47" s="157">
        <v>46168.0821875</v>
      </c>
    </row>
    <row r="48" spans="1:11">
      <c r="A48" s="155"/>
      <c r="B48" s="156" t="s">
        <v>219</v>
      </c>
      <c r="C48" s="156" t="s">
        <v>171</v>
      </c>
      <c r="D48" s="156">
        <v>0</v>
      </c>
      <c r="E48" s="158" t="s">
        <v>172</v>
      </c>
      <c r="F48" s="158" t="s">
        <v>172</v>
      </c>
      <c r="G48" s="156" t="s">
        <v>172</v>
      </c>
      <c r="H48" s="156" t="s">
        <v>172</v>
      </c>
      <c r="I48" s="156" t="s">
        <v>172</v>
      </c>
      <c r="J48" s="156" t="s">
        <v>172</v>
      </c>
      <c r="K48" s="157">
        <v>46168.0929398148</v>
      </c>
    </row>
    <row r="49" spans="1:11">
      <c r="A49" s="155"/>
      <c r="B49" s="156" t="s">
        <v>220</v>
      </c>
      <c r="C49" s="156" t="s">
        <v>171</v>
      </c>
      <c r="D49" s="156">
        <v>0</v>
      </c>
      <c r="E49" s="158">
        <v>8.211</v>
      </c>
      <c r="F49" s="158">
        <v>156531</v>
      </c>
      <c r="G49" s="156">
        <v>26.3</v>
      </c>
      <c r="H49" s="156">
        <v>526.68</v>
      </c>
      <c r="I49" s="156" t="s">
        <v>172</v>
      </c>
      <c r="J49" s="156" t="s">
        <v>172</v>
      </c>
      <c r="K49" s="157">
        <v>46168.1036805556</v>
      </c>
    </row>
    <row r="50" spans="1:11">
      <c r="A50" s="155"/>
      <c r="B50" s="156" t="s">
        <v>221</v>
      </c>
      <c r="C50" s="156" t="s">
        <v>171</v>
      </c>
      <c r="D50" s="156">
        <v>0</v>
      </c>
      <c r="E50" s="158">
        <v>8.212</v>
      </c>
      <c r="F50" s="158">
        <v>160279</v>
      </c>
      <c r="G50" s="156">
        <v>26.93</v>
      </c>
      <c r="H50" s="156">
        <v>523.29</v>
      </c>
      <c r="I50" s="156" t="s">
        <v>172</v>
      </c>
      <c r="J50" s="156" t="s">
        <v>172</v>
      </c>
      <c r="K50" s="157">
        <v>46168.1144560185</v>
      </c>
    </row>
    <row r="51" spans="1:11">
      <c r="A51" s="155"/>
      <c r="B51" s="156" t="s">
        <v>222</v>
      </c>
      <c r="C51" s="156" t="s">
        <v>171</v>
      </c>
      <c r="D51" s="156">
        <v>0</v>
      </c>
      <c r="E51" s="158">
        <v>8.208</v>
      </c>
      <c r="F51" s="158">
        <v>154371</v>
      </c>
      <c r="G51" s="156">
        <v>25.94</v>
      </c>
      <c r="H51" s="156">
        <v>369.44</v>
      </c>
      <c r="I51" s="156" t="s">
        <v>172</v>
      </c>
      <c r="J51" s="156" t="s">
        <v>172</v>
      </c>
      <c r="K51" s="157">
        <v>46168.1251851852</v>
      </c>
    </row>
    <row r="52" spans="1:11">
      <c r="A52" s="155"/>
      <c r="B52" s="156" t="s">
        <v>223</v>
      </c>
      <c r="C52" s="156" t="s">
        <v>171</v>
      </c>
      <c r="D52" s="156">
        <v>0</v>
      </c>
      <c r="E52" s="158">
        <v>8.207</v>
      </c>
      <c r="F52" s="158">
        <v>159010</v>
      </c>
      <c r="G52" s="156">
        <v>26.72</v>
      </c>
      <c r="H52" s="156">
        <v>498.54</v>
      </c>
      <c r="I52" s="156" t="s">
        <v>172</v>
      </c>
      <c r="J52" s="156" t="s">
        <v>172</v>
      </c>
      <c r="K52" s="157">
        <v>46168.1359143518</v>
      </c>
    </row>
    <row r="53" spans="1:11">
      <c r="A53" s="155"/>
      <c r="B53" s="156" t="s">
        <v>224</v>
      </c>
      <c r="C53" s="156" t="s">
        <v>171</v>
      </c>
      <c r="D53" s="156">
        <v>0</v>
      </c>
      <c r="E53" s="158">
        <v>8.209</v>
      </c>
      <c r="F53" s="158">
        <v>161875</v>
      </c>
      <c r="G53" s="156">
        <v>27.2</v>
      </c>
      <c r="H53" s="156">
        <v>501.45</v>
      </c>
      <c r="I53" s="156" t="s">
        <v>172</v>
      </c>
      <c r="J53" s="156" t="s">
        <v>172</v>
      </c>
      <c r="K53" s="157">
        <v>46168.1466435185</v>
      </c>
    </row>
    <row r="54" spans="1:11">
      <c r="A54" s="155"/>
      <c r="B54" s="156" t="s">
        <v>225</v>
      </c>
      <c r="C54" s="156" t="s">
        <v>171</v>
      </c>
      <c r="D54" s="156">
        <v>0</v>
      </c>
      <c r="E54" s="158">
        <v>8.21</v>
      </c>
      <c r="F54" s="158">
        <v>160824</v>
      </c>
      <c r="G54" s="156">
        <v>27.02</v>
      </c>
      <c r="H54" s="156">
        <v>410.35</v>
      </c>
      <c r="I54" s="156" t="s">
        <v>172</v>
      </c>
      <c r="J54" s="156" t="s">
        <v>172</v>
      </c>
      <c r="K54" s="157">
        <v>46168.1573726852</v>
      </c>
    </row>
    <row r="55" spans="1:11">
      <c r="A55" s="155"/>
      <c r="B55" s="156" t="s">
        <v>226</v>
      </c>
      <c r="C55" s="156" t="s">
        <v>171</v>
      </c>
      <c r="D55" s="156">
        <v>0</v>
      </c>
      <c r="E55" s="158" t="s">
        <v>172</v>
      </c>
      <c r="F55" s="158" t="s">
        <v>172</v>
      </c>
      <c r="G55" s="156" t="s">
        <v>172</v>
      </c>
      <c r="H55" s="156" t="s">
        <v>172</v>
      </c>
      <c r="I55" s="156" t="s">
        <v>172</v>
      </c>
      <c r="J55" s="156" t="s">
        <v>172</v>
      </c>
      <c r="K55" s="157">
        <v>46168.1681018519</v>
      </c>
    </row>
    <row r="56" spans="1:11">
      <c r="A56" s="155"/>
      <c r="B56" s="156" t="s">
        <v>227</v>
      </c>
      <c r="C56" s="156" t="s">
        <v>171</v>
      </c>
      <c r="D56" s="156">
        <v>0</v>
      </c>
      <c r="E56" s="158">
        <v>8.206</v>
      </c>
      <c r="F56" s="158">
        <v>239010</v>
      </c>
      <c r="G56" s="156">
        <v>40.13</v>
      </c>
      <c r="H56" s="156">
        <v>627.73</v>
      </c>
      <c r="I56" s="156" t="s">
        <v>172</v>
      </c>
      <c r="J56" s="156" t="s">
        <v>172</v>
      </c>
      <c r="K56" s="157">
        <v>46168.1788425926</v>
      </c>
    </row>
    <row r="57" spans="1:11">
      <c r="A57" s="155"/>
      <c r="B57" s="156" t="s">
        <v>228</v>
      </c>
      <c r="C57" s="156" t="s">
        <v>171</v>
      </c>
      <c r="D57" s="156">
        <v>0</v>
      </c>
      <c r="E57" s="158">
        <v>8.204</v>
      </c>
      <c r="F57" s="158">
        <v>233830</v>
      </c>
      <c r="G57" s="156">
        <v>39.26</v>
      </c>
      <c r="H57" s="156">
        <v>640.62</v>
      </c>
      <c r="I57" s="156" t="s">
        <v>172</v>
      </c>
      <c r="J57" s="156" t="s">
        <v>172</v>
      </c>
      <c r="K57" s="157">
        <v>46168.1895833333</v>
      </c>
    </row>
    <row r="58" spans="1:11">
      <c r="A58" s="155"/>
      <c r="B58" s="156" t="s">
        <v>229</v>
      </c>
      <c r="C58" s="156" t="s">
        <v>171</v>
      </c>
      <c r="D58" s="156">
        <v>0</v>
      </c>
      <c r="E58" s="158">
        <v>8.208</v>
      </c>
      <c r="F58" s="158">
        <v>235852</v>
      </c>
      <c r="G58" s="156">
        <v>39.6</v>
      </c>
      <c r="H58" s="156">
        <v>579.86</v>
      </c>
      <c r="I58" s="156" t="s">
        <v>172</v>
      </c>
      <c r="J58" s="156" t="s">
        <v>172</v>
      </c>
      <c r="K58" s="157">
        <v>46168.2003009259</v>
      </c>
    </row>
    <row r="59" spans="1:11">
      <c r="A59" s="155"/>
      <c r="B59" s="156" t="s">
        <v>230</v>
      </c>
      <c r="C59" s="156" t="s">
        <v>171</v>
      </c>
      <c r="D59" s="156">
        <v>0</v>
      </c>
      <c r="E59" s="158" t="s">
        <v>172</v>
      </c>
      <c r="F59" s="158" t="s">
        <v>172</v>
      </c>
      <c r="G59" s="156" t="s">
        <v>172</v>
      </c>
      <c r="H59" s="156" t="s">
        <v>172</v>
      </c>
      <c r="I59" s="156" t="s">
        <v>172</v>
      </c>
      <c r="J59" s="156" t="s">
        <v>172</v>
      </c>
      <c r="K59" s="157">
        <v>46168.2110648148</v>
      </c>
    </row>
    <row r="60" spans="1:11">
      <c r="A60" s="155"/>
      <c r="B60" s="156" t="s">
        <v>231</v>
      </c>
      <c r="C60" s="156" t="s">
        <v>171</v>
      </c>
      <c r="D60" s="156">
        <v>0</v>
      </c>
      <c r="E60" s="158">
        <v>8.211</v>
      </c>
      <c r="F60" s="158">
        <v>159628</v>
      </c>
      <c r="G60" s="156">
        <v>26.82</v>
      </c>
      <c r="H60" s="156">
        <v>456.62</v>
      </c>
      <c r="I60" s="156" t="s">
        <v>172</v>
      </c>
      <c r="J60" s="156" t="s">
        <v>172</v>
      </c>
      <c r="K60" s="157">
        <v>46168.2217939815</v>
      </c>
    </row>
    <row r="61" spans="1:11">
      <c r="A61" s="155"/>
      <c r="B61" s="156" t="s">
        <v>232</v>
      </c>
      <c r="C61" s="156" t="s">
        <v>171</v>
      </c>
      <c r="D61" s="156">
        <v>0</v>
      </c>
      <c r="E61" s="158">
        <v>8.205</v>
      </c>
      <c r="F61" s="158">
        <v>159054</v>
      </c>
      <c r="G61" s="156">
        <v>26.73</v>
      </c>
      <c r="H61" s="156">
        <v>516.5</v>
      </c>
      <c r="I61" s="156" t="s">
        <v>172</v>
      </c>
      <c r="J61" s="156" t="s">
        <v>172</v>
      </c>
      <c r="K61" s="157">
        <v>46168.2325462963</v>
      </c>
    </row>
    <row r="62" spans="1:11">
      <c r="A62" s="155"/>
      <c r="B62" s="156" t="s">
        <v>233</v>
      </c>
      <c r="C62" s="156" t="s">
        <v>171</v>
      </c>
      <c r="D62" s="156">
        <v>0</v>
      </c>
      <c r="E62" s="158" t="s">
        <v>172</v>
      </c>
      <c r="F62" s="156" t="s">
        <v>172</v>
      </c>
      <c r="G62" s="156" t="s">
        <v>172</v>
      </c>
      <c r="H62" s="156" t="s">
        <v>172</v>
      </c>
      <c r="I62" s="156" t="s">
        <v>172</v>
      </c>
      <c r="J62" s="156" t="s">
        <v>172</v>
      </c>
      <c r="K62" s="157">
        <v>46168.243275463</v>
      </c>
    </row>
    <row r="63" spans="1:11">
      <c r="A63" s="155"/>
      <c r="B63" s="156" t="s">
        <v>234</v>
      </c>
      <c r="C63" s="156" t="s">
        <v>171</v>
      </c>
      <c r="D63" s="156">
        <v>0</v>
      </c>
      <c r="E63" s="158" t="s">
        <v>172</v>
      </c>
      <c r="F63" s="158" t="s">
        <v>172</v>
      </c>
      <c r="G63" s="156" t="s">
        <v>172</v>
      </c>
      <c r="H63" s="156" t="s">
        <v>172</v>
      </c>
      <c r="I63" s="156" t="s">
        <v>172</v>
      </c>
      <c r="J63" s="156" t="s">
        <v>172</v>
      </c>
      <c r="K63" s="157">
        <v>46168.2852662037</v>
      </c>
    </row>
    <row r="64" spans="1:11">
      <c r="A64" s="155"/>
      <c r="B64" s="156" t="s">
        <v>235</v>
      </c>
      <c r="C64" s="156" t="s">
        <v>171</v>
      </c>
      <c r="D64" s="156">
        <v>0</v>
      </c>
      <c r="E64" s="158">
        <v>8.207</v>
      </c>
      <c r="F64" s="158">
        <v>135306</v>
      </c>
      <c r="G64" s="156">
        <v>22.75</v>
      </c>
      <c r="H64" s="156">
        <v>569.67</v>
      </c>
      <c r="I64" s="156" t="s">
        <v>172</v>
      </c>
      <c r="J64" s="156" t="s">
        <v>172</v>
      </c>
      <c r="K64" s="157">
        <v>46168.3272685185</v>
      </c>
    </row>
    <row r="65" spans="1:11">
      <c r="A65" s="155"/>
      <c r="B65" s="156" t="s">
        <v>236</v>
      </c>
      <c r="C65" s="156" t="s">
        <v>171</v>
      </c>
      <c r="D65" s="156">
        <v>0</v>
      </c>
      <c r="E65" s="158">
        <v>8.203</v>
      </c>
      <c r="F65" s="158">
        <v>140894</v>
      </c>
      <c r="G65" s="156">
        <v>23.68</v>
      </c>
      <c r="H65" s="156">
        <v>409.89</v>
      </c>
      <c r="I65" s="156" t="s">
        <v>172</v>
      </c>
      <c r="J65" s="156" t="s">
        <v>172</v>
      </c>
      <c r="K65" s="157">
        <v>46168.3380208333</v>
      </c>
    </row>
    <row r="66" spans="1:11">
      <c r="A66" s="155"/>
      <c r="B66" s="156" t="s">
        <v>237</v>
      </c>
      <c r="C66" s="156" t="s">
        <v>171</v>
      </c>
      <c r="D66" s="156">
        <v>0</v>
      </c>
      <c r="E66" s="158" t="s">
        <v>172</v>
      </c>
      <c r="F66" s="156" t="s">
        <v>172</v>
      </c>
      <c r="G66" s="156" t="s">
        <v>172</v>
      </c>
      <c r="H66" s="156" t="s">
        <v>172</v>
      </c>
      <c r="I66" s="156" t="s">
        <v>172</v>
      </c>
      <c r="J66" s="156" t="s">
        <v>172</v>
      </c>
      <c r="K66" s="157">
        <v>46168.3487731482</v>
      </c>
    </row>
    <row r="67" spans="1:11">
      <c r="A67" s="155"/>
      <c r="B67" s="156" t="s">
        <v>238</v>
      </c>
      <c r="C67" s="156" t="s">
        <v>171</v>
      </c>
      <c r="D67" s="156">
        <v>0</v>
      </c>
      <c r="E67" s="156">
        <v>8.207</v>
      </c>
      <c r="F67" s="158">
        <v>141624</v>
      </c>
      <c r="G67" s="156">
        <v>23.81</v>
      </c>
      <c r="H67" s="156">
        <v>460.93</v>
      </c>
      <c r="I67" s="156" t="s">
        <v>172</v>
      </c>
      <c r="J67" s="156" t="s">
        <v>172</v>
      </c>
      <c r="K67" s="157">
        <v>46168.3907638889</v>
      </c>
    </row>
    <row r="68" spans="1:11">
      <c r="A68" s="155"/>
      <c r="B68" s="156" t="s">
        <v>239</v>
      </c>
      <c r="C68" s="156" t="s">
        <v>171</v>
      </c>
      <c r="D68" s="156">
        <v>0</v>
      </c>
      <c r="E68" s="158">
        <v>8.205</v>
      </c>
      <c r="F68" s="158">
        <v>148774</v>
      </c>
      <c r="G68" s="156">
        <v>25</v>
      </c>
      <c r="H68" s="156">
        <v>446.39</v>
      </c>
      <c r="I68" s="156" t="s">
        <v>172</v>
      </c>
      <c r="J68" s="156" t="s">
        <v>172</v>
      </c>
      <c r="K68" s="157">
        <v>46168.4014930556</v>
      </c>
    </row>
    <row r="69" spans="1:11">
      <c r="A69" s="136" t="s">
        <v>240</v>
      </c>
      <c r="B69" s="163" t="s">
        <v>170</v>
      </c>
      <c r="C69" s="163" t="s">
        <v>171</v>
      </c>
      <c r="D69" s="163">
        <v>0</v>
      </c>
      <c r="E69" s="163" t="s">
        <v>172</v>
      </c>
      <c r="F69" s="164" t="s">
        <v>172</v>
      </c>
      <c r="G69" s="163" t="s">
        <v>172</v>
      </c>
      <c r="H69" s="163" t="s">
        <v>172</v>
      </c>
      <c r="I69" s="163" t="s">
        <v>172</v>
      </c>
      <c r="J69" s="163" t="s">
        <v>172</v>
      </c>
      <c r="K69" s="165">
        <v>46168.4585763889</v>
      </c>
    </row>
    <row r="70" spans="1:11">
      <c r="A70" s="136"/>
      <c r="B70" s="163" t="s">
        <v>173</v>
      </c>
      <c r="C70" s="163" t="s">
        <v>171</v>
      </c>
      <c r="D70" s="163">
        <v>0</v>
      </c>
      <c r="E70" s="163" t="s">
        <v>172</v>
      </c>
      <c r="F70" s="164" t="s">
        <v>172</v>
      </c>
      <c r="G70" s="163" t="s">
        <v>172</v>
      </c>
      <c r="H70" s="163" t="s">
        <v>172</v>
      </c>
      <c r="I70" s="163" t="s">
        <v>172</v>
      </c>
      <c r="J70" s="163" t="s">
        <v>172</v>
      </c>
      <c r="K70" s="165">
        <v>46168.4693055556</v>
      </c>
    </row>
    <row r="71" spans="1:11">
      <c r="A71" s="136"/>
      <c r="B71" s="163" t="s">
        <v>174</v>
      </c>
      <c r="C71" s="163" t="s">
        <v>171</v>
      </c>
      <c r="D71" s="163">
        <v>0</v>
      </c>
      <c r="E71" s="163" t="s">
        <v>172</v>
      </c>
      <c r="F71" s="164" t="s">
        <v>172</v>
      </c>
      <c r="G71" s="163" t="s">
        <v>172</v>
      </c>
      <c r="H71" s="163" t="s">
        <v>172</v>
      </c>
      <c r="I71" s="163" t="s">
        <v>172</v>
      </c>
      <c r="J71" s="163" t="s">
        <v>172</v>
      </c>
      <c r="K71" s="165">
        <v>46168.4800462963</v>
      </c>
    </row>
    <row r="72" spans="1:11">
      <c r="A72" s="136"/>
      <c r="B72" s="163" t="s">
        <v>175</v>
      </c>
      <c r="C72" s="163" t="s">
        <v>171</v>
      </c>
      <c r="D72" s="163">
        <v>0</v>
      </c>
      <c r="E72" s="163" t="s">
        <v>172</v>
      </c>
      <c r="F72" s="164" t="s">
        <v>172</v>
      </c>
      <c r="G72" s="163" t="s">
        <v>172</v>
      </c>
      <c r="H72" s="163" t="s">
        <v>172</v>
      </c>
      <c r="I72" s="163" t="s">
        <v>172</v>
      </c>
      <c r="J72" s="163" t="s">
        <v>172</v>
      </c>
      <c r="K72" s="165">
        <v>46168.490775463</v>
      </c>
    </row>
    <row r="73" spans="1:11">
      <c r="A73" s="136"/>
      <c r="B73" s="163" t="s">
        <v>177</v>
      </c>
      <c r="C73" s="163" t="s">
        <v>171</v>
      </c>
      <c r="D73" s="163">
        <v>0</v>
      </c>
      <c r="E73" s="166">
        <v>8.208</v>
      </c>
      <c r="F73" s="164">
        <v>8276</v>
      </c>
      <c r="G73" s="163">
        <v>1.28</v>
      </c>
      <c r="H73" s="163">
        <v>36.18</v>
      </c>
      <c r="I73" s="163" t="s">
        <v>172</v>
      </c>
      <c r="J73" s="163" t="s">
        <v>172</v>
      </c>
      <c r="K73" s="165">
        <v>46168.5021412037</v>
      </c>
    </row>
    <row r="74" spans="1:11">
      <c r="A74" s="136"/>
      <c r="B74" s="163" t="s">
        <v>241</v>
      </c>
      <c r="C74" s="163" t="s">
        <v>171</v>
      </c>
      <c r="D74" s="163">
        <v>0</v>
      </c>
      <c r="E74" s="166">
        <v>8.204</v>
      </c>
      <c r="F74" s="164">
        <v>8063</v>
      </c>
      <c r="G74" s="163">
        <v>1.24</v>
      </c>
      <c r="H74" s="163">
        <v>32.75</v>
      </c>
      <c r="I74" s="163" t="s">
        <v>172</v>
      </c>
      <c r="J74" s="163" t="s">
        <v>172</v>
      </c>
      <c r="K74" s="165">
        <v>46168.5128819444</v>
      </c>
    </row>
    <row r="75" spans="1:11">
      <c r="A75" s="136"/>
      <c r="B75" s="167" t="s">
        <v>187</v>
      </c>
      <c r="C75" s="167" t="s">
        <v>188</v>
      </c>
      <c r="D75" s="167">
        <v>1</v>
      </c>
      <c r="E75" s="168">
        <v>8.206</v>
      </c>
      <c r="F75" s="169">
        <v>16439</v>
      </c>
      <c r="G75" s="167">
        <v>2.52</v>
      </c>
      <c r="H75" s="167">
        <v>51.97</v>
      </c>
      <c r="I75" s="167">
        <v>2.52</v>
      </c>
      <c r="J75" s="167">
        <v>100</v>
      </c>
      <c r="K75" s="170">
        <v>46168.5236111111</v>
      </c>
    </row>
    <row r="76" spans="1:11">
      <c r="A76" s="136"/>
      <c r="B76" s="167" t="s">
        <v>189</v>
      </c>
      <c r="C76" s="167" t="s">
        <v>188</v>
      </c>
      <c r="D76" s="167">
        <v>2</v>
      </c>
      <c r="E76" s="168">
        <v>8.204</v>
      </c>
      <c r="F76" s="169">
        <v>82784</v>
      </c>
      <c r="G76" s="167">
        <v>12.62</v>
      </c>
      <c r="H76" s="167">
        <v>338.73</v>
      </c>
      <c r="I76" s="167">
        <v>12.62</v>
      </c>
      <c r="J76" s="167">
        <v>100</v>
      </c>
      <c r="K76" s="170">
        <v>46168.5343402778</v>
      </c>
    </row>
    <row r="77" spans="1:11">
      <c r="A77" s="136"/>
      <c r="B77" s="167" t="s">
        <v>190</v>
      </c>
      <c r="C77" s="167" t="s">
        <v>188</v>
      </c>
      <c r="D77" s="167">
        <v>3</v>
      </c>
      <c r="E77" s="168">
        <v>8.204</v>
      </c>
      <c r="F77" s="169">
        <v>168669</v>
      </c>
      <c r="G77" s="167">
        <v>25.7</v>
      </c>
      <c r="H77" s="167">
        <v>486.97</v>
      </c>
      <c r="I77" s="167">
        <v>25.24</v>
      </c>
      <c r="J77" s="167">
        <v>101.8</v>
      </c>
      <c r="K77" s="170">
        <v>46168.5451041667</v>
      </c>
    </row>
    <row r="78" spans="1:11">
      <c r="A78" s="136"/>
      <c r="B78" s="167" t="s">
        <v>191</v>
      </c>
      <c r="C78" s="167" t="s">
        <v>188</v>
      </c>
      <c r="D78" s="167">
        <v>4</v>
      </c>
      <c r="E78" s="168">
        <v>8.206</v>
      </c>
      <c r="F78" s="169">
        <v>241097</v>
      </c>
      <c r="G78" s="167">
        <v>36.73</v>
      </c>
      <c r="H78" s="167">
        <v>473.53</v>
      </c>
      <c r="I78" s="167">
        <v>37.86</v>
      </c>
      <c r="J78" s="167">
        <v>97</v>
      </c>
      <c r="K78" s="170">
        <v>46168.5558449074</v>
      </c>
    </row>
    <row r="79" spans="1:11">
      <c r="A79" s="136"/>
      <c r="B79" s="167" t="s">
        <v>192</v>
      </c>
      <c r="C79" s="167" t="s">
        <v>188</v>
      </c>
      <c r="D79" s="167">
        <v>5</v>
      </c>
      <c r="E79" s="168">
        <v>8.204</v>
      </c>
      <c r="F79" s="169">
        <v>335328</v>
      </c>
      <c r="G79" s="167">
        <v>51.08</v>
      </c>
      <c r="H79" s="167">
        <v>777.85</v>
      </c>
      <c r="I79" s="167">
        <v>50.48</v>
      </c>
      <c r="J79" s="167">
        <v>101.2</v>
      </c>
      <c r="K79" s="170">
        <v>46168.5665856482</v>
      </c>
    </row>
    <row r="80" spans="1:11">
      <c r="A80" s="136"/>
      <c r="B80" s="163" t="s">
        <v>176</v>
      </c>
      <c r="C80" s="163" t="s">
        <v>171</v>
      </c>
      <c r="D80" s="163">
        <v>0</v>
      </c>
      <c r="E80" s="163" t="s">
        <v>172</v>
      </c>
      <c r="F80" s="164" t="s">
        <v>172</v>
      </c>
      <c r="G80" s="163" t="s">
        <v>172</v>
      </c>
      <c r="H80" s="163" t="s">
        <v>172</v>
      </c>
      <c r="I80" s="163" t="s">
        <v>172</v>
      </c>
      <c r="J80" s="163" t="s">
        <v>172</v>
      </c>
      <c r="K80" s="165">
        <v>46168.5773148148</v>
      </c>
    </row>
    <row r="81" spans="1:11">
      <c r="A81" s="136"/>
      <c r="B81" s="163" t="s">
        <v>186</v>
      </c>
      <c r="C81" s="163" t="s">
        <v>171</v>
      </c>
      <c r="D81" s="163">
        <v>0</v>
      </c>
      <c r="E81" s="163" t="s">
        <v>172</v>
      </c>
      <c r="F81" s="164" t="s">
        <v>172</v>
      </c>
      <c r="G81" s="163" t="s">
        <v>172</v>
      </c>
      <c r="H81" s="163" t="s">
        <v>172</v>
      </c>
      <c r="I81" s="163" t="s">
        <v>172</v>
      </c>
      <c r="J81" s="163" t="s">
        <v>172</v>
      </c>
      <c r="K81" s="165">
        <v>46168.5880324074</v>
      </c>
    </row>
    <row r="82" spans="1:11">
      <c r="A82" s="136"/>
      <c r="B82" s="163" t="s">
        <v>193</v>
      </c>
      <c r="C82" s="163" t="s">
        <v>171</v>
      </c>
      <c r="D82" s="163">
        <v>0</v>
      </c>
      <c r="E82" s="166" t="s">
        <v>172</v>
      </c>
      <c r="F82" s="164" t="s">
        <v>172</v>
      </c>
      <c r="G82" s="163" t="s">
        <v>172</v>
      </c>
      <c r="H82" s="163" t="s">
        <v>172</v>
      </c>
      <c r="I82" s="163" t="s">
        <v>172</v>
      </c>
      <c r="J82" s="163" t="s">
        <v>172</v>
      </c>
      <c r="K82" s="165">
        <v>46168.5987847222</v>
      </c>
    </row>
    <row r="83" spans="1:11">
      <c r="A83" s="136"/>
      <c r="B83" s="163" t="s">
        <v>242</v>
      </c>
      <c r="C83" s="163" t="s">
        <v>171</v>
      </c>
      <c r="D83" s="163">
        <v>0</v>
      </c>
      <c r="E83" s="166" t="s">
        <v>172</v>
      </c>
      <c r="F83" s="164" t="s">
        <v>172</v>
      </c>
      <c r="G83" s="163" t="s">
        <v>172</v>
      </c>
      <c r="H83" s="163" t="s">
        <v>172</v>
      </c>
      <c r="I83" s="163" t="s">
        <v>172</v>
      </c>
      <c r="J83" s="163" t="s">
        <v>172</v>
      </c>
      <c r="K83" s="165">
        <v>46168.6095601852</v>
      </c>
    </row>
    <row r="84" spans="1:11">
      <c r="A84" s="136"/>
      <c r="B84" s="163" t="s">
        <v>243</v>
      </c>
      <c r="C84" s="163" t="s">
        <v>171</v>
      </c>
      <c r="D84" s="163">
        <v>0</v>
      </c>
      <c r="E84" s="166">
        <v>8.203</v>
      </c>
      <c r="F84" s="164">
        <v>163004</v>
      </c>
      <c r="G84" s="163">
        <v>24.84</v>
      </c>
      <c r="H84" s="163">
        <v>396.39</v>
      </c>
      <c r="I84" s="163" t="s">
        <v>172</v>
      </c>
      <c r="J84" s="163" t="s">
        <v>172</v>
      </c>
      <c r="K84" s="165">
        <v>46168.6202893518</v>
      </c>
    </row>
    <row r="85" spans="1:11">
      <c r="A85" s="136"/>
      <c r="B85" s="163" t="s">
        <v>244</v>
      </c>
      <c r="C85" s="163" t="s">
        <v>171</v>
      </c>
      <c r="D85" s="163">
        <v>0</v>
      </c>
      <c r="E85" s="166">
        <v>8.205</v>
      </c>
      <c r="F85" s="164">
        <v>163605</v>
      </c>
      <c r="G85" s="163">
        <v>24.93</v>
      </c>
      <c r="H85" s="163">
        <v>396.65</v>
      </c>
      <c r="I85" s="163" t="s">
        <v>172</v>
      </c>
      <c r="J85" s="163" t="s">
        <v>172</v>
      </c>
      <c r="K85" s="165">
        <v>46168.6310185185</v>
      </c>
    </row>
    <row r="86" spans="1:11">
      <c r="A86" s="136"/>
      <c r="B86" s="163" t="s">
        <v>245</v>
      </c>
      <c r="C86" s="163" t="s">
        <v>171</v>
      </c>
      <c r="D86" s="163">
        <v>0</v>
      </c>
      <c r="E86" s="166">
        <v>8.205</v>
      </c>
      <c r="F86" s="164">
        <v>158276</v>
      </c>
      <c r="G86" s="163">
        <v>24.12</v>
      </c>
      <c r="H86" s="163">
        <v>486.52</v>
      </c>
      <c r="I86" s="163" t="s">
        <v>172</v>
      </c>
      <c r="J86" s="163" t="s">
        <v>172</v>
      </c>
      <c r="K86" s="165">
        <v>46168.6417476852</v>
      </c>
    </row>
    <row r="87" spans="1:11">
      <c r="A87" s="136"/>
      <c r="B87" s="163" t="s">
        <v>246</v>
      </c>
      <c r="C87" s="163" t="s">
        <v>171</v>
      </c>
      <c r="D87" s="163">
        <v>0</v>
      </c>
      <c r="E87" s="166">
        <v>8.208</v>
      </c>
      <c r="F87" s="164">
        <v>163114</v>
      </c>
      <c r="G87" s="163">
        <v>24.85</v>
      </c>
      <c r="H87" s="163">
        <v>458.03</v>
      </c>
      <c r="I87" s="163" t="s">
        <v>172</v>
      </c>
      <c r="J87" s="163" t="s">
        <v>172</v>
      </c>
      <c r="K87" s="165">
        <v>46168.6524768519</v>
      </c>
    </row>
    <row r="88" spans="1:11">
      <c r="A88" s="136"/>
      <c r="B88" s="163" t="s">
        <v>247</v>
      </c>
      <c r="C88" s="163" t="s">
        <v>171</v>
      </c>
      <c r="D88" s="163">
        <v>0</v>
      </c>
      <c r="E88" s="166">
        <v>8.209</v>
      </c>
      <c r="F88" s="164">
        <v>169480</v>
      </c>
      <c r="G88" s="163">
        <v>25.82</v>
      </c>
      <c r="H88" s="163">
        <v>485</v>
      </c>
      <c r="I88" s="163" t="s">
        <v>172</v>
      </c>
      <c r="J88" s="163" t="s">
        <v>172</v>
      </c>
      <c r="K88" s="165">
        <v>46168.6632060185</v>
      </c>
    </row>
    <row r="89" spans="1:11">
      <c r="A89" s="136"/>
      <c r="B89" s="163" t="s">
        <v>248</v>
      </c>
      <c r="C89" s="163" t="s">
        <v>171</v>
      </c>
      <c r="D89" s="163">
        <v>0</v>
      </c>
      <c r="E89" s="163">
        <v>8.204</v>
      </c>
      <c r="F89" s="164">
        <v>167314</v>
      </c>
      <c r="G89" s="163">
        <v>25.49</v>
      </c>
      <c r="H89" s="163">
        <v>476.19</v>
      </c>
      <c r="I89" s="163" t="s">
        <v>172</v>
      </c>
      <c r="J89" s="163" t="s">
        <v>172</v>
      </c>
      <c r="K89" s="165">
        <v>46168.6739351852</v>
      </c>
    </row>
    <row r="90" spans="1:11">
      <c r="A90" s="136"/>
      <c r="B90" s="163" t="s">
        <v>249</v>
      </c>
      <c r="C90" s="163" t="s">
        <v>171</v>
      </c>
      <c r="D90" s="163">
        <v>0</v>
      </c>
      <c r="E90" s="163">
        <v>8.206</v>
      </c>
      <c r="F90" s="164">
        <v>165882</v>
      </c>
      <c r="G90" s="163">
        <v>25.28</v>
      </c>
      <c r="H90" s="163">
        <v>483.96</v>
      </c>
      <c r="I90" s="163" t="s">
        <v>172</v>
      </c>
      <c r="J90" s="163" t="s">
        <v>172</v>
      </c>
      <c r="K90" s="165">
        <v>46168.6846759259</v>
      </c>
    </row>
    <row r="91" spans="1:11">
      <c r="A91" s="136"/>
      <c r="B91" s="163" t="s">
        <v>197</v>
      </c>
      <c r="C91" s="163" t="s">
        <v>171</v>
      </c>
      <c r="D91" s="163">
        <v>0</v>
      </c>
      <c r="E91" s="163" t="s">
        <v>172</v>
      </c>
      <c r="F91" s="164" t="s">
        <v>172</v>
      </c>
      <c r="G91" s="163" t="s">
        <v>172</v>
      </c>
      <c r="H91" s="163" t="s">
        <v>172</v>
      </c>
      <c r="I91" s="163" t="s">
        <v>172</v>
      </c>
      <c r="J91" s="163" t="s">
        <v>172</v>
      </c>
      <c r="K91" s="165">
        <v>46168.6954050926</v>
      </c>
    </row>
    <row r="92" spans="1:11">
      <c r="A92" s="136"/>
      <c r="B92" s="163" t="s">
        <v>200</v>
      </c>
      <c r="C92" s="163" t="s">
        <v>171</v>
      </c>
      <c r="D92" s="163">
        <v>0</v>
      </c>
      <c r="E92" s="163" t="s">
        <v>172</v>
      </c>
      <c r="F92" s="164" t="s">
        <v>172</v>
      </c>
      <c r="G92" s="163" t="s">
        <v>172</v>
      </c>
      <c r="H92" s="163" t="s">
        <v>172</v>
      </c>
      <c r="I92" s="163" t="s">
        <v>172</v>
      </c>
      <c r="J92" s="163" t="s">
        <v>172</v>
      </c>
      <c r="K92" s="165">
        <v>46168.7061342593</v>
      </c>
    </row>
    <row r="93" spans="1:11">
      <c r="A93" s="136"/>
      <c r="B93" s="163" t="s">
        <v>212</v>
      </c>
      <c r="C93" s="163" t="s">
        <v>171</v>
      </c>
      <c r="D93" s="163">
        <v>0</v>
      </c>
      <c r="E93" s="163" t="s">
        <v>172</v>
      </c>
      <c r="F93" s="164" t="s">
        <v>172</v>
      </c>
      <c r="G93" s="163" t="s">
        <v>172</v>
      </c>
      <c r="H93" s="163" t="s">
        <v>172</v>
      </c>
      <c r="I93" s="163" t="s">
        <v>172</v>
      </c>
      <c r="J93" s="163" t="s">
        <v>172</v>
      </c>
      <c r="K93" s="165">
        <v>46168.7168518519</v>
      </c>
    </row>
    <row r="94" spans="1:11">
      <c r="A94" s="136"/>
      <c r="B94" s="163" t="s">
        <v>219</v>
      </c>
      <c r="C94" s="163" t="s">
        <v>171</v>
      </c>
      <c r="D94" s="163">
        <v>0</v>
      </c>
      <c r="E94" s="163" t="s">
        <v>172</v>
      </c>
      <c r="F94" s="164" t="s">
        <v>172</v>
      </c>
      <c r="G94" s="163" t="s">
        <v>172</v>
      </c>
      <c r="H94" s="163" t="s">
        <v>172</v>
      </c>
      <c r="I94" s="163" t="s">
        <v>172</v>
      </c>
      <c r="J94" s="163" t="s">
        <v>172</v>
      </c>
      <c r="K94" s="165">
        <v>46168.7275810185</v>
      </c>
    </row>
    <row r="95" spans="1:11">
      <c r="A95" s="136"/>
      <c r="B95" s="163" t="s">
        <v>250</v>
      </c>
      <c r="C95" s="163" t="s">
        <v>171</v>
      </c>
      <c r="D95" s="163">
        <v>0</v>
      </c>
      <c r="E95" s="163" t="s">
        <v>172</v>
      </c>
      <c r="F95" s="164" t="s">
        <v>172</v>
      </c>
      <c r="G95" s="163" t="s">
        <v>172</v>
      </c>
      <c r="H95" s="163" t="s">
        <v>172</v>
      </c>
      <c r="I95" s="163" t="s">
        <v>172</v>
      </c>
      <c r="J95" s="163" t="s">
        <v>172</v>
      </c>
      <c r="K95" s="165">
        <v>46168.7383101852</v>
      </c>
    </row>
    <row r="96" spans="1:11">
      <c r="A96" s="136"/>
      <c r="B96" s="163" t="s">
        <v>251</v>
      </c>
      <c r="C96" s="163" t="s">
        <v>171</v>
      </c>
      <c r="D96" s="163">
        <v>0</v>
      </c>
      <c r="E96" s="163" t="s">
        <v>172</v>
      </c>
      <c r="F96" s="164" t="s">
        <v>172</v>
      </c>
      <c r="G96" s="163" t="s">
        <v>172</v>
      </c>
      <c r="H96" s="163" t="s">
        <v>172</v>
      </c>
      <c r="I96" s="163" t="s">
        <v>172</v>
      </c>
      <c r="J96" s="163" t="s">
        <v>172</v>
      </c>
      <c r="K96" s="165">
        <v>46168.7490393519</v>
      </c>
    </row>
    <row r="97" spans="1:11">
      <c r="A97" s="136"/>
      <c r="B97" s="163" t="s">
        <v>252</v>
      </c>
      <c r="C97" s="163" t="s">
        <v>171</v>
      </c>
      <c r="D97" s="163">
        <v>0</v>
      </c>
      <c r="E97" s="163" t="s">
        <v>172</v>
      </c>
      <c r="F97" s="164" t="s">
        <v>172</v>
      </c>
      <c r="G97" s="163" t="s">
        <v>172</v>
      </c>
      <c r="H97" s="163" t="s">
        <v>172</v>
      </c>
      <c r="I97" s="163" t="s">
        <v>172</v>
      </c>
      <c r="J97" s="163" t="s">
        <v>172</v>
      </c>
      <c r="K97" s="165">
        <v>46168.7597685185</v>
      </c>
    </row>
    <row r="98" spans="1:11">
      <c r="A98" s="136"/>
      <c r="B98" s="163" t="s">
        <v>253</v>
      </c>
      <c r="C98" s="163" t="s">
        <v>171</v>
      </c>
      <c r="D98" s="163">
        <v>0</v>
      </c>
      <c r="E98" s="163" t="s">
        <v>172</v>
      </c>
      <c r="F98" s="164" t="s">
        <v>172</v>
      </c>
      <c r="G98" s="163" t="s">
        <v>172</v>
      </c>
      <c r="H98" s="163" t="s">
        <v>172</v>
      </c>
      <c r="I98" s="163" t="s">
        <v>172</v>
      </c>
      <c r="J98" s="163" t="s">
        <v>172</v>
      </c>
      <c r="K98" s="165">
        <v>46168.7705092593</v>
      </c>
    </row>
    <row r="99" spans="1:11">
      <c r="A99" s="136"/>
      <c r="B99" s="163" t="s">
        <v>254</v>
      </c>
      <c r="C99" s="163" t="s">
        <v>171</v>
      </c>
      <c r="D99" s="163">
        <v>0</v>
      </c>
      <c r="E99" s="163" t="s">
        <v>172</v>
      </c>
      <c r="F99" s="164" t="s">
        <v>172</v>
      </c>
      <c r="G99" s="163" t="s">
        <v>172</v>
      </c>
      <c r="H99" s="163" t="s">
        <v>172</v>
      </c>
      <c r="I99" s="163" t="s">
        <v>172</v>
      </c>
      <c r="J99" s="163" t="s">
        <v>172</v>
      </c>
      <c r="K99" s="165">
        <v>46168.7812384259</v>
      </c>
    </row>
    <row r="100" spans="1:11">
      <c r="A100" s="136"/>
      <c r="B100" s="163" t="s">
        <v>255</v>
      </c>
      <c r="C100" s="163" t="s">
        <v>171</v>
      </c>
      <c r="D100" s="163">
        <v>0</v>
      </c>
      <c r="E100" s="163" t="s">
        <v>172</v>
      </c>
      <c r="F100" s="164" t="s">
        <v>172</v>
      </c>
      <c r="G100" s="163" t="s">
        <v>172</v>
      </c>
      <c r="H100" s="163" t="s">
        <v>172</v>
      </c>
      <c r="I100" s="163" t="s">
        <v>172</v>
      </c>
      <c r="J100" s="163" t="s">
        <v>172</v>
      </c>
      <c r="K100" s="165">
        <v>46168.7919444444</v>
      </c>
    </row>
    <row r="101" spans="1:11">
      <c r="A101" s="136"/>
      <c r="B101" s="163" t="s">
        <v>256</v>
      </c>
      <c r="C101" s="163" t="s">
        <v>171</v>
      </c>
      <c r="D101" s="163">
        <v>0</v>
      </c>
      <c r="E101" s="166" t="s">
        <v>172</v>
      </c>
      <c r="F101" s="164" t="s">
        <v>172</v>
      </c>
      <c r="G101" s="163" t="s">
        <v>172</v>
      </c>
      <c r="H101" s="163" t="s">
        <v>172</v>
      </c>
      <c r="I101" s="163" t="s">
        <v>172</v>
      </c>
      <c r="J101" s="163" t="s">
        <v>172</v>
      </c>
      <c r="K101" s="165">
        <v>46168.8026851852</v>
      </c>
    </row>
    <row r="102" spans="1:11">
      <c r="A102" s="136"/>
      <c r="B102" s="163" t="s">
        <v>257</v>
      </c>
      <c r="C102" s="163" t="s">
        <v>171</v>
      </c>
      <c r="D102" s="163">
        <v>0</v>
      </c>
      <c r="E102" s="166" t="s">
        <v>172</v>
      </c>
      <c r="F102" s="164" t="s">
        <v>172</v>
      </c>
      <c r="G102" s="163" t="s">
        <v>172</v>
      </c>
      <c r="H102" s="163" t="s">
        <v>172</v>
      </c>
      <c r="I102" s="163" t="s">
        <v>172</v>
      </c>
      <c r="J102" s="163" t="s">
        <v>172</v>
      </c>
      <c r="K102" s="165">
        <v>46168.8134143519</v>
      </c>
    </row>
    <row r="103" spans="1:11">
      <c r="A103" s="136"/>
      <c r="B103" s="163" t="s">
        <v>258</v>
      </c>
      <c r="C103" s="163" t="s">
        <v>171</v>
      </c>
      <c r="D103" s="163">
        <v>0</v>
      </c>
      <c r="E103" s="166" t="s">
        <v>172</v>
      </c>
      <c r="F103" s="164" t="s">
        <v>172</v>
      </c>
      <c r="G103" s="163" t="s">
        <v>172</v>
      </c>
      <c r="H103" s="163" t="s">
        <v>172</v>
      </c>
      <c r="I103" s="163" t="s">
        <v>172</v>
      </c>
      <c r="J103" s="163" t="s">
        <v>172</v>
      </c>
      <c r="K103" s="165">
        <v>46168.8241435185</v>
      </c>
    </row>
  </sheetData>
  <mergeCells count="2">
    <mergeCell ref="A2:A68"/>
    <mergeCell ref="A69:A103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C13"/>
  <sheetViews>
    <sheetView workbookViewId="0">
      <selection activeCell="C7" sqref="C7"/>
    </sheetView>
  </sheetViews>
  <sheetFormatPr defaultColWidth="9" defaultRowHeight="13.5" outlineLevelCol="2"/>
  <cols>
    <col min="1" max="1" width="24.0973451327434" style="136" customWidth="1"/>
    <col min="2" max="3" width="20.646017699115" style="136" customWidth="1"/>
  </cols>
  <sheetData>
    <row r="1" ht="21" customHeight="1" spans="1:3">
      <c r="A1" s="149" t="s">
        <v>28</v>
      </c>
      <c r="B1" s="149" t="s">
        <v>54</v>
      </c>
      <c r="C1" s="13"/>
    </row>
    <row r="2" ht="21" customHeight="1" spans="1:3">
      <c r="A2" s="149" t="s">
        <v>29</v>
      </c>
      <c r="B2" s="149" t="s">
        <v>30</v>
      </c>
      <c r="C2" s="149" t="s">
        <v>31</v>
      </c>
    </row>
    <row r="3" ht="21" customHeight="1" spans="1:3">
      <c r="A3" s="149" t="s">
        <v>32</v>
      </c>
      <c r="B3" s="150"/>
      <c r="C3" s="151"/>
    </row>
    <row r="4" ht="21" customHeight="1" spans="1:3">
      <c r="A4" s="149" t="s">
        <v>33</v>
      </c>
      <c r="B4" s="150"/>
      <c r="C4" s="151"/>
    </row>
    <row r="5" ht="21" customHeight="1" spans="1:3">
      <c r="A5" s="149" t="s">
        <v>34</v>
      </c>
      <c r="B5" s="150"/>
      <c r="C5" s="151"/>
    </row>
    <row r="6" ht="21" customHeight="1" spans="1:3">
      <c r="A6" s="149" t="s">
        <v>35</v>
      </c>
      <c r="B6" s="150"/>
      <c r="C6" s="151"/>
    </row>
    <row r="7" ht="21" customHeight="1" spans="1:3">
      <c r="A7" s="149" t="s">
        <v>36</v>
      </c>
      <c r="B7" s="150"/>
      <c r="C7" s="151"/>
    </row>
    <row r="8" ht="21" customHeight="1" spans="1:3">
      <c r="A8" s="149" t="s">
        <v>37</v>
      </c>
      <c r="B8" s="150"/>
      <c r="C8" s="151"/>
    </row>
    <row r="9" ht="21" customHeight="1" spans="1:3">
      <c r="A9" s="149" t="s">
        <v>38</v>
      </c>
      <c r="B9" s="152" t="str">
        <f>IFERROR(ROUNDUP(B13,1),"")</f>
        <v/>
      </c>
      <c r="C9" s="152" t="str">
        <f>IFERROR(ROUNDUP(C13,1),"")</f>
        <v/>
      </c>
    </row>
    <row r="10" ht="21" customHeight="1" spans="1:3">
      <c r="A10" s="149" t="s">
        <v>39</v>
      </c>
      <c r="B10" s="149"/>
      <c r="C10" s="149"/>
    </row>
    <row r="11" ht="21" customHeight="1" spans="1:3">
      <c r="A11" s="149" t="s">
        <v>40</v>
      </c>
      <c r="B11" s="149" t="str">
        <f>IFERROR(AVERAGE(B3:B8),"")</f>
        <v/>
      </c>
      <c r="C11" s="153" t="str">
        <f>IFERROR(AVERAGE(C3:C8),"")</f>
        <v/>
      </c>
    </row>
    <row r="12" ht="21" customHeight="1" spans="1:3">
      <c r="A12" s="149" t="s">
        <v>41</v>
      </c>
      <c r="B12" s="154" t="str">
        <f>IFERROR(STDEV(B3:B8),"")</f>
        <v/>
      </c>
      <c r="C12" s="154" t="str">
        <f>IFERROR(STDEV(C3:C8),"")</f>
        <v/>
      </c>
    </row>
    <row r="13" ht="21" customHeight="1" spans="1:3">
      <c r="A13" s="149" t="s">
        <v>42</v>
      </c>
      <c r="B13" s="149" t="str">
        <f>IFERROR(B12/B11*100,"")</f>
        <v/>
      </c>
      <c r="C13" s="149" t="str">
        <f>IFERROR(C12/C11*100,"")</f>
        <v/>
      </c>
    </row>
  </sheetData>
  <mergeCells count="1">
    <mergeCell ref="B1:C1"/>
  </mergeCells>
  <pageMargins left="0.7" right="0.7" top="0.75" bottom="0.75" header="0.3" footer="0.3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K3"/>
  <sheetViews>
    <sheetView workbookViewId="0">
      <selection activeCell="B36" sqref="B36"/>
    </sheetView>
  </sheetViews>
  <sheetFormatPr defaultColWidth="9.02654867256637" defaultRowHeight="13.5" outlineLevelRow="2"/>
  <cols>
    <col min="1" max="1" width="11.4867256637168" style="1" customWidth="1"/>
    <col min="2" max="2" width="14.0796460176991" style="1" customWidth="1"/>
    <col min="3" max="3" width="10.6194690265487" style="1" customWidth="1"/>
    <col min="4" max="5" width="20.9115044247788" style="1" customWidth="1"/>
    <col min="6" max="6" width="14.5398230088496" style="1" customWidth="1"/>
    <col min="7" max="11" width="12.5486725663717" style="1" customWidth="1"/>
  </cols>
  <sheetData>
    <row r="1" s="127" customFormat="1" ht="17" customHeight="1" spans="1:11">
      <c r="A1" s="141"/>
      <c r="B1" s="142"/>
      <c r="C1" s="143"/>
      <c r="D1" s="142"/>
      <c r="E1" s="144"/>
      <c r="F1" s="144"/>
      <c r="G1" s="144"/>
      <c r="H1" s="144"/>
      <c r="I1" s="144"/>
      <c r="J1" s="144"/>
      <c r="K1" s="144"/>
    </row>
    <row r="2" s="127" customFormat="1" ht="17" customHeight="1" spans="1:11">
      <c r="A2" s="145" t="s">
        <v>43</v>
      </c>
      <c r="B2" s="48" t="s">
        <v>44</v>
      </c>
      <c r="C2" s="55" t="s">
        <v>45</v>
      </c>
      <c r="D2" s="48" t="s">
        <v>46</v>
      </c>
      <c r="E2" s="48" t="s">
        <v>47</v>
      </c>
      <c r="F2" s="146" t="s">
        <v>48</v>
      </c>
      <c r="G2" s="146" t="s">
        <v>49</v>
      </c>
      <c r="H2" s="146" t="s">
        <v>50</v>
      </c>
      <c r="I2" s="146" t="s">
        <v>51</v>
      </c>
      <c r="J2" s="146" t="s">
        <v>52</v>
      </c>
      <c r="K2" s="146" t="s">
        <v>53</v>
      </c>
    </row>
    <row r="3" s="127" customFormat="1" ht="17" customHeight="1" spans="1:11">
      <c r="A3" s="56" t="s">
        <v>54</v>
      </c>
      <c r="B3" s="147"/>
      <c r="C3" s="148"/>
      <c r="D3" s="127">
        <f>B3*C3/20*1000*1000</f>
        <v>0</v>
      </c>
      <c r="E3" s="127">
        <f>D3*0.2/20</f>
        <v>0</v>
      </c>
      <c r="F3" s="127">
        <f>ROUND(E3*F1/20,2)</f>
        <v>0</v>
      </c>
      <c r="G3" s="127">
        <f>ROUND(E3*G1/20,2)</f>
        <v>0</v>
      </c>
      <c r="H3" s="127">
        <f>ROUND(E3*H1/20,2)</f>
        <v>0</v>
      </c>
      <c r="I3" s="127">
        <f>ROUND(E3*I1/20,2)</f>
        <v>0</v>
      </c>
      <c r="J3" s="127">
        <f>ROUND(E3*J1/20,2)</f>
        <v>0</v>
      </c>
      <c r="K3" s="127">
        <f>ROUND(E3*K1/20,2)</f>
        <v>0</v>
      </c>
    </row>
  </sheetData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:D5"/>
  <sheetViews>
    <sheetView workbookViewId="0">
      <selection activeCell="A2" sqref="A2:A5"/>
    </sheetView>
  </sheetViews>
  <sheetFormatPr defaultColWidth="9" defaultRowHeight="13.5" outlineLevelRow="4" outlineLevelCol="3"/>
  <cols>
    <col min="1" max="1" width="13.9380530973451" style="136" customWidth="1"/>
    <col min="2" max="4" width="19.716814159292" style="136" customWidth="1"/>
    <col min="5" max="16384" width="9" style="136" customWidth="1"/>
  </cols>
  <sheetData>
    <row r="1" ht="17.6" customHeight="1" spans="1:4">
      <c r="A1" s="137" t="s">
        <v>28</v>
      </c>
      <c r="B1" s="137" t="s">
        <v>29</v>
      </c>
      <c r="C1" s="137" t="s">
        <v>30</v>
      </c>
      <c r="D1" s="137" t="s">
        <v>31</v>
      </c>
    </row>
    <row r="2" ht="17.6" customHeight="1" spans="1:4">
      <c r="A2" s="138" t="s">
        <v>54</v>
      </c>
      <c r="B2" s="137" t="s">
        <v>55</v>
      </c>
      <c r="C2" s="139"/>
      <c r="D2" s="139"/>
    </row>
    <row r="3" ht="17.6" customHeight="1" spans="1:4">
      <c r="A3" s="18"/>
      <c r="B3" s="137" t="s">
        <v>56</v>
      </c>
      <c r="C3" s="140"/>
      <c r="D3" s="140"/>
    </row>
    <row r="4" ht="17.6" customHeight="1" spans="1:4">
      <c r="A4" s="18"/>
      <c r="B4" s="137" t="s">
        <v>57</v>
      </c>
      <c r="C4" s="140"/>
      <c r="D4" s="140"/>
    </row>
    <row r="5" ht="17.6" customHeight="1" spans="1:4">
      <c r="A5" s="19"/>
      <c r="B5" s="137" t="s">
        <v>58</v>
      </c>
      <c r="C5" s="140"/>
      <c r="D5" s="140"/>
    </row>
  </sheetData>
  <mergeCells count="1">
    <mergeCell ref="A2:A5"/>
  </mergeCells>
  <pageMargins left="0.7" right="0.7" top="0.75" bottom="0.75" header="0.3" footer="0.3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J13"/>
  <sheetViews>
    <sheetView workbookViewId="0">
      <selection activeCell="E7" sqref="E7:E12"/>
    </sheetView>
  </sheetViews>
  <sheetFormatPr defaultColWidth="9" defaultRowHeight="13.5"/>
  <cols>
    <col min="1" max="1" width="9.06194690265487" style="1" customWidth="1"/>
    <col min="2" max="2" width="13.4070796460177" style="20" customWidth="1"/>
    <col min="3" max="3" width="13.8849557522124" style="20" customWidth="1"/>
    <col min="4" max="10" width="19.8495575221239" style="20" customWidth="1"/>
  </cols>
  <sheetData>
    <row r="1" s="20" customFormat="1" ht="23.25" customHeight="1" spans="1:10">
      <c r="A1" s="120" t="s">
        <v>59</v>
      </c>
      <c r="J1" s="44"/>
    </row>
    <row r="2" s="20" customFormat="1" ht="35.25" customHeight="1" spans="1:10">
      <c r="A2" s="121" t="s">
        <v>60</v>
      </c>
      <c r="B2" s="121" t="s">
        <v>61</v>
      </c>
      <c r="C2" s="121" t="s">
        <v>28</v>
      </c>
      <c r="D2" s="121" t="s">
        <v>62</v>
      </c>
      <c r="E2" s="121" t="s">
        <v>63</v>
      </c>
      <c r="F2" s="121" t="s">
        <v>64</v>
      </c>
      <c r="G2" s="121" t="s">
        <v>65</v>
      </c>
      <c r="H2" s="121" t="s">
        <v>66</v>
      </c>
      <c r="I2" s="121" t="s">
        <v>67</v>
      </c>
      <c r="J2" s="13"/>
    </row>
    <row r="3" s="20" customFormat="1" ht="18" customHeight="1" spans="1:10">
      <c r="A3" s="122"/>
      <c r="B3" s="122"/>
      <c r="C3" s="123" t="s">
        <v>54</v>
      </c>
      <c r="D3" s="124"/>
      <c r="E3" s="124"/>
      <c r="F3" s="124"/>
      <c r="G3" s="122"/>
      <c r="H3" s="125" t="str">
        <f>IF(G3="","",ROUND(G3/B3,1))</f>
        <v/>
      </c>
      <c r="I3" s="126" t="str">
        <f>IF(H3="","",H3/A3*100)</f>
        <v/>
      </c>
      <c r="J3" s="13"/>
    </row>
    <row r="4" s="20" customFormat="1" ht="18" customHeight="1" spans="1:10">
      <c r="A4" s="127"/>
      <c r="B4" s="127"/>
      <c r="C4" s="121" t="s">
        <v>39</v>
      </c>
      <c r="D4" s="122"/>
      <c r="E4" s="108"/>
      <c r="F4" s="108"/>
      <c r="G4" s="108"/>
      <c r="H4" s="108"/>
      <c r="I4" s="108"/>
      <c r="J4" s="109"/>
    </row>
    <row r="5" s="20" customFormat="1" ht="23.25" customHeight="1" spans="1:10">
      <c r="A5" s="128" t="s">
        <v>68</v>
      </c>
      <c r="B5" s="12"/>
      <c r="C5" s="12"/>
      <c r="D5" s="12"/>
      <c r="E5" s="12"/>
      <c r="F5" s="12"/>
      <c r="G5" s="12"/>
      <c r="H5" s="12"/>
      <c r="I5" s="12"/>
      <c r="J5" s="13"/>
    </row>
    <row r="6" s="20" customFormat="1" ht="35.25" customHeight="1" spans="1:10">
      <c r="A6" s="121" t="s">
        <v>60</v>
      </c>
      <c r="B6" s="121" t="s">
        <v>61</v>
      </c>
      <c r="C6" s="123" t="s">
        <v>54</v>
      </c>
      <c r="D6" s="121" t="s">
        <v>69</v>
      </c>
      <c r="E6" s="121" t="s">
        <v>70</v>
      </c>
      <c r="F6" s="121" t="s">
        <v>31</v>
      </c>
      <c r="G6" s="121" t="s">
        <v>71</v>
      </c>
      <c r="H6" s="121" t="s">
        <v>72</v>
      </c>
      <c r="I6" s="121" t="s">
        <v>73</v>
      </c>
      <c r="J6" s="121" t="s">
        <v>67</v>
      </c>
    </row>
    <row r="7" s="20" customFormat="1" ht="18" customHeight="1" spans="1:10">
      <c r="A7" s="122"/>
      <c r="B7" s="122"/>
      <c r="C7" s="18"/>
      <c r="D7" s="129">
        <v>1</v>
      </c>
      <c r="E7" s="130"/>
      <c r="F7" s="131"/>
      <c r="G7" s="132" t="str">
        <f>IFERROR(STDEV(F7:F12)/AVERAGE(F7:F12)*100,"")</f>
        <v/>
      </c>
      <c r="H7" s="133"/>
      <c r="I7" s="125" t="str">
        <f>IF(H7="","",ROUND(H7/B7,1))</f>
        <v/>
      </c>
      <c r="J7" s="126" t="str">
        <f>IF(I7="","",I7/A7*100)</f>
        <v/>
      </c>
    </row>
    <row r="8" s="20" customFormat="1" ht="18" customHeight="1" spans="1:10">
      <c r="A8" s="134"/>
      <c r="B8" s="134"/>
      <c r="C8" s="18"/>
      <c r="D8" s="129">
        <v>2</v>
      </c>
      <c r="E8" s="130"/>
      <c r="F8" s="131"/>
      <c r="G8" s="18"/>
      <c r="H8" s="134"/>
      <c r="I8" s="18"/>
      <c r="J8" s="18"/>
    </row>
    <row r="9" s="20" customFormat="1" ht="18" customHeight="1" spans="1:10">
      <c r="A9" s="134"/>
      <c r="B9" s="134"/>
      <c r="C9" s="18"/>
      <c r="D9" s="129">
        <v>3</v>
      </c>
      <c r="E9" s="130"/>
      <c r="F9" s="131"/>
      <c r="G9" s="18"/>
      <c r="H9" s="134"/>
      <c r="I9" s="18"/>
      <c r="J9" s="18"/>
    </row>
    <row r="10" s="20" customFormat="1" ht="18" customHeight="1" spans="1:10">
      <c r="A10" s="134"/>
      <c r="B10" s="134"/>
      <c r="C10" s="18"/>
      <c r="D10" s="129">
        <v>4</v>
      </c>
      <c r="E10" s="130"/>
      <c r="F10" s="131"/>
      <c r="G10" s="18"/>
      <c r="H10" s="134"/>
      <c r="I10" s="18"/>
      <c r="J10" s="18"/>
    </row>
    <row r="11" s="20" customFormat="1" ht="18" customHeight="1" spans="1:10">
      <c r="A11" s="134"/>
      <c r="B11" s="134"/>
      <c r="C11" s="18"/>
      <c r="D11" s="129">
        <v>5</v>
      </c>
      <c r="E11" s="130"/>
      <c r="F11" s="131"/>
      <c r="G11" s="18"/>
      <c r="H11" s="134"/>
      <c r="I11" s="18"/>
      <c r="J11" s="18"/>
    </row>
    <row r="12" s="20" customFormat="1" ht="18" customHeight="1" spans="1:10">
      <c r="A12" s="135"/>
      <c r="B12" s="135"/>
      <c r="C12" s="18"/>
      <c r="D12" s="129">
        <v>6</v>
      </c>
      <c r="E12" s="130"/>
      <c r="F12" s="131"/>
      <c r="G12" s="19"/>
      <c r="H12" s="135"/>
      <c r="I12" s="19"/>
      <c r="J12" s="19"/>
    </row>
    <row r="13" s="20" customFormat="1" ht="18" customHeight="1" spans="1:10">
      <c r="A13" s="127"/>
      <c r="B13" s="127"/>
      <c r="C13" s="19"/>
      <c r="D13" s="121" t="s">
        <v>39</v>
      </c>
      <c r="E13" s="122"/>
      <c r="F13" s="108"/>
      <c r="G13" s="108"/>
      <c r="H13" s="108"/>
      <c r="I13" s="108"/>
      <c r="J13" s="109"/>
    </row>
  </sheetData>
  <mergeCells count="13">
    <mergeCell ref="A1:J1"/>
    <mergeCell ref="I2:J2"/>
    <mergeCell ref="I3:J3"/>
    <mergeCell ref="D4:J4"/>
    <mergeCell ref="A5:J5"/>
    <mergeCell ref="E13:J13"/>
    <mergeCell ref="A7:A12"/>
    <mergeCell ref="B7:B12"/>
    <mergeCell ref="C6:C13"/>
    <mergeCell ref="G7:G12"/>
    <mergeCell ref="H7:H12"/>
    <mergeCell ref="I7:I12"/>
    <mergeCell ref="J7:J12"/>
  </mergeCells>
  <pageMargins left="0.7" right="0.7" top="0.75" bottom="0.75" header="0.3" footer="0.3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H24"/>
  <sheetViews>
    <sheetView workbookViewId="0">
      <selection activeCell="G18" sqref="C18:G18"/>
    </sheetView>
  </sheetViews>
  <sheetFormatPr defaultColWidth="9.02654867256637" defaultRowHeight="13.5" outlineLevelCol="7"/>
  <cols>
    <col min="1" max="1" width="9.43362831858407" style="10" customWidth="1"/>
    <col min="2" max="2" width="22.9646017699115" style="10" customWidth="1"/>
    <col min="3" max="7" width="14.6106194690265" style="10" customWidth="1"/>
    <col min="8" max="8" width="9.03539823008849" style="1" customWidth="1"/>
  </cols>
  <sheetData>
    <row r="1" ht="23.25" customHeight="1" spans="1:8">
      <c r="A1" s="102"/>
      <c r="B1" s="11" t="s">
        <v>74</v>
      </c>
      <c r="C1" s="12"/>
      <c r="D1" s="12"/>
      <c r="E1" s="12"/>
      <c r="F1" s="12"/>
      <c r="G1" s="13"/>
      <c r="H1"/>
    </row>
    <row r="2" ht="22.1" customHeight="1" spans="1:8">
      <c r="A2" s="103" t="s">
        <v>54</v>
      </c>
      <c r="B2" s="104" t="s">
        <v>29</v>
      </c>
      <c r="C2" s="105" t="s">
        <v>75</v>
      </c>
      <c r="D2" s="105" t="s">
        <v>76</v>
      </c>
      <c r="E2" s="105" t="s">
        <v>77</v>
      </c>
      <c r="F2" s="105" t="s">
        <v>78</v>
      </c>
      <c r="G2" s="105" t="s">
        <v>79</v>
      </c>
      <c r="H2"/>
    </row>
    <row r="3" ht="17.6" customHeight="1" spans="1:8">
      <c r="A3" s="44"/>
      <c r="B3" s="104" t="s">
        <v>80</v>
      </c>
      <c r="C3" s="106"/>
      <c r="D3" s="106"/>
      <c r="E3" s="106"/>
      <c r="F3" s="106"/>
      <c r="G3" s="106"/>
      <c r="H3"/>
    </row>
    <row r="4" ht="17.6" customHeight="1" spans="1:8">
      <c r="A4" s="44"/>
      <c r="B4" s="104" t="s">
        <v>31</v>
      </c>
      <c r="C4" s="106"/>
      <c r="D4" s="106"/>
      <c r="E4" s="106"/>
      <c r="F4" s="106"/>
      <c r="G4" s="106"/>
      <c r="H4"/>
    </row>
    <row r="5" ht="17.6" customHeight="1" spans="1:8">
      <c r="A5" s="44"/>
      <c r="B5" s="104" t="s">
        <v>81</v>
      </c>
      <c r="C5" s="107"/>
      <c r="D5" s="108"/>
      <c r="E5" s="108"/>
      <c r="F5" s="108"/>
      <c r="G5" s="109"/>
      <c r="H5"/>
    </row>
    <row r="6" ht="17.6" customHeight="1" spans="1:8">
      <c r="A6" s="44"/>
      <c r="B6" s="104" t="s">
        <v>82</v>
      </c>
      <c r="C6" s="110"/>
      <c r="D6" s="108"/>
      <c r="E6" s="108"/>
      <c r="F6" s="108"/>
      <c r="G6" s="109"/>
      <c r="H6"/>
    </row>
    <row r="7" ht="17.6" customHeight="1" spans="1:8">
      <c r="A7" s="44"/>
      <c r="B7" s="104" t="s">
        <v>83</v>
      </c>
      <c r="C7" s="110"/>
      <c r="D7" s="108"/>
      <c r="E7" s="108"/>
      <c r="F7" s="108"/>
      <c r="G7" s="109"/>
      <c r="H7"/>
    </row>
    <row r="8" ht="17.6" customHeight="1" spans="1:8">
      <c r="A8" s="44"/>
      <c r="B8" s="104" t="s">
        <v>84</v>
      </c>
      <c r="C8" s="111"/>
      <c r="D8" s="111"/>
      <c r="E8" s="111"/>
      <c r="F8" s="111"/>
      <c r="G8" s="111"/>
      <c r="H8"/>
    </row>
    <row r="9" ht="18.35" customHeight="1" spans="1:8">
      <c r="A9" s="44"/>
      <c r="B9" s="104" t="s">
        <v>85</v>
      </c>
      <c r="C9" s="112">
        <f>C4-C8</f>
        <v>0</v>
      </c>
      <c r="D9" s="112">
        <f>D4-D8</f>
        <v>0</v>
      </c>
      <c r="E9" s="112">
        <f>E4-E8</f>
        <v>0</v>
      </c>
      <c r="F9" s="112">
        <f>F4-F8</f>
        <v>0</v>
      </c>
      <c r="G9" s="112">
        <f>G4-G8</f>
        <v>0</v>
      </c>
      <c r="H9"/>
    </row>
    <row r="10" ht="17.6" customHeight="1" spans="1:8">
      <c r="A10" s="44"/>
      <c r="B10" s="104" t="s">
        <v>86</v>
      </c>
      <c r="C10" s="113"/>
      <c r="D10" s="108"/>
      <c r="E10" s="108"/>
      <c r="F10" s="108"/>
      <c r="G10" s="109"/>
      <c r="H10"/>
    </row>
    <row r="11" spans="1:8">
      <c r="A11" s="44"/>
      <c r="B11" s="104" t="s">
        <v>39</v>
      </c>
      <c r="C11" s="107"/>
      <c r="D11" s="114"/>
      <c r="E11" s="114"/>
      <c r="F11" s="114"/>
      <c r="G11" s="115"/>
      <c r="H11"/>
    </row>
    <row r="12" spans="1:8">
      <c r="A12" s="44"/>
      <c r="B12" s="34"/>
      <c r="C12" s="116"/>
      <c r="D12" s="117"/>
      <c r="E12" s="117"/>
      <c r="F12" s="117"/>
      <c r="G12" s="118"/>
      <c r="H12"/>
    </row>
    <row r="13" ht="23.25" customHeight="1" spans="1:8">
      <c r="A13" s="44"/>
      <c r="B13" s="119" t="s">
        <v>87</v>
      </c>
      <c r="C13" s="12"/>
      <c r="D13" s="12"/>
      <c r="E13" s="12"/>
      <c r="F13" s="12"/>
      <c r="G13" s="13"/>
      <c r="H13"/>
    </row>
    <row r="14" ht="22.1" customHeight="1" spans="1:8">
      <c r="A14" s="44"/>
      <c r="B14" s="104" t="s">
        <v>29</v>
      </c>
      <c r="C14" s="105" t="s">
        <v>75</v>
      </c>
      <c r="D14" s="105" t="s">
        <v>76</v>
      </c>
      <c r="E14" s="105" t="s">
        <v>77</v>
      </c>
      <c r="F14" s="105" t="s">
        <v>78</v>
      </c>
      <c r="G14" s="105" t="s">
        <v>79</v>
      </c>
      <c r="H14"/>
    </row>
    <row r="15" ht="17.6" customHeight="1" spans="1:8">
      <c r="A15" s="44"/>
      <c r="B15" s="104" t="s">
        <v>80</v>
      </c>
      <c r="C15" s="106"/>
      <c r="D15" s="106"/>
      <c r="E15" s="106"/>
      <c r="F15" s="106"/>
      <c r="G15" s="106"/>
      <c r="H15"/>
    </row>
    <row r="16" ht="17.6" customHeight="1" spans="1:8">
      <c r="A16" s="44"/>
      <c r="B16" s="104" t="s">
        <v>31</v>
      </c>
      <c r="C16" s="106"/>
      <c r="D16" s="106"/>
      <c r="E16" s="106"/>
      <c r="F16" s="106"/>
      <c r="G16" s="106"/>
      <c r="H16"/>
    </row>
    <row r="17" ht="17.6" customHeight="1" spans="1:8">
      <c r="A17" s="44"/>
      <c r="B17" s="104" t="s">
        <v>81</v>
      </c>
      <c r="C17" s="107"/>
      <c r="D17" s="108"/>
      <c r="E17" s="108"/>
      <c r="F17" s="108"/>
      <c r="G17" s="109"/>
      <c r="H17"/>
    </row>
    <row r="18" ht="17.6" customHeight="1" spans="1:8">
      <c r="A18" s="44"/>
      <c r="B18" s="104" t="s">
        <v>82</v>
      </c>
      <c r="C18" s="110"/>
      <c r="D18" s="108"/>
      <c r="E18" s="108"/>
      <c r="F18" s="108"/>
      <c r="G18" s="109"/>
      <c r="H18"/>
    </row>
    <row r="19" ht="17.6" customHeight="1" spans="1:8">
      <c r="A19" s="44"/>
      <c r="B19" s="104" t="s">
        <v>83</v>
      </c>
      <c r="C19" s="110"/>
      <c r="D19" s="108"/>
      <c r="E19" s="108"/>
      <c r="F19" s="108"/>
      <c r="G19" s="109"/>
      <c r="H19"/>
    </row>
    <row r="20" ht="17.6" customHeight="1" spans="1:8">
      <c r="A20" s="44"/>
      <c r="B20" s="104" t="s">
        <v>84</v>
      </c>
      <c r="C20" s="111"/>
      <c r="D20" s="111"/>
      <c r="E20" s="111"/>
      <c r="F20" s="111"/>
      <c r="G20" s="111"/>
      <c r="H20"/>
    </row>
    <row r="21" ht="18.35" customHeight="1" spans="1:8">
      <c r="A21" s="44"/>
      <c r="B21" s="104" t="s">
        <v>85</v>
      </c>
      <c r="C21" s="112">
        <f>C16-C20</f>
        <v>0</v>
      </c>
      <c r="D21" s="112">
        <f>D16-D20</f>
        <v>0</v>
      </c>
      <c r="E21" s="112">
        <f>E16-E20</f>
        <v>0</v>
      </c>
      <c r="F21" s="112">
        <f>F16-F20</f>
        <v>0</v>
      </c>
      <c r="G21" s="112">
        <f>G16-G20</f>
        <v>0</v>
      </c>
      <c r="H21"/>
    </row>
    <row r="22" ht="17.6" customHeight="1" spans="1:8">
      <c r="A22" s="44"/>
      <c r="B22" s="104" t="s">
        <v>86</v>
      </c>
      <c r="C22" s="113"/>
      <c r="D22" s="108"/>
      <c r="E22" s="108"/>
      <c r="F22" s="108"/>
      <c r="G22" s="109"/>
      <c r="H22"/>
    </row>
    <row r="23" spans="1:8">
      <c r="A23" s="44"/>
      <c r="B23" s="104" t="s">
        <v>39</v>
      </c>
      <c r="C23" s="107"/>
      <c r="D23" s="114"/>
      <c r="E23" s="114"/>
      <c r="F23" s="114"/>
      <c r="G23" s="115"/>
      <c r="H23"/>
    </row>
    <row r="24" spans="1:8">
      <c r="A24" s="34"/>
      <c r="B24" s="34"/>
      <c r="C24" s="116"/>
      <c r="D24" s="117"/>
      <c r="E24" s="117"/>
      <c r="F24" s="117"/>
      <c r="G24" s="118"/>
      <c r="H24"/>
    </row>
  </sheetData>
  <mergeCells count="15">
    <mergeCell ref="B1:G1"/>
    <mergeCell ref="C5:G5"/>
    <mergeCell ref="C6:G6"/>
    <mergeCell ref="C7:G7"/>
    <mergeCell ref="C10:G10"/>
    <mergeCell ref="B13:G13"/>
    <mergeCell ref="C17:G17"/>
    <mergeCell ref="C18:G18"/>
    <mergeCell ref="C19:G19"/>
    <mergeCell ref="C22:G22"/>
    <mergeCell ref="A2:A24"/>
    <mergeCell ref="B11:B12"/>
    <mergeCell ref="B23:B24"/>
    <mergeCell ref="C11:G12"/>
    <mergeCell ref="C23:G24"/>
  </mergeCells>
  <pageMargins left="0.75" right="0.75" top="1" bottom="1" header="0.5" footer="0.5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A1:J33"/>
  <sheetViews>
    <sheetView topLeftCell="A7" workbookViewId="0">
      <selection activeCell="F3" sqref="F3:H8"/>
    </sheetView>
  </sheetViews>
  <sheetFormatPr defaultColWidth="9.02654867256637" defaultRowHeight="13.5"/>
  <cols>
    <col min="1" max="1" width="16.9203539823009" style="1" customWidth="1"/>
    <col min="2" max="3" width="11.3716814159292" style="1" customWidth="1"/>
    <col min="4" max="4" width="11.6106194690265" style="1" customWidth="1"/>
    <col min="5" max="5" width="14.3362831858407" style="1" customWidth="1"/>
    <col min="6" max="6" width="11.9469026548673" style="1" customWidth="1"/>
    <col min="7" max="7" width="13.1504424778761" style="1" customWidth="1"/>
    <col min="8" max="8" width="13.8141592920354" style="1" customWidth="1"/>
    <col min="9" max="9" width="10.8849557522124" style="1" customWidth="1"/>
    <col min="10" max="10" width="11.9469026548673" style="1" customWidth="1"/>
  </cols>
  <sheetData>
    <row r="1" ht="23.25" customHeight="1" spans="1:10">
      <c r="A1" s="80"/>
      <c r="B1" s="81" t="s">
        <v>88</v>
      </c>
      <c r="C1" s="12"/>
      <c r="D1" s="12"/>
      <c r="E1" s="12"/>
      <c r="F1" s="12"/>
      <c r="G1" s="12"/>
      <c r="H1" s="12"/>
      <c r="I1" s="12"/>
      <c r="J1" s="13"/>
    </row>
    <row r="2" ht="39.75" customHeight="1" spans="1:10">
      <c r="A2" s="82" t="s">
        <v>54</v>
      </c>
      <c r="B2" s="28" t="s">
        <v>89</v>
      </c>
      <c r="C2" s="28" t="s">
        <v>89</v>
      </c>
      <c r="D2" s="16" t="s">
        <v>69</v>
      </c>
      <c r="E2" s="83" t="s">
        <v>90</v>
      </c>
      <c r="F2" s="84" t="s">
        <v>30</v>
      </c>
      <c r="G2" s="85" t="s">
        <v>31</v>
      </c>
      <c r="H2" s="85" t="s">
        <v>91</v>
      </c>
      <c r="I2" s="85" t="s">
        <v>66</v>
      </c>
      <c r="J2" s="28" t="s">
        <v>92</v>
      </c>
    </row>
    <row r="3" ht="13.8" customHeight="1" spans="1:10">
      <c r="A3" s="18"/>
      <c r="B3" s="86"/>
      <c r="C3" s="86"/>
      <c r="D3" s="16">
        <v>1</v>
      </c>
      <c r="E3" s="87">
        <f t="shared" ref="E3:E8" si="0">B3-C3</f>
        <v>0</v>
      </c>
      <c r="F3" s="88"/>
      <c r="G3" s="89"/>
      <c r="H3" s="90"/>
      <c r="I3" s="91" t="e">
        <f t="shared" ref="I3:I8" si="1">ROUND(H3*20/E3,1)</f>
        <v>#DIV/0!</v>
      </c>
      <c r="J3" s="78" t="e">
        <f t="shared" ref="J3:J8" si="2">I3/25*100</f>
        <v>#DIV/0!</v>
      </c>
    </row>
    <row r="4" ht="13.8" customHeight="1" spans="1:10">
      <c r="A4" s="18"/>
      <c r="B4" s="86"/>
      <c r="C4" s="86"/>
      <c r="D4" s="16">
        <v>2</v>
      </c>
      <c r="E4" s="87">
        <f t="shared" si="0"/>
        <v>0</v>
      </c>
      <c r="F4" s="88"/>
      <c r="G4" s="89"/>
      <c r="H4" s="90"/>
      <c r="I4" s="91" t="e">
        <f t="shared" si="1"/>
        <v>#DIV/0!</v>
      </c>
      <c r="J4" s="78" t="e">
        <f t="shared" si="2"/>
        <v>#DIV/0!</v>
      </c>
    </row>
    <row r="5" ht="13.8" customHeight="1" spans="1:10">
      <c r="A5" s="18"/>
      <c r="B5" s="86"/>
      <c r="C5" s="86"/>
      <c r="D5" s="16">
        <v>3</v>
      </c>
      <c r="E5" s="87">
        <f t="shared" si="0"/>
        <v>0</v>
      </c>
      <c r="F5" s="88"/>
      <c r="G5" s="89"/>
      <c r="H5" s="90"/>
      <c r="I5" s="91" t="e">
        <f t="shared" si="1"/>
        <v>#DIV/0!</v>
      </c>
      <c r="J5" s="78" t="e">
        <f t="shared" si="2"/>
        <v>#DIV/0!</v>
      </c>
    </row>
    <row r="6" ht="13.8" customHeight="1" spans="1:10">
      <c r="A6" s="18"/>
      <c r="B6" s="86"/>
      <c r="C6" s="86"/>
      <c r="D6" s="16">
        <v>4</v>
      </c>
      <c r="E6" s="87">
        <f t="shared" si="0"/>
        <v>0</v>
      </c>
      <c r="F6" s="88"/>
      <c r="G6" s="89"/>
      <c r="H6" s="90"/>
      <c r="I6" s="91" t="e">
        <f t="shared" si="1"/>
        <v>#DIV/0!</v>
      </c>
      <c r="J6" s="78" t="e">
        <f t="shared" si="2"/>
        <v>#DIV/0!</v>
      </c>
    </row>
    <row r="7" ht="13.8" customHeight="1" spans="1:10">
      <c r="A7" s="18"/>
      <c r="B7" s="86"/>
      <c r="C7" s="86"/>
      <c r="D7" s="16">
        <v>5</v>
      </c>
      <c r="E7" s="87">
        <f t="shared" si="0"/>
        <v>0</v>
      </c>
      <c r="F7" s="88"/>
      <c r="G7" s="89"/>
      <c r="H7" s="90"/>
      <c r="I7" s="91" t="e">
        <f t="shared" si="1"/>
        <v>#DIV/0!</v>
      </c>
      <c r="J7" s="78" t="e">
        <f t="shared" si="2"/>
        <v>#DIV/0!</v>
      </c>
    </row>
    <row r="8" ht="13.8" customHeight="1" spans="1:10">
      <c r="A8" s="18"/>
      <c r="B8" s="86"/>
      <c r="C8" s="86"/>
      <c r="D8" s="16">
        <v>6</v>
      </c>
      <c r="E8" s="87">
        <f t="shared" si="0"/>
        <v>0</v>
      </c>
      <c r="F8" s="88"/>
      <c r="G8" s="89"/>
      <c r="H8" s="90"/>
      <c r="I8" s="91" t="e">
        <f t="shared" si="1"/>
        <v>#DIV/0!</v>
      </c>
      <c r="J8" s="78" t="e">
        <f t="shared" si="2"/>
        <v>#DIV/0!</v>
      </c>
    </row>
    <row r="9" ht="27" customHeight="1" spans="1:10">
      <c r="A9" s="18"/>
      <c r="B9" s="78"/>
      <c r="C9" s="27"/>
      <c r="D9" s="16" t="s">
        <v>38</v>
      </c>
      <c r="E9" s="92" t="s">
        <v>93</v>
      </c>
      <c r="F9" s="93" t="str">
        <f>IFERROR(ROUNDUP(F15,1),"")</f>
        <v/>
      </c>
      <c r="G9" s="92" t="s">
        <v>93</v>
      </c>
      <c r="H9" s="92" t="s">
        <v>93</v>
      </c>
      <c r="I9" s="93" t="str">
        <f>IFERROR(ROUNDUP(I15,1),"")</f>
        <v/>
      </c>
      <c r="J9" s="78"/>
    </row>
    <row r="10" ht="26.6" customHeight="1" spans="1:10">
      <c r="A10" s="18"/>
      <c r="B10" s="43"/>
      <c r="C10" s="44"/>
      <c r="D10" s="16" t="s">
        <v>94</v>
      </c>
      <c r="E10" s="92" t="e">
        <f>I9*SQRT(5/_xlfn.CHISQ.INV(0.975,5))</f>
        <v>#VALUE!</v>
      </c>
      <c r="F10" s="13"/>
      <c r="G10" s="92" t="s">
        <v>95</v>
      </c>
      <c r="H10" s="92" t="e">
        <f>I9*SQRT(5/_xlfn.CHISQ.INV(0.025,5))</f>
        <v>#VALUE!</v>
      </c>
      <c r="I10" s="13"/>
      <c r="J10" s="18"/>
    </row>
    <row r="11" ht="13.8" customHeight="1" spans="1:10">
      <c r="A11" s="18"/>
      <c r="B11" s="43"/>
      <c r="C11" s="44"/>
      <c r="D11" s="94" t="s">
        <v>96</v>
      </c>
      <c r="E11" s="13"/>
      <c r="F11" s="95" t="e">
        <f>AVERAGE(I3:I8)-TINV(0.05,6-1)*STDEV(I3:I8)/SQRT(6)</f>
        <v>#DIV/0!</v>
      </c>
      <c r="G11" s="94" t="s">
        <v>97</v>
      </c>
      <c r="H11" s="13"/>
      <c r="I11" s="95" t="e">
        <f>AVERAGE(I3:I8)+TINV(0.05,6-1)*STDEV(I3:I8)/SQRT(6)</f>
        <v>#DIV/0!</v>
      </c>
      <c r="J11" s="18"/>
    </row>
    <row r="12" ht="13.9" customHeight="1" spans="1:10">
      <c r="A12" s="18"/>
      <c r="B12" s="43"/>
      <c r="C12" s="44"/>
      <c r="D12" s="78" t="s">
        <v>98</v>
      </c>
      <c r="E12" s="13"/>
      <c r="F12" s="96" t="e">
        <f>F11/25*100</f>
        <v>#DIV/0!</v>
      </c>
      <c r="G12" s="78" t="s">
        <v>99</v>
      </c>
      <c r="H12" s="13"/>
      <c r="I12" s="96" t="e">
        <f>I11/25*100</f>
        <v>#DIV/0!</v>
      </c>
      <c r="J12" s="18"/>
    </row>
    <row r="13" ht="13.8" customHeight="1" spans="1:10">
      <c r="A13" s="18"/>
      <c r="B13" s="43"/>
      <c r="C13" s="44"/>
      <c r="D13" s="30" t="s">
        <v>40</v>
      </c>
      <c r="E13" s="13"/>
      <c r="F13" s="95" t="e">
        <f>AVERAGE(F3:F8)</f>
        <v>#DIV/0!</v>
      </c>
      <c r="G13" s="95" t="e">
        <f>AVERAGE(G3:G8)</f>
        <v>#DIV/0!</v>
      </c>
      <c r="H13" s="95" t="e">
        <f>AVERAGE(H3:H8)</f>
        <v>#DIV/0!</v>
      </c>
      <c r="I13" s="95" t="e">
        <f>AVERAGE(I3:I8)</f>
        <v>#DIV/0!</v>
      </c>
      <c r="J13" s="18"/>
    </row>
    <row r="14" ht="13.8" customHeight="1" spans="1:10">
      <c r="A14" s="18"/>
      <c r="B14" s="43"/>
      <c r="C14" s="44"/>
      <c r="D14" s="29" t="s">
        <v>41</v>
      </c>
      <c r="E14" s="13"/>
      <c r="F14" s="95" t="e">
        <f>STDEV(F3:F8)</f>
        <v>#DIV/0!</v>
      </c>
      <c r="G14" s="95" t="e">
        <f>STDEV(G3:G8)</f>
        <v>#DIV/0!</v>
      </c>
      <c r="H14" s="95" t="e">
        <f>STDEV(H3:H8)</f>
        <v>#DIV/0!</v>
      </c>
      <c r="I14" s="95" t="e">
        <f>STDEV(I3:I8)</f>
        <v>#DIV/0!</v>
      </c>
      <c r="J14" s="18"/>
    </row>
    <row r="15" ht="13.8" customHeight="1" spans="1:10">
      <c r="A15" s="18"/>
      <c r="B15" s="33"/>
      <c r="C15" s="34"/>
      <c r="D15" s="29" t="s">
        <v>42</v>
      </c>
      <c r="E15" s="13"/>
      <c r="F15" s="97" t="e">
        <f>F14/F13*100</f>
        <v>#DIV/0!</v>
      </c>
      <c r="G15" s="95" t="e">
        <f>G14/G13*100</f>
        <v>#DIV/0!</v>
      </c>
      <c r="H15" s="95" t="e">
        <f>H14/H13*100</f>
        <v>#DIV/0!</v>
      </c>
      <c r="I15" s="95" t="e">
        <f>I14/I13*100</f>
        <v>#DIV/0!</v>
      </c>
      <c r="J15" s="19"/>
    </row>
    <row r="16" ht="23.25" customHeight="1" spans="1:10">
      <c r="A16" s="18"/>
      <c r="B16" s="81" t="s">
        <v>100</v>
      </c>
      <c r="C16" s="12"/>
      <c r="D16" s="12"/>
      <c r="E16" s="12"/>
      <c r="F16" s="12"/>
      <c r="G16" s="12"/>
      <c r="H16" s="12"/>
      <c r="I16" s="12"/>
      <c r="J16" s="13"/>
    </row>
    <row r="17" ht="39.75" customHeight="1" spans="1:10">
      <c r="A17" s="18"/>
      <c r="B17" s="28" t="s">
        <v>89</v>
      </c>
      <c r="C17" s="28" t="s">
        <v>101</v>
      </c>
      <c r="D17" s="16" t="s">
        <v>69</v>
      </c>
      <c r="E17" s="83" t="s">
        <v>90</v>
      </c>
      <c r="F17" s="84" t="s">
        <v>30</v>
      </c>
      <c r="G17" s="85" t="s">
        <v>31</v>
      </c>
      <c r="H17" s="85" t="s">
        <v>91</v>
      </c>
      <c r="I17" s="85" t="s">
        <v>66</v>
      </c>
      <c r="J17" s="78" t="s">
        <v>92</v>
      </c>
    </row>
    <row r="18" ht="13.8" customHeight="1" spans="1:10">
      <c r="A18" s="18"/>
      <c r="B18" s="86"/>
      <c r="C18" s="86"/>
      <c r="D18" s="16">
        <v>1</v>
      </c>
      <c r="E18" s="87">
        <f t="shared" ref="E18:E23" si="3">B18-C18</f>
        <v>0</v>
      </c>
      <c r="F18" s="88"/>
      <c r="G18" s="89"/>
      <c r="H18" s="90"/>
      <c r="I18" s="91" t="e">
        <f t="shared" ref="I18:I23" si="4">ROUND(H18*20/E18,1)</f>
        <v>#DIV/0!</v>
      </c>
      <c r="J18" s="78" t="e">
        <f t="shared" ref="J18:J23" si="5">I18/25*100</f>
        <v>#DIV/0!</v>
      </c>
    </row>
    <row r="19" ht="13.8" customHeight="1" spans="1:10">
      <c r="A19" s="18"/>
      <c r="B19" s="86"/>
      <c r="C19" s="86"/>
      <c r="D19" s="16">
        <v>2</v>
      </c>
      <c r="E19" s="87">
        <f t="shared" si="3"/>
        <v>0</v>
      </c>
      <c r="F19" s="88"/>
      <c r="G19" s="89"/>
      <c r="H19" s="90"/>
      <c r="I19" s="91" t="e">
        <f t="shared" si="4"/>
        <v>#DIV/0!</v>
      </c>
      <c r="J19" s="78" t="e">
        <f t="shared" si="5"/>
        <v>#DIV/0!</v>
      </c>
    </row>
    <row r="20" ht="13.8" customHeight="1" spans="1:10">
      <c r="A20" s="18"/>
      <c r="B20" s="86"/>
      <c r="C20" s="86"/>
      <c r="D20" s="16">
        <v>3</v>
      </c>
      <c r="E20" s="87">
        <f t="shared" si="3"/>
        <v>0</v>
      </c>
      <c r="F20" s="88"/>
      <c r="G20" s="89"/>
      <c r="H20" s="90"/>
      <c r="I20" s="91" t="e">
        <f t="shared" si="4"/>
        <v>#DIV/0!</v>
      </c>
      <c r="J20" s="78" t="e">
        <f t="shared" si="5"/>
        <v>#DIV/0!</v>
      </c>
    </row>
    <row r="21" ht="13.8" customHeight="1" spans="1:10">
      <c r="A21" s="18"/>
      <c r="B21" s="86"/>
      <c r="C21" s="86"/>
      <c r="D21" s="16">
        <v>4</v>
      </c>
      <c r="E21" s="87">
        <f t="shared" si="3"/>
        <v>0</v>
      </c>
      <c r="F21" s="88"/>
      <c r="G21" s="89"/>
      <c r="H21" s="90"/>
      <c r="I21" s="91" t="e">
        <f t="shared" si="4"/>
        <v>#DIV/0!</v>
      </c>
      <c r="J21" s="78" t="e">
        <f t="shared" si="5"/>
        <v>#DIV/0!</v>
      </c>
    </row>
    <row r="22" ht="13.8" customHeight="1" spans="1:10">
      <c r="A22" s="18"/>
      <c r="B22" s="86"/>
      <c r="C22" s="86"/>
      <c r="D22" s="16">
        <v>5</v>
      </c>
      <c r="E22" s="87">
        <f t="shared" si="3"/>
        <v>0</v>
      </c>
      <c r="F22" s="88"/>
      <c r="G22" s="89"/>
      <c r="H22" s="90"/>
      <c r="I22" s="91" t="e">
        <f t="shared" si="4"/>
        <v>#DIV/0!</v>
      </c>
      <c r="J22" s="78" t="e">
        <f t="shared" si="5"/>
        <v>#DIV/0!</v>
      </c>
    </row>
    <row r="23" ht="13.8" customHeight="1" spans="1:10">
      <c r="A23" s="18"/>
      <c r="B23" s="86"/>
      <c r="C23" s="86"/>
      <c r="D23" s="16">
        <v>6</v>
      </c>
      <c r="E23" s="87">
        <f t="shared" si="3"/>
        <v>0</v>
      </c>
      <c r="F23" s="88"/>
      <c r="G23" s="89"/>
      <c r="H23" s="90"/>
      <c r="I23" s="91" t="e">
        <f t="shared" si="4"/>
        <v>#DIV/0!</v>
      </c>
      <c r="J23" s="78" t="e">
        <f t="shared" si="5"/>
        <v>#DIV/0!</v>
      </c>
    </row>
    <row r="24" ht="27" customHeight="1" spans="1:10">
      <c r="A24" s="18"/>
      <c r="B24" s="78"/>
      <c r="C24" s="27"/>
      <c r="D24" s="16" t="s">
        <v>38</v>
      </c>
      <c r="E24" s="92" t="s">
        <v>93</v>
      </c>
      <c r="F24" s="93" t="str">
        <f>IFERROR(ROUNDUP(F30,1),"")</f>
        <v/>
      </c>
      <c r="G24" s="92"/>
      <c r="H24" s="92"/>
      <c r="I24" s="93" t="str">
        <f>IFERROR(ROUNDUP(I30,1),"")</f>
        <v/>
      </c>
      <c r="J24" s="78" t="s">
        <v>102</v>
      </c>
    </row>
    <row r="25" ht="26.6" customHeight="1" spans="1:10">
      <c r="A25" s="18"/>
      <c r="B25" s="43"/>
      <c r="C25" s="44"/>
      <c r="D25" s="16" t="s">
        <v>94</v>
      </c>
      <c r="E25" s="92" t="e">
        <f>I24*SQRT(5/_xlfn.CHISQ.INV(0.975,5))</f>
        <v>#VALUE!</v>
      </c>
      <c r="F25" s="13"/>
      <c r="G25" s="92" t="s">
        <v>95</v>
      </c>
      <c r="H25" s="92" t="e">
        <f>I24*SQRT(5/_xlfn.CHISQ.INV(0.025,5))</f>
        <v>#VALUE!</v>
      </c>
      <c r="I25" s="13"/>
      <c r="J25" s="18"/>
    </row>
    <row r="26" ht="13.8" customHeight="1" spans="1:10">
      <c r="A26" s="18"/>
      <c r="B26" s="43"/>
      <c r="C26" s="44"/>
      <c r="D26" s="94" t="s">
        <v>96</v>
      </c>
      <c r="E26" s="13"/>
      <c r="F26" s="95" t="e">
        <f>AVERAGE(I18:I23)-TINV(0.05,6-1)*STDEV(I18:I23)/SQRT(6)</f>
        <v>#DIV/0!</v>
      </c>
      <c r="G26" s="94" t="s">
        <v>97</v>
      </c>
      <c r="H26" s="13"/>
      <c r="I26" s="95" t="e">
        <f>AVERAGE(I18:I23)+TINV(0.05,6-1)*STDEV(I18:I23)/SQRT(6)</f>
        <v>#DIV/0!</v>
      </c>
      <c r="J26" s="18"/>
    </row>
    <row r="27" ht="13.9" customHeight="1" spans="1:10">
      <c r="A27" s="18"/>
      <c r="B27" s="43"/>
      <c r="C27" s="44"/>
      <c r="D27" s="78" t="s">
        <v>98</v>
      </c>
      <c r="E27" s="13"/>
      <c r="F27" s="96" t="e">
        <f>F26/25*100</f>
        <v>#DIV/0!</v>
      </c>
      <c r="G27" s="78" t="s">
        <v>99</v>
      </c>
      <c r="H27" s="13"/>
      <c r="I27" s="96" t="e">
        <f>I26/25*100</f>
        <v>#DIV/0!</v>
      </c>
      <c r="J27" s="19"/>
    </row>
    <row r="28" ht="13.8" customHeight="1" spans="1:10">
      <c r="A28" s="18"/>
      <c r="B28" s="43"/>
      <c r="C28" s="44"/>
      <c r="D28" s="30" t="s">
        <v>40</v>
      </c>
      <c r="E28" s="13"/>
      <c r="F28" s="95" t="e">
        <f>AVERAGE(F18:F23)</f>
        <v>#DIV/0!</v>
      </c>
      <c r="G28" s="95" t="e">
        <f>AVERAGE(G18:G23)</f>
        <v>#DIV/0!</v>
      </c>
      <c r="H28" s="95" t="e">
        <f>AVERAGE(H18:H23)</f>
        <v>#DIV/0!</v>
      </c>
      <c r="I28" s="95" t="e">
        <f>AVERAGE(I18:I23)</f>
        <v>#DIV/0!</v>
      </c>
      <c r="J28" s="98" t="e">
        <f>AVERAGE(I3:I8,I18:I23)</f>
        <v>#DIV/0!</v>
      </c>
    </row>
    <row r="29" ht="13.8" customHeight="1" spans="1:10">
      <c r="A29" s="18"/>
      <c r="B29" s="43"/>
      <c r="C29" s="44"/>
      <c r="D29" s="29" t="s">
        <v>41</v>
      </c>
      <c r="E29" s="13"/>
      <c r="F29" s="95" t="e">
        <f>STDEV(F18:F23)</f>
        <v>#DIV/0!</v>
      </c>
      <c r="G29" s="95" t="e">
        <f>STDEV(G18:G23)</f>
        <v>#DIV/0!</v>
      </c>
      <c r="H29" s="95" t="e">
        <f>STDEV(H18:H23)</f>
        <v>#DIV/0!</v>
      </c>
      <c r="I29" s="95" t="e">
        <f>STDEV(I18:I23)</f>
        <v>#DIV/0!</v>
      </c>
      <c r="J29" s="99" t="e">
        <f>STDEV(I3:I8,I18:I23)</f>
        <v>#DIV/0!</v>
      </c>
    </row>
    <row r="30" ht="13.8" customHeight="1" spans="1:10">
      <c r="A30" s="18"/>
      <c r="B30" s="33"/>
      <c r="C30" s="34"/>
      <c r="D30" s="29" t="s">
        <v>42</v>
      </c>
      <c r="E30" s="13"/>
      <c r="F30" s="97" t="e">
        <f>F29/F28*100</f>
        <v>#DIV/0!</v>
      </c>
      <c r="G30" s="95" t="e">
        <f>G29/G28*100</f>
        <v>#DIV/0!</v>
      </c>
      <c r="H30" s="95" t="e">
        <f>H29/H28*100</f>
        <v>#DIV/0!</v>
      </c>
      <c r="I30" s="95" t="e">
        <f>I29/I28*100</f>
        <v>#DIV/0!</v>
      </c>
      <c r="J30" s="99" t="str">
        <f>IFERROR(ROUNDUP(J29/J28*100,1),"")</f>
        <v/>
      </c>
    </row>
    <row r="31" ht="26.6" customHeight="1" spans="1:10">
      <c r="A31" s="18"/>
      <c r="B31" s="29" t="s">
        <v>103</v>
      </c>
      <c r="C31" s="27"/>
      <c r="D31" s="100" t="s">
        <v>94</v>
      </c>
      <c r="E31" s="13"/>
      <c r="F31" s="100" t="e">
        <f>J30*SQRT(11/_xlfn.CHISQ.INV(0.975,11))</f>
        <v>#VALUE!</v>
      </c>
      <c r="G31" s="100" t="s">
        <v>95</v>
      </c>
      <c r="H31" s="100" t="e">
        <f>J30*SQRT(11/_xlfn.CHISQ.INV(0.025,11))</f>
        <v>#VALUE!</v>
      </c>
      <c r="I31" s="13"/>
      <c r="J31" s="29"/>
    </row>
    <row r="32" ht="13.8" customHeight="1" spans="1:10">
      <c r="A32" s="18"/>
      <c r="B32" s="43"/>
      <c r="C32" s="44"/>
      <c r="D32" s="26" t="s">
        <v>96</v>
      </c>
      <c r="E32" s="13"/>
      <c r="F32" s="95" t="e">
        <f>AVERAGE(I3:I8,I18:I23)-TINV(0.05,12-1)*STDEV(I3:I8,I18:I23)/SQRT(12)</f>
        <v>#DIV/0!</v>
      </c>
      <c r="G32" s="26" t="s">
        <v>97</v>
      </c>
      <c r="H32" s="13"/>
      <c r="I32" s="101" t="e">
        <f>AVERAGE(I3:I8,I18:I23)+TINV(0.05,12-1)*STDEV(I3:I8,I18:I23)/SQRT(12)</f>
        <v>#DIV/0!</v>
      </c>
      <c r="J32" s="29"/>
    </row>
    <row r="33" ht="13.9" customHeight="1" spans="1:10">
      <c r="A33" s="19"/>
      <c r="B33" s="33"/>
      <c r="C33" s="34"/>
      <c r="D33" s="30" t="s">
        <v>98</v>
      </c>
      <c r="E33" s="13"/>
      <c r="F33" s="97" t="e">
        <f>F32/25*100</f>
        <v>#DIV/0!</v>
      </c>
      <c r="G33" s="30" t="s">
        <v>99</v>
      </c>
      <c r="H33" s="13"/>
      <c r="I33" s="97" t="e">
        <f>I32/25*100</f>
        <v>#DIV/0!</v>
      </c>
      <c r="J33" s="29"/>
    </row>
  </sheetData>
  <mergeCells count="32">
    <mergeCell ref="B1:J1"/>
    <mergeCell ref="E10:F10"/>
    <mergeCell ref="H10:I10"/>
    <mergeCell ref="D11:E11"/>
    <mergeCell ref="G11:H11"/>
    <mergeCell ref="D12:E12"/>
    <mergeCell ref="G12:H12"/>
    <mergeCell ref="D13:E13"/>
    <mergeCell ref="D14:E14"/>
    <mergeCell ref="D15:E15"/>
    <mergeCell ref="B16:J16"/>
    <mergeCell ref="E25:F25"/>
    <mergeCell ref="H25:I25"/>
    <mergeCell ref="D26:E26"/>
    <mergeCell ref="G26:H26"/>
    <mergeCell ref="D27:E27"/>
    <mergeCell ref="G27:H27"/>
    <mergeCell ref="D28:E28"/>
    <mergeCell ref="D29:E29"/>
    <mergeCell ref="D30:E30"/>
    <mergeCell ref="D31:E31"/>
    <mergeCell ref="H31:I31"/>
    <mergeCell ref="D32:E32"/>
    <mergeCell ref="G32:H32"/>
    <mergeCell ref="D33:E33"/>
    <mergeCell ref="G33:H33"/>
    <mergeCell ref="A2:A33"/>
    <mergeCell ref="J9:J15"/>
    <mergeCell ref="J24:J27"/>
    <mergeCell ref="B24:C30"/>
    <mergeCell ref="B31:C33"/>
    <mergeCell ref="B9:C15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A1:L28"/>
  <sheetViews>
    <sheetView topLeftCell="A6" workbookViewId="0">
      <selection activeCell="B16" sqref="B16:C24"/>
    </sheetView>
  </sheetViews>
  <sheetFormatPr defaultColWidth="9.02654867256637" defaultRowHeight="13.5"/>
  <cols>
    <col min="1" max="1" width="9.65486725663717" style="1" customWidth="1"/>
    <col min="2" max="2" width="12.283185840708" style="1" customWidth="1"/>
    <col min="3" max="3" width="11.3716814159292" style="1" customWidth="1"/>
    <col min="4" max="4" width="18.7787610619469" style="1" customWidth="1"/>
    <col min="5" max="5" width="20.3097345132743" style="1" customWidth="1"/>
    <col min="6" max="6" width="14.6017699115044" style="1" customWidth="1"/>
    <col min="7" max="7" width="16.5044247787611" style="1" customWidth="1"/>
    <col min="8" max="8" width="16.5929203539823" style="1" customWidth="1"/>
    <col min="9" max="10" width="16.5044247787611" style="1" customWidth="1"/>
    <col min="11" max="11" width="12.0884955752212" style="1" customWidth="1"/>
    <col min="12" max="12" width="8.95575221238938" style="1" customWidth="1"/>
  </cols>
  <sheetData>
    <row r="1" ht="25.1" customHeight="1" spans="1:12">
      <c r="A1" s="25" t="s">
        <v>104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3"/>
    </row>
    <row r="2" spans="1:12">
      <c r="A2" s="26" t="s">
        <v>28</v>
      </c>
      <c r="B2" s="27"/>
      <c r="C2" s="28" t="s">
        <v>89</v>
      </c>
      <c r="D2" s="28" t="s">
        <v>101</v>
      </c>
      <c r="E2" s="29" t="s">
        <v>69</v>
      </c>
      <c r="F2" s="30" t="s">
        <v>105</v>
      </c>
      <c r="G2" s="26" t="s">
        <v>31</v>
      </c>
      <c r="H2" s="26" t="s">
        <v>91</v>
      </c>
      <c r="I2" s="31" t="s">
        <v>106</v>
      </c>
      <c r="J2" s="26" t="s">
        <v>107</v>
      </c>
      <c r="K2" s="32"/>
      <c r="L2" s="27"/>
    </row>
    <row r="3" ht="13.9" customHeight="1" spans="1:12">
      <c r="A3" s="33"/>
      <c r="B3" s="34"/>
      <c r="C3" s="19"/>
      <c r="D3" s="19"/>
      <c r="E3" s="19"/>
      <c r="F3" s="30" t="s">
        <v>108</v>
      </c>
      <c r="G3" s="19"/>
      <c r="H3" s="19"/>
      <c r="I3" s="19"/>
      <c r="J3" s="33"/>
      <c r="K3" s="35"/>
      <c r="L3" s="34"/>
    </row>
    <row r="4" ht="13.8" customHeight="1" spans="1:12">
      <c r="A4" s="36" t="s">
        <v>54</v>
      </c>
      <c r="B4" s="27"/>
      <c r="C4" s="37"/>
      <c r="D4" s="37"/>
      <c r="E4" s="29">
        <v>1</v>
      </c>
      <c r="F4" s="38">
        <f>C4-D4</f>
        <v>0</v>
      </c>
      <c r="G4" s="39"/>
      <c r="H4" s="40"/>
      <c r="I4" s="41" t="e">
        <f>ROUND(H4*20/F4,1)</f>
        <v>#DIV/0!</v>
      </c>
      <c r="J4" s="42" t="e">
        <f>SUM(I4:I6)/3</f>
        <v>#DIV/0!</v>
      </c>
      <c r="K4" s="32"/>
      <c r="L4" s="27"/>
    </row>
    <row r="5" ht="13.8" customHeight="1" spans="1:12">
      <c r="A5" s="43"/>
      <c r="B5" s="44"/>
      <c r="C5" s="37"/>
      <c r="D5" s="37"/>
      <c r="E5" s="29">
        <v>2</v>
      </c>
      <c r="F5" s="38">
        <f>C5-D5</f>
        <v>0</v>
      </c>
      <c r="G5" s="39"/>
      <c r="H5" s="40"/>
      <c r="I5" s="41" t="e">
        <f>ROUND(H5*20/F5,1)</f>
        <v>#DIV/0!</v>
      </c>
      <c r="J5" s="43"/>
      <c r="L5" s="44"/>
    </row>
    <row r="6" ht="13.8" customHeight="1" spans="1:12">
      <c r="A6" s="33"/>
      <c r="B6" s="34"/>
      <c r="C6" s="37"/>
      <c r="D6" s="37"/>
      <c r="E6" s="29">
        <v>3</v>
      </c>
      <c r="F6" s="38">
        <f>C6-D6</f>
        <v>0</v>
      </c>
      <c r="G6" s="39"/>
      <c r="H6" s="40"/>
      <c r="I6" s="41" t="e">
        <f>ROUND(H6*20/F6,1)</f>
        <v>#DIV/0!</v>
      </c>
      <c r="J6" s="33"/>
      <c r="K6" s="35"/>
      <c r="L6" s="34"/>
    </row>
    <row r="7" spans="1:12">
      <c r="A7" s="25" t="s">
        <v>109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27"/>
    </row>
    <row r="8" spans="1:12">
      <c r="A8" s="33"/>
      <c r="B8" s="35"/>
      <c r="C8" s="35"/>
      <c r="D8" s="35"/>
      <c r="E8" s="35"/>
      <c r="F8" s="35"/>
      <c r="G8" s="35"/>
      <c r="H8" s="35"/>
      <c r="I8" s="35"/>
      <c r="J8" s="35"/>
      <c r="K8" s="35"/>
      <c r="L8" s="34"/>
    </row>
    <row r="9" ht="25" customHeight="1" spans="1:12">
      <c r="A9" s="45">
        <v>46162</v>
      </c>
      <c r="B9" s="25"/>
      <c r="C9" s="25"/>
      <c r="D9" s="25"/>
      <c r="E9" s="46"/>
      <c r="F9" s="47" t="s">
        <v>110</v>
      </c>
      <c r="G9" s="47" t="s">
        <v>111</v>
      </c>
      <c r="H9" s="47" t="s">
        <v>112</v>
      </c>
      <c r="I9" s="47" t="s">
        <v>113</v>
      </c>
      <c r="J9" s="47" t="s">
        <v>114</v>
      </c>
      <c r="K9" s="47" t="s">
        <v>115</v>
      </c>
      <c r="L9" s="13"/>
    </row>
    <row r="10" ht="25" customHeight="1" spans="1:12">
      <c r="A10" s="45"/>
      <c r="B10" s="48"/>
      <c r="C10" s="49"/>
      <c r="D10" s="48"/>
      <c r="E10" s="50"/>
      <c r="F10" s="51"/>
      <c r="G10" s="51"/>
      <c r="H10" s="52"/>
      <c r="I10" s="51"/>
      <c r="J10" s="51"/>
      <c r="K10" s="51"/>
      <c r="L10" s="13"/>
    </row>
    <row r="11" ht="25" customHeight="1" spans="1:12">
      <c r="A11" s="53" t="s">
        <v>43</v>
      </c>
      <c r="B11" s="54" t="s">
        <v>44</v>
      </c>
      <c r="C11" s="55" t="s">
        <v>45</v>
      </c>
      <c r="D11" s="54" t="s">
        <v>46</v>
      </c>
      <c r="E11" s="54" t="s">
        <v>47</v>
      </c>
      <c r="F11" s="50" t="s">
        <v>48</v>
      </c>
      <c r="G11" s="50" t="s">
        <v>49</v>
      </c>
      <c r="H11" s="48" t="s">
        <v>50</v>
      </c>
      <c r="I11" s="50" t="s">
        <v>51</v>
      </c>
      <c r="J11" s="50" t="s">
        <v>52</v>
      </c>
      <c r="K11" s="50" t="s">
        <v>53</v>
      </c>
      <c r="L11" s="13"/>
    </row>
    <row r="12" ht="20" customHeight="1" spans="1:12">
      <c r="A12" s="56" t="s">
        <v>54</v>
      </c>
      <c r="B12" s="57"/>
      <c r="C12" s="58"/>
      <c r="D12" s="59"/>
      <c r="E12" s="59"/>
      <c r="F12" s="57"/>
      <c r="G12" s="57"/>
      <c r="H12" s="57"/>
      <c r="I12" s="57"/>
      <c r="J12" s="57"/>
      <c r="K12" s="57"/>
      <c r="L12" s="13"/>
    </row>
    <row r="13" ht="25.1" customHeight="1" spans="1:12">
      <c r="A13" s="60" t="s">
        <v>116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3"/>
    </row>
    <row r="14" spans="1:12">
      <c r="A14" s="56" t="s">
        <v>54</v>
      </c>
      <c r="B14" s="28" t="s">
        <v>89</v>
      </c>
      <c r="C14" s="28" t="s">
        <v>101</v>
      </c>
      <c r="D14" s="61" t="s">
        <v>117</v>
      </c>
      <c r="E14" s="62" t="s">
        <v>69</v>
      </c>
      <c r="F14" s="63" t="s">
        <v>118</v>
      </c>
      <c r="G14" s="63" t="s">
        <v>119</v>
      </c>
      <c r="H14" s="64" t="s">
        <v>120</v>
      </c>
      <c r="I14" s="63" t="s">
        <v>121</v>
      </c>
      <c r="J14" s="63" t="s">
        <v>122</v>
      </c>
      <c r="K14" s="63" t="s">
        <v>123</v>
      </c>
      <c r="L14" s="63" t="s">
        <v>124</v>
      </c>
    </row>
    <row r="15" ht="13.9" customHeight="1" spans="1:12">
      <c r="A15" s="18"/>
      <c r="B15" s="19"/>
      <c r="C15" s="19"/>
      <c r="D15" s="61" t="s">
        <v>43</v>
      </c>
      <c r="E15" s="19"/>
      <c r="F15" s="19"/>
      <c r="G15" s="19"/>
      <c r="H15" s="64" t="s">
        <v>125</v>
      </c>
      <c r="I15" s="63" t="s">
        <v>125</v>
      </c>
      <c r="J15" s="19"/>
      <c r="K15" s="63" t="s">
        <v>126</v>
      </c>
      <c r="L15" s="19"/>
    </row>
    <row r="16" ht="13.8" customHeight="1" spans="1:12">
      <c r="A16" s="18"/>
      <c r="B16" s="65"/>
      <c r="C16" s="65"/>
      <c r="D16" s="62" t="s">
        <v>127</v>
      </c>
      <c r="E16" s="62">
        <v>1</v>
      </c>
      <c r="F16" s="66">
        <f t="shared" ref="F16:F24" si="0">B16-C16</f>
        <v>0</v>
      </c>
      <c r="G16" s="67"/>
      <c r="H16" s="67"/>
      <c r="I16" s="68"/>
      <c r="J16" s="69"/>
      <c r="K16" s="70" t="e">
        <f>ROUND((H16-I16)/J16*100,1)</f>
        <v>#DIV/0!</v>
      </c>
      <c r="L16" s="71" t="e">
        <f>SUM(K16:K18)/3</f>
        <v>#DIV/0!</v>
      </c>
    </row>
    <row r="17" ht="13.8" customHeight="1" spans="1:12">
      <c r="A17" s="18"/>
      <c r="B17" s="65"/>
      <c r="C17" s="65"/>
      <c r="D17" s="18"/>
      <c r="E17" s="62">
        <v>2</v>
      </c>
      <c r="F17" s="66">
        <f t="shared" si="0"/>
        <v>0</v>
      </c>
      <c r="G17" s="67"/>
      <c r="H17" s="67"/>
      <c r="I17" s="68"/>
      <c r="J17" s="18"/>
      <c r="K17" s="70" t="e">
        <f>ROUND((H17-I17)/J16*100,1)</f>
        <v>#DIV/0!</v>
      </c>
      <c r="L17" s="18"/>
    </row>
    <row r="18" ht="14.55" customHeight="1" spans="1:12">
      <c r="A18" s="18"/>
      <c r="B18" s="65"/>
      <c r="C18" s="65"/>
      <c r="D18" s="19"/>
      <c r="E18" s="62">
        <v>3</v>
      </c>
      <c r="F18" s="66">
        <f t="shared" si="0"/>
        <v>0</v>
      </c>
      <c r="G18" s="67"/>
      <c r="H18" s="67"/>
      <c r="I18" s="68"/>
      <c r="J18" s="19"/>
      <c r="K18" s="70" t="e">
        <f>ROUND((H18-I18)/J16*100,1)</f>
        <v>#DIV/0!</v>
      </c>
      <c r="L18" s="19"/>
    </row>
    <row r="19" ht="13.8" customHeight="1" spans="1:12">
      <c r="A19" s="18"/>
      <c r="B19" s="65"/>
      <c r="C19" s="65"/>
      <c r="D19" s="72" t="s">
        <v>128</v>
      </c>
      <c r="E19" s="62">
        <v>1</v>
      </c>
      <c r="F19" s="66">
        <f t="shared" si="0"/>
        <v>0</v>
      </c>
      <c r="G19" s="67"/>
      <c r="H19" s="67"/>
      <c r="I19" s="68"/>
      <c r="J19" s="73"/>
      <c r="K19" s="70" t="e">
        <f>ROUND((H19-I19)/J19*100,1)</f>
        <v>#DIV/0!</v>
      </c>
      <c r="L19" s="71" t="e">
        <f>SUM(K19:K21)/3</f>
        <v>#DIV/0!</v>
      </c>
    </row>
    <row r="20" ht="13.8" customHeight="1" spans="1:12">
      <c r="A20" s="18"/>
      <c r="B20" s="65"/>
      <c r="C20" s="65"/>
      <c r="D20" s="18"/>
      <c r="E20" s="62">
        <v>2</v>
      </c>
      <c r="F20" s="66">
        <f t="shared" si="0"/>
        <v>0</v>
      </c>
      <c r="G20" s="67"/>
      <c r="H20" s="67"/>
      <c r="I20" s="68"/>
      <c r="J20" s="74"/>
      <c r="K20" s="70" t="e">
        <f>ROUND((H20-I20)/J19*100,1)</f>
        <v>#DIV/0!</v>
      </c>
      <c r="L20" s="18"/>
    </row>
    <row r="21" ht="14.55" customHeight="1" spans="1:12">
      <c r="A21" s="18"/>
      <c r="B21" s="65"/>
      <c r="C21" s="65"/>
      <c r="D21" s="19"/>
      <c r="E21" s="62">
        <v>3</v>
      </c>
      <c r="F21" s="66">
        <f t="shared" si="0"/>
        <v>0</v>
      </c>
      <c r="G21" s="67"/>
      <c r="H21" s="67"/>
      <c r="I21" s="68"/>
      <c r="J21" s="75"/>
      <c r="K21" s="70" t="e">
        <f>ROUND((H21-I21)/J19*100,1)</f>
        <v>#DIV/0!</v>
      </c>
      <c r="L21" s="19"/>
    </row>
    <row r="22" ht="13.8" customHeight="1" spans="1:12">
      <c r="A22" s="18"/>
      <c r="B22" s="65"/>
      <c r="C22" s="65"/>
      <c r="D22" s="72" t="s">
        <v>129</v>
      </c>
      <c r="E22" s="62">
        <v>1</v>
      </c>
      <c r="F22" s="66">
        <f t="shared" si="0"/>
        <v>0</v>
      </c>
      <c r="G22" s="67"/>
      <c r="H22" s="67"/>
      <c r="I22" s="68"/>
      <c r="J22" s="73"/>
      <c r="K22" s="70" t="e">
        <f>ROUND((H22-I22)/J22*100,1)</f>
        <v>#DIV/0!</v>
      </c>
      <c r="L22" s="71" t="e">
        <f>SUM(K22:K24)/3</f>
        <v>#DIV/0!</v>
      </c>
    </row>
    <row r="23" ht="13.8" customHeight="1" spans="1:12">
      <c r="A23" s="18"/>
      <c r="B23" s="65"/>
      <c r="C23" s="65"/>
      <c r="D23" s="18"/>
      <c r="E23" s="62">
        <v>2</v>
      </c>
      <c r="F23" s="66">
        <f t="shared" si="0"/>
        <v>0</v>
      </c>
      <c r="G23" s="67"/>
      <c r="H23" s="67"/>
      <c r="I23" s="68"/>
      <c r="J23" s="74"/>
      <c r="K23" s="70" t="e">
        <f>ROUND((H23-I23)/J22*100,1)</f>
        <v>#DIV/0!</v>
      </c>
      <c r="L23" s="18"/>
    </row>
    <row r="24" ht="14.55" customHeight="1" spans="1:12">
      <c r="A24" s="18"/>
      <c r="B24" s="65"/>
      <c r="C24" s="65"/>
      <c r="D24" s="19"/>
      <c r="E24" s="62">
        <v>3</v>
      </c>
      <c r="F24" s="66">
        <f t="shared" si="0"/>
        <v>0</v>
      </c>
      <c r="G24" s="67"/>
      <c r="H24" s="67"/>
      <c r="I24" s="68"/>
      <c r="J24" s="75"/>
      <c r="K24" s="70" t="e">
        <f>ROUND((H24-I24)/J22*100,1)</f>
        <v>#DIV/0!</v>
      </c>
      <c r="L24" s="19"/>
    </row>
    <row r="25" ht="17" customHeight="1" spans="1:12">
      <c r="A25" s="18"/>
      <c r="B25" s="46"/>
      <c r="C25" s="27"/>
      <c r="D25" s="61" t="s">
        <v>130</v>
      </c>
      <c r="E25" s="12"/>
      <c r="F25" s="13"/>
      <c r="G25" s="76" t="e">
        <f>SUM(K16:K24)/9</f>
        <v>#DIV/0!</v>
      </c>
      <c r="H25" s="12"/>
      <c r="I25" s="12"/>
      <c r="J25" s="12"/>
      <c r="K25" s="12"/>
      <c r="L25" s="13"/>
    </row>
    <row r="26" ht="17" customHeight="1" spans="1:12">
      <c r="A26" s="18"/>
      <c r="B26" s="43"/>
      <c r="C26" s="44"/>
      <c r="D26" s="62" t="s">
        <v>131</v>
      </c>
      <c r="E26" s="12"/>
      <c r="F26" s="13"/>
      <c r="G26" s="77" t="str">
        <f>IFERROR(STDEV(K16:K24)/AVERAGE(K16:K24)*100,"")</f>
        <v/>
      </c>
      <c r="H26" s="12"/>
      <c r="I26" s="12"/>
      <c r="J26" s="12"/>
      <c r="K26" s="12"/>
      <c r="L26" s="13"/>
    </row>
    <row r="27" ht="17" customHeight="1" spans="1:12">
      <c r="A27" s="18"/>
      <c r="B27" s="43"/>
      <c r="C27" s="44"/>
      <c r="D27" s="78" t="s">
        <v>132</v>
      </c>
      <c r="E27" s="13"/>
      <c r="F27" s="79" t="e">
        <f>AVERAGEA(K16:K24)-TINV(0.05,8)*STDEVA(K16:K24)/SQRT(9)</f>
        <v>#DIV/0!</v>
      </c>
      <c r="G27" s="12"/>
      <c r="H27" s="13"/>
      <c r="I27" s="78" t="s">
        <v>133</v>
      </c>
      <c r="J27" s="13"/>
      <c r="K27" s="79" t="e">
        <f>AVERAGEA(K16:K24)+TINV(0.05,9-1)*STDEVA(K16:K24)/SQRT(9)</f>
        <v>#DIV/0!</v>
      </c>
      <c r="L27" s="13"/>
    </row>
    <row r="28" ht="17" customHeight="1" spans="1:12">
      <c r="A28" s="19"/>
      <c r="B28" s="33"/>
      <c r="C28" s="34"/>
      <c r="D28" s="61" t="s">
        <v>39</v>
      </c>
      <c r="E28" s="12"/>
      <c r="F28" s="13"/>
      <c r="G28" s="39"/>
      <c r="H28" s="12"/>
      <c r="I28" s="12"/>
      <c r="J28" s="12"/>
      <c r="K28" s="12"/>
      <c r="L28" s="13"/>
    </row>
  </sheetData>
  <mergeCells count="45">
    <mergeCell ref="A1:L1"/>
    <mergeCell ref="K9:L9"/>
    <mergeCell ref="K10:L10"/>
    <mergeCell ref="K11:L11"/>
    <mergeCell ref="K12:L12"/>
    <mergeCell ref="A13:L13"/>
    <mergeCell ref="D25:F25"/>
    <mergeCell ref="G25:L25"/>
    <mergeCell ref="D26:F26"/>
    <mergeCell ref="G26:L26"/>
    <mergeCell ref="D27:E27"/>
    <mergeCell ref="F27:H27"/>
    <mergeCell ref="I27:J27"/>
    <mergeCell ref="K27:L27"/>
    <mergeCell ref="D28:F28"/>
    <mergeCell ref="G28:L28"/>
    <mergeCell ref="A14:A28"/>
    <mergeCell ref="B14:B15"/>
    <mergeCell ref="C2:C3"/>
    <mergeCell ref="C14:C15"/>
    <mergeCell ref="D2:D3"/>
    <mergeCell ref="D16:D18"/>
    <mergeCell ref="D19:D21"/>
    <mergeCell ref="D22:D24"/>
    <mergeCell ref="E2:E3"/>
    <mergeCell ref="E14:E15"/>
    <mergeCell ref="F14:F15"/>
    <mergeCell ref="G2:G3"/>
    <mergeCell ref="G14:G15"/>
    <mergeCell ref="H2:H3"/>
    <mergeCell ref="I2:I3"/>
    <mergeCell ref="J14:J15"/>
    <mergeCell ref="J16:J18"/>
    <mergeCell ref="J19:J21"/>
    <mergeCell ref="J22:J24"/>
    <mergeCell ref="L14:L15"/>
    <mergeCell ref="L16:L18"/>
    <mergeCell ref="L19:L21"/>
    <mergeCell ref="L22:L24"/>
    <mergeCell ref="J2:L3"/>
    <mergeCell ref="A2:B3"/>
    <mergeCell ref="J4:L6"/>
    <mergeCell ref="A7:L8"/>
    <mergeCell ref="B25:C28"/>
    <mergeCell ref="A4:B6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:G9"/>
  <sheetViews>
    <sheetView workbookViewId="0">
      <selection activeCell="E5" sqref="E5"/>
    </sheetView>
  </sheetViews>
  <sheetFormatPr defaultColWidth="9.02654867256637" defaultRowHeight="13.5" outlineLevelCol="6"/>
  <cols>
    <col min="1" max="7" width="13.0796460176991" style="1" customWidth="1"/>
  </cols>
  <sheetData>
    <row r="1" ht="23.25" customHeight="1" spans="1:7">
      <c r="A1" s="10"/>
      <c r="B1" s="11" t="s">
        <v>134</v>
      </c>
      <c r="C1" s="12"/>
      <c r="D1" s="12"/>
      <c r="E1" s="12"/>
      <c r="F1" s="12"/>
      <c r="G1" s="13"/>
    </row>
    <row r="2" ht="19" customHeight="1" spans="1:7">
      <c r="A2" s="14" t="s">
        <v>54</v>
      </c>
      <c r="B2" s="15"/>
      <c r="C2" s="16" t="s">
        <v>135</v>
      </c>
      <c r="D2" s="17" t="s">
        <v>56</v>
      </c>
      <c r="E2" s="13"/>
      <c r="F2" s="17" t="s">
        <v>58</v>
      </c>
      <c r="G2" s="13"/>
    </row>
    <row r="3" spans="1:7">
      <c r="A3" s="18"/>
      <c r="B3" s="19"/>
      <c r="C3" s="19"/>
      <c r="D3" s="20" t="s">
        <v>136</v>
      </c>
      <c r="E3" s="21" t="s">
        <v>137</v>
      </c>
      <c r="F3" s="20" t="s">
        <v>136</v>
      </c>
      <c r="G3" s="21" t="s">
        <v>137</v>
      </c>
    </row>
    <row r="4" hidden="1" spans="1:7">
      <c r="A4" s="18"/>
      <c r="B4" s="22">
        <v>0</v>
      </c>
      <c r="C4" s="23"/>
      <c r="D4" s="24"/>
      <c r="E4" s="21" t="s">
        <v>139</v>
      </c>
      <c r="F4" s="24"/>
      <c r="G4" s="21" t="s">
        <v>139</v>
      </c>
    </row>
    <row r="5" hidden="1" spans="1:7">
      <c r="A5" s="18"/>
      <c r="B5" s="22">
        <v>1</v>
      </c>
      <c r="C5" s="23"/>
      <c r="D5" s="24"/>
      <c r="E5" s="21" t="e">
        <f>ROUND(D5/D4,2)</f>
        <v>#DIV/0!</v>
      </c>
      <c r="F5" s="24"/>
      <c r="G5" s="21" t="e">
        <f>ROUND(F5/F4,2)</f>
        <v>#DIV/0!</v>
      </c>
    </row>
    <row r="6" hidden="1" spans="1:7">
      <c r="A6" s="18"/>
      <c r="B6" s="22">
        <v>2</v>
      </c>
      <c r="C6" s="23"/>
      <c r="D6" s="24"/>
      <c r="E6" s="21" t="e">
        <f>ROUND(D6/D4,2)</f>
        <v>#DIV/0!</v>
      </c>
      <c r="F6" s="24"/>
      <c r="G6" s="21" t="e">
        <f>ROUND(F6/F4,2)</f>
        <v>#DIV/0!</v>
      </c>
    </row>
    <row r="7" hidden="1" spans="1:7">
      <c r="A7" s="18"/>
      <c r="B7" s="22">
        <v>3</v>
      </c>
      <c r="C7" s="23"/>
      <c r="D7" s="24"/>
      <c r="E7" s="21" t="e">
        <f>ROUND(D7/D4,2)</f>
        <v>#DIV/0!</v>
      </c>
      <c r="F7" s="24"/>
      <c r="G7" s="21" t="e">
        <f>ROUND(F7/F4,2)</f>
        <v>#DIV/0!</v>
      </c>
    </row>
    <row r="8" hidden="1" spans="1:7">
      <c r="A8" s="18"/>
      <c r="B8" s="22">
        <v>4</v>
      </c>
      <c r="C8" s="23"/>
      <c r="D8" s="24"/>
      <c r="E8" s="21" t="e">
        <f>ROUND(D8/D4,2)</f>
        <v>#DIV/0!</v>
      </c>
      <c r="F8" s="24"/>
      <c r="G8" s="21" t="e">
        <f>ROUND(F8/F4,2)</f>
        <v>#DIV/0!</v>
      </c>
    </row>
    <row r="9" hidden="1" spans="1:7">
      <c r="A9" s="19"/>
      <c r="B9" s="22">
        <v>5</v>
      </c>
      <c r="C9" s="23"/>
      <c r="D9" s="24"/>
      <c r="E9" s="21" t="e">
        <f>ROUND(D9/D4,2)</f>
        <v>#DIV/0!</v>
      </c>
      <c r="F9" s="24"/>
      <c r="G9" s="21" t="e">
        <f>ROUND(F9/F4,2)</f>
        <v>#DIV/0!</v>
      </c>
    </row>
  </sheetData>
  <mergeCells count="6">
    <mergeCell ref="B1:G1"/>
    <mergeCell ref="D2:E2"/>
    <mergeCell ref="F2:G2"/>
    <mergeCell ref="A2:A9"/>
    <mergeCell ref="B2:B3"/>
    <mergeCell ref="C2:C3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G10"/>
  <sheetViews>
    <sheetView topLeftCell="A3" workbookViewId="0">
      <selection activeCell="C16" sqref="C16"/>
    </sheetView>
  </sheetViews>
  <sheetFormatPr defaultColWidth="9.02654867256637" defaultRowHeight="13.5" outlineLevelCol="6"/>
  <cols>
    <col min="1" max="2" width="11.3716814159292" style="1" customWidth="1"/>
    <col min="3" max="3" width="43.1238938053097" style="1" customWidth="1"/>
    <col min="4" max="4" width="15.5663716814159" style="1" customWidth="1"/>
    <col min="5" max="5" width="16.929203539823" style="1" customWidth="1"/>
    <col min="6" max="6" width="26.9469026548673" style="1" customWidth="1"/>
    <col min="7" max="7" width="21.1769911504425" style="1" customWidth="1"/>
  </cols>
  <sheetData>
    <row r="1" ht="19" customHeight="1" spans="1:7">
      <c r="A1" s="2" t="s">
        <v>89</v>
      </c>
      <c r="B1" s="2" t="s">
        <v>101</v>
      </c>
      <c r="C1" s="3" t="s">
        <v>43</v>
      </c>
      <c r="D1" s="4" t="s">
        <v>90</v>
      </c>
      <c r="E1" s="5" t="s">
        <v>259</v>
      </c>
      <c r="F1" s="5" t="s">
        <v>260</v>
      </c>
      <c r="G1" s="5" t="s">
        <v>261</v>
      </c>
    </row>
    <row r="2" ht="19" customHeight="1" spans="1:7">
      <c r="A2" s="6"/>
      <c r="B2" s="6"/>
      <c r="C2" s="7"/>
      <c r="D2" s="8">
        <f t="shared" ref="D2:D10" si="0">A2-B2</f>
        <v>0</v>
      </c>
      <c r="E2" s="7"/>
      <c r="F2" s="7"/>
      <c r="G2" s="9" t="e">
        <f t="shared" ref="G2:G10" si="1">ROUND(F2*20/D2,1)</f>
        <v>#DIV/0!</v>
      </c>
    </row>
    <row r="3" ht="19" customHeight="1" spans="1:7">
      <c r="A3" s="6"/>
      <c r="B3" s="6"/>
      <c r="C3" s="7"/>
      <c r="D3" s="8">
        <f t="shared" si="0"/>
        <v>0</v>
      </c>
      <c r="E3" s="7"/>
      <c r="F3" s="7"/>
      <c r="G3" s="9" t="e">
        <f t="shared" si="1"/>
        <v>#DIV/0!</v>
      </c>
    </row>
    <row r="4" ht="19" customHeight="1" spans="1:7">
      <c r="A4" s="6"/>
      <c r="B4" s="6"/>
      <c r="C4" s="7"/>
      <c r="D4" s="8">
        <f t="shared" si="0"/>
        <v>0</v>
      </c>
      <c r="E4" s="7"/>
      <c r="F4" s="7"/>
      <c r="G4" s="9" t="e">
        <f t="shared" si="1"/>
        <v>#DIV/0!</v>
      </c>
    </row>
    <row r="5" ht="19" customHeight="1" spans="1:7">
      <c r="A5" s="6"/>
      <c r="B5" s="6"/>
      <c r="C5" s="7"/>
      <c r="D5" s="8">
        <f t="shared" si="0"/>
        <v>0</v>
      </c>
      <c r="E5" s="7"/>
      <c r="F5" s="7"/>
      <c r="G5" s="9" t="e">
        <f t="shared" si="1"/>
        <v>#DIV/0!</v>
      </c>
    </row>
    <row r="6" ht="19" customHeight="1" spans="1:7">
      <c r="A6" s="6"/>
      <c r="B6" s="6"/>
      <c r="C6" s="7"/>
      <c r="D6" s="8">
        <f t="shared" si="0"/>
        <v>0</v>
      </c>
      <c r="E6" s="7"/>
      <c r="F6" s="7"/>
      <c r="G6" s="9" t="e">
        <f t="shared" si="1"/>
        <v>#DIV/0!</v>
      </c>
    </row>
    <row r="7" ht="19" customHeight="1" spans="1:7">
      <c r="A7" s="6"/>
      <c r="B7" s="6"/>
      <c r="C7" s="7"/>
      <c r="D7" s="8">
        <f t="shared" si="0"/>
        <v>0</v>
      </c>
      <c r="E7" s="7"/>
      <c r="F7" s="7"/>
      <c r="G7" s="9" t="e">
        <f t="shared" si="1"/>
        <v>#DIV/0!</v>
      </c>
    </row>
    <row r="8" ht="19" customHeight="1" spans="1:7">
      <c r="A8" s="6"/>
      <c r="B8" s="6"/>
      <c r="C8" s="7"/>
      <c r="D8" s="8">
        <f t="shared" si="0"/>
        <v>0</v>
      </c>
      <c r="E8" s="7"/>
      <c r="F8" s="7"/>
      <c r="G8" s="9" t="e">
        <f t="shared" si="1"/>
        <v>#DIV/0!</v>
      </c>
    </row>
    <row r="9" ht="19" customHeight="1" spans="1:7">
      <c r="A9" s="6"/>
      <c r="B9" s="6"/>
      <c r="C9" s="7"/>
      <c r="D9" s="8">
        <f t="shared" si="0"/>
        <v>0</v>
      </c>
      <c r="E9" s="7"/>
      <c r="F9" s="7"/>
      <c r="G9" s="9" t="e">
        <f t="shared" si="1"/>
        <v>#DIV/0!</v>
      </c>
    </row>
    <row r="10" ht="19" customHeight="1" spans="1:7">
      <c r="A10" s="6"/>
      <c r="B10" s="6"/>
      <c r="C10" s="7"/>
      <c r="D10" s="8">
        <f t="shared" si="0"/>
        <v>0</v>
      </c>
      <c r="E10" s="7"/>
      <c r="F10" s="7"/>
      <c r="G10" s="9" t="e">
        <f t="shared" si="1"/>
        <v>#DIV/0!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Compatible / Openpyxl 3.1.5</Application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首页</vt:lpstr>
      <vt:lpstr>系统适用性</vt:lpstr>
      <vt:lpstr>对照品配置</vt:lpstr>
      <vt:lpstr>专属性</vt:lpstr>
      <vt:lpstr>检测限与定量限</vt:lpstr>
      <vt:lpstr>线性</vt:lpstr>
      <vt:lpstr>重复性跟中间精密度</vt:lpstr>
      <vt:lpstr>准确度</vt:lpstr>
      <vt:lpstr>溶液稳定性</vt:lpstr>
      <vt:lpstr>耐用性</vt:lpstr>
      <vt:lpstr>检测</vt:lpstr>
      <vt:lpstr>杂质D</vt:lpstr>
      <vt:lpstr>杂质A2</vt:lpstr>
      <vt:lpstr>_tpl_system</vt:lpstr>
      <vt:lpstr>_tpl_refstd</vt:lpstr>
      <vt:lpstr>_tpl_specificity</vt:lpstr>
      <vt:lpstr>_tpl_lodloq</vt:lpstr>
      <vt:lpstr>_tpl_linear</vt:lpstr>
      <vt:lpstr>_tpl_repeat</vt:lpstr>
      <vt:lpstr>_tpl_accuracy</vt:lpstr>
      <vt:lpstr>_tpl_stability</vt:lpstr>
      <vt:lpstr>_tpl_detection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文霞-标准计算表-动态-2026-08-12T01:32:46Z</dc:title>
  <dc:creator>tengda zou</dc:creator>
  <cp:lastModifiedBy>95429</cp:lastModifiedBy>
  <dcterms:created xsi:type="dcterms:W3CDTF">2026-08-12T01:32:00Z</dcterms:created>
  <dcterms:modified xsi:type="dcterms:W3CDTF">2026-08-12T04:23:15Z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76DE45C5F1DE4C42BE604BC3633463E5_12</vt:lpwstr>
  </property>
  <property fmtid="{D5CDD505-2E9C-101B-9397-08002B2CF9AE}" pid="3" name="KSOProductBuildVer">
    <vt:lpwstr>2052-12.1.0.28043</vt:lpwstr>
  </property>
  <property fmtid="{D5CDD505-2E9C-101B-9397-08002B2CF9AE}" pid="4" name="CalculationRule">
    <vt:i4>0</vt:i4>
  </property>
</Properties>
</file>