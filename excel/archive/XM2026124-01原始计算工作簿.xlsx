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60" yWindow="135" windowWidth="9930" windowHeight="10035" tabRatio="723" activeTab="6"/>
  </bookViews>
  <sheets>
    <sheet name="对照品配制" sheetId="7" r:id="rId1"/>
    <sheet name="系统适用性" sheetId="10" r:id="rId2"/>
    <sheet name="检测限与定量限" sheetId="1" r:id="rId3"/>
    <sheet name="重复性" sheetId="2" r:id="rId4"/>
    <sheet name="准确度" sheetId="5" r:id="rId5"/>
    <sheet name="溶液稳定性" sheetId="13" r:id="rId6"/>
    <sheet name="检测" sheetId="17" r:id="rId7"/>
    <sheet name="Sheet1" sheetId="18" r:id="rId8"/>
    <sheet name="Sheet2" sheetId="19" r:id="rId9"/>
    <sheet name="Sheet3" sheetId="20" r:id="rId10"/>
  </sheets>
  <definedNames>
    <definedName name="_Hlk145311395" localSheetId="1">系统适用性!#REF!</definedName>
    <definedName name="_Hlk145311945" localSheetId="4">准确度!#REF!</definedName>
    <definedName name="_Hlk182761774" localSheetId="4">准确度!#REF!</definedName>
    <definedName name="_Hlk227855237" localSheetId="4">准确度!$D$17</definedName>
    <definedName name="_Hlk228446882" localSheetId="9">Sheet3!$D$20</definedName>
    <definedName name="_Hlk75527557" localSheetId="4">准确度!#REF!</definedName>
    <definedName name="STDEV">#REF!</definedName>
  </definedNames>
  <calcPr calcId="144525"/>
</workbook>
</file>

<file path=xl/calcChain.xml><?xml version="1.0" encoding="utf-8"?>
<calcChain xmlns="http://schemas.openxmlformats.org/spreadsheetml/2006/main">
  <c r="H31" i="17" l="1"/>
  <c r="H30" i="17"/>
  <c r="H29" i="17"/>
  <c r="H28" i="17"/>
  <c r="H27" i="17"/>
  <c r="H26" i="17"/>
  <c r="H25" i="17"/>
  <c r="H24" i="17"/>
  <c r="H23" i="17"/>
  <c r="G41" i="7" l="1"/>
  <c r="G45" i="7" s="1"/>
  <c r="H41" i="7"/>
  <c r="I41" i="7"/>
  <c r="J41" i="7"/>
  <c r="K41" i="7"/>
  <c r="F41" i="7"/>
  <c r="F45" i="7" s="1"/>
  <c r="G40" i="7"/>
  <c r="G44" i="7" s="1"/>
  <c r="H40" i="7"/>
  <c r="I40" i="7"/>
  <c r="K40" i="7"/>
  <c r="F40" i="7"/>
  <c r="F44" i="7" s="1"/>
  <c r="G39" i="7"/>
  <c r="G43" i="7" s="1"/>
  <c r="H39" i="7"/>
  <c r="I39" i="7"/>
  <c r="J39" i="7"/>
  <c r="K39" i="7"/>
  <c r="F39" i="7"/>
  <c r="F43" i="7" s="1"/>
  <c r="D41" i="7"/>
  <c r="E41" i="7" s="1"/>
  <c r="D40" i="7"/>
  <c r="E40" i="7" s="1"/>
  <c r="D39" i="7"/>
  <c r="E39" i="7" s="1"/>
  <c r="G33" i="7" l="1"/>
  <c r="G34" i="7"/>
  <c r="G32" i="7"/>
  <c r="F33" i="7"/>
  <c r="F34" i="7"/>
  <c r="F32" i="7"/>
  <c r="H12" i="17"/>
  <c r="H13" i="17"/>
  <c r="H14" i="17"/>
  <c r="H15" i="17"/>
  <c r="H16" i="17"/>
  <c r="H17" i="17"/>
  <c r="H18" i="17"/>
  <c r="H19" i="17"/>
  <c r="H11" i="17"/>
  <c r="E12" i="17"/>
  <c r="E13" i="17"/>
  <c r="E14" i="17"/>
  <c r="E15" i="17"/>
  <c r="E16" i="17"/>
  <c r="E17" i="17"/>
  <c r="E18" i="17"/>
  <c r="E19" i="17"/>
  <c r="E11" i="17"/>
  <c r="E75" i="13"/>
  <c r="E72" i="13"/>
  <c r="E73" i="13"/>
  <c r="E74" i="13"/>
  <c r="E71" i="13"/>
  <c r="E62" i="13"/>
  <c r="E63" i="13"/>
  <c r="E64" i="13"/>
  <c r="E65" i="13"/>
  <c r="E61" i="13"/>
  <c r="E52" i="13"/>
  <c r="E53" i="13"/>
  <c r="E54" i="13"/>
  <c r="E55" i="13"/>
  <c r="E51" i="13"/>
  <c r="G72" i="13"/>
  <c r="G73" i="13"/>
  <c r="G74" i="13"/>
  <c r="G75" i="13"/>
  <c r="G71" i="13"/>
  <c r="G62" i="13"/>
  <c r="G63" i="13"/>
  <c r="G64" i="13"/>
  <c r="G65" i="13"/>
  <c r="G61" i="13"/>
  <c r="I51" i="13"/>
  <c r="I52" i="13"/>
  <c r="I53" i="13"/>
  <c r="I54" i="13"/>
  <c r="I55" i="13"/>
  <c r="I50" i="13"/>
  <c r="J50" i="13" s="1"/>
  <c r="K50" i="13" s="1"/>
  <c r="G52" i="13"/>
  <c r="G53" i="13"/>
  <c r="G54" i="13"/>
  <c r="G55" i="13"/>
  <c r="G51" i="13"/>
  <c r="J55" i="13"/>
  <c r="K55" i="13" s="1"/>
  <c r="J54" i="13"/>
  <c r="K54" i="13" s="1"/>
  <c r="J53" i="13"/>
  <c r="K53" i="13" s="1"/>
  <c r="J52" i="13"/>
  <c r="K52" i="13" s="1"/>
  <c r="J51" i="13"/>
  <c r="K51" i="13" s="1"/>
  <c r="K83" i="5"/>
  <c r="K84" i="5"/>
  <c r="K82" i="5"/>
  <c r="K80" i="5"/>
  <c r="K81" i="5"/>
  <c r="K79" i="5"/>
  <c r="K77" i="5"/>
  <c r="K78" i="5"/>
  <c r="H84" i="5"/>
  <c r="H83" i="5"/>
  <c r="H82" i="5"/>
  <c r="H81" i="5"/>
  <c r="H80" i="5"/>
  <c r="H79" i="5"/>
  <c r="H78" i="5"/>
  <c r="H77" i="5"/>
  <c r="H76" i="5"/>
  <c r="K76" i="5" s="1"/>
  <c r="H67" i="5"/>
  <c r="H66" i="5"/>
  <c r="H65" i="5"/>
  <c r="H64" i="5"/>
  <c r="H63" i="5"/>
  <c r="H62" i="5"/>
  <c r="H61" i="5"/>
  <c r="H60" i="5"/>
  <c r="H59" i="5"/>
  <c r="H43" i="5"/>
  <c r="K43" i="5" s="1"/>
  <c r="H44" i="5"/>
  <c r="K44" i="5" s="1"/>
  <c r="H45" i="5"/>
  <c r="K45" i="5" s="1"/>
  <c r="H46" i="5"/>
  <c r="K46" i="5" s="1"/>
  <c r="H47" i="5"/>
  <c r="K47" i="5" s="1"/>
  <c r="H48" i="5"/>
  <c r="K48" i="5" s="1"/>
  <c r="H49" i="5"/>
  <c r="K49" i="5" s="1"/>
  <c r="H50" i="5"/>
  <c r="K50" i="5" s="1"/>
  <c r="H42" i="5"/>
  <c r="K42" i="5" s="1"/>
  <c r="F84" i="5"/>
  <c r="F83" i="5"/>
  <c r="F82" i="5"/>
  <c r="F81" i="5"/>
  <c r="F80" i="5"/>
  <c r="F79" i="5"/>
  <c r="F78" i="5"/>
  <c r="F77" i="5"/>
  <c r="F76" i="5"/>
  <c r="F67" i="5"/>
  <c r="I67" i="5" s="1"/>
  <c r="F66" i="5"/>
  <c r="I66" i="5" s="1"/>
  <c r="F65" i="5"/>
  <c r="I65" i="5" s="1"/>
  <c r="F64" i="5"/>
  <c r="I64" i="5" s="1"/>
  <c r="F63" i="5"/>
  <c r="I63" i="5" s="1"/>
  <c r="F62" i="5"/>
  <c r="I62" i="5" s="1"/>
  <c r="F61" i="5"/>
  <c r="I61" i="5" s="1"/>
  <c r="F60" i="5"/>
  <c r="I60" i="5" s="1"/>
  <c r="K60" i="5" s="1"/>
  <c r="F59" i="5"/>
  <c r="I59" i="5" s="1"/>
  <c r="F43" i="5"/>
  <c r="F44" i="5"/>
  <c r="F45" i="5"/>
  <c r="F46" i="5"/>
  <c r="F47" i="5"/>
  <c r="F48" i="5"/>
  <c r="F49" i="5"/>
  <c r="F50" i="5"/>
  <c r="F42" i="5"/>
  <c r="G37" i="5"/>
  <c r="D37" i="5"/>
  <c r="E37" i="5" s="1"/>
  <c r="F37" i="5" s="1"/>
  <c r="D36" i="5"/>
  <c r="E36" i="5" s="1"/>
  <c r="G36" i="5" s="1"/>
  <c r="H230" i="1"/>
  <c r="D216" i="1"/>
  <c r="D217" i="1" s="1"/>
  <c r="E216" i="1"/>
  <c r="E217" i="1" s="1"/>
  <c r="F216" i="1"/>
  <c r="F217" i="1" s="1"/>
  <c r="G216" i="1"/>
  <c r="G217" i="1" s="1"/>
  <c r="G218" i="1" s="1"/>
  <c r="C216" i="1"/>
  <c r="H198" i="1"/>
  <c r="H199" i="1" s="1"/>
  <c r="D185" i="1"/>
  <c r="D186" i="1" s="1"/>
  <c r="D187" i="1" s="1"/>
  <c r="E185" i="1"/>
  <c r="E186" i="1" s="1"/>
  <c r="E187" i="1" s="1"/>
  <c r="F185" i="1"/>
  <c r="F186" i="1" s="1"/>
  <c r="F187" i="1" s="1"/>
  <c r="G185" i="1"/>
  <c r="G186" i="1" s="1"/>
  <c r="G187" i="1" s="1"/>
  <c r="C185" i="1"/>
  <c r="C186" i="1" s="1"/>
  <c r="C187" i="1" s="1"/>
  <c r="H168" i="1"/>
  <c r="H169" i="1" s="1"/>
  <c r="D154" i="1"/>
  <c r="E154" i="1"/>
  <c r="F154" i="1"/>
  <c r="F155" i="1" s="1"/>
  <c r="F156" i="1" s="1"/>
  <c r="G154" i="1"/>
  <c r="G155" i="1" s="1"/>
  <c r="G156" i="1" s="1"/>
  <c r="C154" i="1"/>
  <c r="C155" i="1" s="1"/>
  <c r="C156" i="1" s="1"/>
  <c r="G148" i="1"/>
  <c r="H148" i="1"/>
  <c r="J148" i="1"/>
  <c r="K148" i="1"/>
  <c r="F148" i="1"/>
  <c r="G147" i="1"/>
  <c r="H147" i="1"/>
  <c r="I147" i="1"/>
  <c r="J147" i="1"/>
  <c r="J146" i="1"/>
  <c r="K146" i="1"/>
  <c r="D148" i="1"/>
  <c r="E148" i="1" s="1"/>
  <c r="I148" i="1" s="1"/>
  <c r="D147" i="1"/>
  <c r="E147" i="1" s="1"/>
  <c r="K147" i="1" s="1"/>
  <c r="E146" i="1"/>
  <c r="F146" i="1" s="1"/>
  <c r="D146" i="1"/>
  <c r="H231" i="1"/>
  <c r="C217" i="1"/>
  <c r="C218" i="1" s="1"/>
  <c r="E155" i="1"/>
  <c r="E156" i="1" s="1"/>
  <c r="D155" i="1"/>
  <c r="D156" i="1" s="1"/>
  <c r="E27" i="5"/>
  <c r="E26" i="5"/>
  <c r="E25" i="5"/>
  <c r="E24" i="5"/>
  <c r="H24" i="5" s="1"/>
  <c r="E23" i="5"/>
  <c r="H23" i="5" s="1"/>
  <c r="E22" i="5"/>
  <c r="H22" i="5" s="1"/>
  <c r="E20" i="5"/>
  <c r="E21" i="5"/>
  <c r="E19" i="5"/>
  <c r="G119" i="2"/>
  <c r="D119" i="2"/>
  <c r="G116" i="2"/>
  <c r="G117" i="2" s="1"/>
  <c r="F116" i="2"/>
  <c r="E116" i="2"/>
  <c r="E117" i="2" s="1"/>
  <c r="G115" i="2"/>
  <c r="F115" i="2"/>
  <c r="E115" i="2"/>
  <c r="G111" i="2"/>
  <c r="D111" i="2"/>
  <c r="D109" i="2"/>
  <c r="H109" i="2" s="1"/>
  <c r="I109" i="2" s="1"/>
  <c r="D108" i="2"/>
  <c r="H108" i="2" s="1"/>
  <c r="I108" i="2" s="1"/>
  <c r="D107" i="2"/>
  <c r="H107" i="2" s="1"/>
  <c r="I107" i="2" s="1"/>
  <c r="D106" i="2"/>
  <c r="H106" i="2" s="1"/>
  <c r="I106" i="2" s="1"/>
  <c r="D105" i="2"/>
  <c r="H105" i="2" s="1"/>
  <c r="I105" i="2" s="1"/>
  <c r="D104" i="2"/>
  <c r="H104" i="2" s="1"/>
  <c r="G98" i="2"/>
  <c r="F98" i="2"/>
  <c r="E98" i="2"/>
  <c r="E99" i="2" s="1"/>
  <c r="G97" i="2"/>
  <c r="F97" i="2"/>
  <c r="E97" i="2"/>
  <c r="G93" i="2"/>
  <c r="D93" i="2"/>
  <c r="D91" i="2"/>
  <c r="H91" i="2" s="1"/>
  <c r="I91" i="2" s="1"/>
  <c r="D90" i="2"/>
  <c r="H90" i="2" s="1"/>
  <c r="I90" i="2" s="1"/>
  <c r="D89" i="2"/>
  <c r="H89" i="2" s="1"/>
  <c r="I89" i="2" s="1"/>
  <c r="D88" i="2"/>
  <c r="H88" i="2" s="1"/>
  <c r="I88" i="2" s="1"/>
  <c r="D87" i="2"/>
  <c r="H87" i="2" s="1"/>
  <c r="I87" i="2" s="1"/>
  <c r="D86" i="2"/>
  <c r="H86" i="2" s="1"/>
  <c r="G79" i="2"/>
  <c r="D79" i="2"/>
  <c r="G76" i="2"/>
  <c r="F76" i="2"/>
  <c r="F77" i="2" s="1"/>
  <c r="E76" i="2"/>
  <c r="G75" i="2"/>
  <c r="F75" i="2"/>
  <c r="E75" i="2"/>
  <c r="G71" i="2"/>
  <c r="D71" i="2"/>
  <c r="D69" i="2"/>
  <c r="H69" i="2" s="1"/>
  <c r="I69" i="2" s="1"/>
  <c r="D68" i="2"/>
  <c r="H68" i="2" s="1"/>
  <c r="I68" i="2" s="1"/>
  <c r="D67" i="2"/>
  <c r="H67" i="2" s="1"/>
  <c r="I67" i="2" s="1"/>
  <c r="D66" i="2"/>
  <c r="H66" i="2" s="1"/>
  <c r="I66" i="2" s="1"/>
  <c r="D65" i="2"/>
  <c r="H65" i="2" s="1"/>
  <c r="I65" i="2" s="1"/>
  <c r="D64" i="2"/>
  <c r="H64" i="2" s="1"/>
  <c r="G58" i="2"/>
  <c r="F58" i="2"/>
  <c r="E58" i="2"/>
  <c r="G57" i="2"/>
  <c r="F57" i="2"/>
  <c r="E57" i="2"/>
  <c r="G53" i="2"/>
  <c r="D53" i="2"/>
  <c r="D51" i="2"/>
  <c r="H51" i="2" s="1"/>
  <c r="I51" i="2" s="1"/>
  <c r="D50" i="2"/>
  <c r="H50" i="2" s="1"/>
  <c r="I50" i="2" s="1"/>
  <c r="D49" i="2"/>
  <c r="H49" i="2" s="1"/>
  <c r="I49" i="2" s="1"/>
  <c r="D48" i="2"/>
  <c r="H48" i="2" s="1"/>
  <c r="I48" i="2" s="1"/>
  <c r="D47" i="2"/>
  <c r="H47" i="2" s="1"/>
  <c r="I47" i="2" s="1"/>
  <c r="D46" i="2"/>
  <c r="H46" i="2" s="1"/>
  <c r="K65" i="5" l="1"/>
  <c r="K64" i="5"/>
  <c r="K66" i="5"/>
  <c r="K59" i="5"/>
  <c r="K67" i="5"/>
  <c r="K61" i="5"/>
  <c r="K62" i="5"/>
  <c r="K63" i="5"/>
  <c r="M83" i="5"/>
  <c r="F36" i="5"/>
  <c r="J30" i="5"/>
  <c r="I30" i="5"/>
  <c r="J36" i="5"/>
  <c r="J31" i="5"/>
  <c r="K36" i="5"/>
  <c r="I36" i="5"/>
  <c r="K37" i="5"/>
  <c r="I31" i="5"/>
  <c r="J37" i="5"/>
  <c r="I37" i="5"/>
  <c r="G30" i="5"/>
  <c r="H37" i="5"/>
  <c r="G31" i="5"/>
  <c r="H36" i="5"/>
  <c r="M80" i="5"/>
  <c r="M86" i="5"/>
  <c r="F87" i="5"/>
  <c r="I146" i="1"/>
  <c r="G77" i="2"/>
  <c r="E77" i="2"/>
  <c r="H146" i="1"/>
  <c r="G146" i="1"/>
  <c r="F147" i="1"/>
  <c r="G59" i="2"/>
  <c r="F117" i="2"/>
  <c r="D218" i="1"/>
  <c r="E218" i="1"/>
  <c r="F218" i="1"/>
  <c r="M77" i="5"/>
  <c r="K87" i="5"/>
  <c r="M85" i="5"/>
  <c r="G99" i="2"/>
  <c r="F99" i="2"/>
  <c r="F59" i="2"/>
  <c r="E59" i="2"/>
  <c r="E120" i="2"/>
  <c r="E121" i="2" s="1"/>
  <c r="I115" i="2"/>
  <c r="H97" i="2"/>
  <c r="I86" i="2"/>
  <c r="H94" i="2"/>
  <c r="H95" i="2" s="1"/>
  <c r="E94" i="2"/>
  <c r="E95" i="2" s="1"/>
  <c r="H98" i="2"/>
  <c r="I116" i="2"/>
  <c r="H120" i="2"/>
  <c r="H121" i="2" s="1"/>
  <c r="H115" i="2"/>
  <c r="I104" i="2"/>
  <c r="E112" i="2"/>
  <c r="E113" i="2" s="1"/>
  <c r="H112" i="2"/>
  <c r="H113" i="2" s="1"/>
  <c r="H116" i="2"/>
  <c r="I64" i="2"/>
  <c r="H75" i="2"/>
  <c r="H76" i="2"/>
  <c r="H72" i="2"/>
  <c r="H73" i="2" s="1"/>
  <c r="E72" i="2"/>
  <c r="E73" i="2" s="1"/>
  <c r="H80" i="2"/>
  <c r="H81" i="2" s="1"/>
  <c r="I75" i="2"/>
  <c r="E80" i="2"/>
  <c r="E81" i="2" s="1"/>
  <c r="I46" i="2"/>
  <c r="H57" i="2"/>
  <c r="H54" i="2"/>
  <c r="H55" i="2" s="1"/>
  <c r="I76" i="2"/>
  <c r="E54" i="2"/>
  <c r="E55" i="2" s="1"/>
  <c r="H58" i="2"/>
  <c r="H24" i="2"/>
  <c r="I24" i="2" s="1"/>
  <c r="D28" i="2"/>
  <c r="H28" i="2" s="1"/>
  <c r="I28" i="2" s="1"/>
  <c r="D27" i="2"/>
  <c r="H27" i="2" s="1"/>
  <c r="I27" i="2" s="1"/>
  <c r="D26" i="2"/>
  <c r="H26" i="2" s="1"/>
  <c r="I26" i="2" s="1"/>
  <c r="D25" i="2"/>
  <c r="H25" i="2" s="1"/>
  <c r="I25" i="2" s="1"/>
  <c r="D24" i="2"/>
  <c r="D23" i="2"/>
  <c r="H23" i="2" s="1"/>
  <c r="D30" i="2"/>
  <c r="G30" i="2"/>
  <c r="I9" i="2"/>
  <c r="I10" i="2"/>
  <c r="I5" i="2"/>
  <c r="H6" i="2"/>
  <c r="I6" i="2" s="1"/>
  <c r="H9" i="2"/>
  <c r="H10" i="2"/>
  <c r="H5" i="2"/>
  <c r="D6" i="2"/>
  <c r="D7" i="2"/>
  <c r="H7" i="2" s="1"/>
  <c r="I7" i="2" s="1"/>
  <c r="D8" i="2"/>
  <c r="H8" i="2" s="1"/>
  <c r="I8" i="2" s="1"/>
  <c r="D9" i="2"/>
  <c r="D10" i="2"/>
  <c r="D5" i="2"/>
  <c r="H126" i="1"/>
  <c r="D112" i="1"/>
  <c r="E112" i="1"/>
  <c r="F112" i="1"/>
  <c r="G112" i="1"/>
  <c r="C112" i="1"/>
  <c r="H94" i="1"/>
  <c r="D81" i="1"/>
  <c r="E81" i="1"/>
  <c r="F81" i="1"/>
  <c r="G81" i="1"/>
  <c r="C81" i="1"/>
  <c r="M88" i="5" l="1"/>
  <c r="E31" i="2"/>
  <c r="E32" i="2" s="1"/>
  <c r="I23" i="2"/>
  <c r="H117" i="2"/>
  <c r="H77" i="2"/>
  <c r="I117" i="2"/>
  <c r="H99" i="2"/>
  <c r="I77" i="2"/>
  <c r="H59" i="2"/>
  <c r="H31" i="2"/>
  <c r="H32" i="2" s="1"/>
  <c r="H64" i="1"/>
  <c r="D50" i="1"/>
  <c r="E50" i="1"/>
  <c r="F50" i="1"/>
  <c r="G50" i="1"/>
  <c r="C50" i="1"/>
  <c r="G30" i="1"/>
  <c r="H30" i="1" s="1"/>
  <c r="G21" i="1"/>
  <c r="H21" i="1" s="1"/>
  <c r="G11" i="1"/>
  <c r="H11" i="1" s="1"/>
  <c r="F6" i="1"/>
  <c r="G6" i="1" s="1"/>
  <c r="F7" i="1"/>
  <c r="G7" i="1" s="1"/>
  <c r="F5" i="1"/>
  <c r="G5" i="1" s="1"/>
  <c r="J30" i="1"/>
  <c r="I30" i="1"/>
  <c r="D44" i="1"/>
  <c r="E44" i="1" s="1"/>
  <c r="I44" i="1" s="1"/>
  <c r="D43" i="1"/>
  <c r="E43" i="1" s="1"/>
  <c r="D42" i="1"/>
  <c r="E42" i="1" s="1"/>
  <c r="I42" i="1" s="1"/>
  <c r="H14" i="10"/>
  <c r="G14" i="10"/>
  <c r="H13" i="10"/>
  <c r="G13" i="10"/>
  <c r="H15" i="10" l="1"/>
  <c r="H42" i="1"/>
  <c r="G42" i="1"/>
  <c r="F42" i="1"/>
  <c r="K42" i="1"/>
  <c r="J42" i="1"/>
  <c r="G43" i="1"/>
  <c r="H43" i="1"/>
  <c r="J43" i="1"/>
  <c r="K43" i="1"/>
  <c r="F43" i="1"/>
  <c r="H44" i="1"/>
  <c r="G44" i="1"/>
  <c r="K30" i="1"/>
  <c r="F44" i="1"/>
  <c r="K44" i="1"/>
  <c r="J44" i="1"/>
  <c r="G15" i="10"/>
  <c r="D30" i="7"/>
  <c r="E30" i="7" s="1"/>
  <c r="I30" i="7" s="1"/>
  <c r="D29" i="7"/>
  <c r="E29" i="7" s="1"/>
  <c r="H29" i="7" s="1"/>
  <c r="D28" i="7"/>
  <c r="E28" i="7" s="1"/>
  <c r="K28" i="7" s="1"/>
  <c r="G29" i="7" l="1"/>
  <c r="H28" i="7"/>
  <c r="I28" i="7"/>
  <c r="K30" i="7"/>
  <c r="J30" i="7"/>
  <c r="H30" i="7"/>
  <c r="J28" i="7"/>
  <c r="G28" i="7"/>
  <c r="F28" i="7"/>
  <c r="J29" i="7"/>
  <c r="G30" i="7"/>
  <c r="F29" i="7"/>
  <c r="F30" i="7"/>
  <c r="I29" i="7"/>
  <c r="K29" i="7"/>
  <c r="G23" i="7"/>
  <c r="I23" i="7"/>
  <c r="K23" i="7"/>
  <c r="J22" i="7"/>
  <c r="K22" i="7"/>
  <c r="H21" i="7"/>
  <c r="J21" i="7"/>
  <c r="K21" i="7"/>
  <c r="F23" i="7"/>
  <c r="F22" i="7"/>
  <c r="F21" i="7"/>
  <c r="D23" i="7"/>
  <c r="E23" i="7" s="1"/>
  <c r="H23" i="7" s="1"/>
  <c r="D22" i="7"/>
  <c r="E22" i="7" s="1"/>
  <c r="G22" i="7" s="1"/>
  <c r="D21" i="7"/>
  <c r="E21" i="7" s="1"/>
  <c r="G21" i="7" s="1"/>
  <c r="H22" i="7" l="1"/>
  <c r="I21" i="7"/>
  <c r="J23" i="7"/>
  <c r="D16" i="7"/>
  <c r="E16" i="7" s="1"/>
  <c r="D15" i="7"/>
  <c r="E15" i="7" s="1"/>
  <c r="D14" i="7"/>
  <c r="E14" i="7" s="1"/>
  <c r="D13" i="7"/>
  <c r="E13" i="7" s="1"/>
  <c r="F13" i="7" l="1"/>
  <c r="I13" i="7"/>
  <c r="J13" i="7"/>
  <c r="K13" i="7"/>
  <c r="G13" i="7"/>
  <c r="H13" i="7"/>
  <c r="F14" i="7"/>
  <c r="I14" i="7"/>
  <c r="J14" i="7"/>
  <c r="G14" i="7"/>
  <c r="H14" i="7"/>
  <c r="K14" i="7"/>
  <c r="F15" i="7"/>
  <c r="G15" i="7"/>
  <c r="I15" i="7"/>
  <c r="J15" i="7"/>
  <c r="K15" i="7"/>
  <c r="H15" i="7"/>
  <c r="F16" i="7"/>
  <c r="G16" i="7"/>
  <c r="H16" i="7"/>
  <c r="J16" i="7"/>
  <c r="I16" i="7"/>
  <c r="K16" i="7"/>
  <c r="G11" i="5"/>
  <c r="G10" i="5"/>
  <c r="G14" i="5"/>
  <c r="G13" i="5"/>
  <c r="G8" i="5"/>
  <c r="G7" i="5"/>
  <c r="E40" i="13"/>
  <c r="G41" i="13"/>
  <c r="G42" i="13"/>
  <c r="G43" i="13"/>
  <c r="G44" i="13"/>
  <c r="G40" i="13"/>
  <c r="E41" i="13"/>
  <c r="E42" i="13"/>
  <c r="E43" i="13"/>
  <c r="E44" i="13"/>
  <c r="G31" i="13"/>
  <c r="G32" i="13"/>
  <c r="G33" i="13"/>
  <c r="G34" i="13"/>
  <c r="G30" i="13"/>
  <c r="E31" i="13"/>
  <c r="E32" i="13"/>
  <c r="E33" i="13"/>
  <c r="E34" i="13"/>
  <c r="E30" i="13"/>
  <c r="G21" i="13"/>
  <c r="G22" i="13"/>
  <c r="G23" i="13"/>
  <c r="G24" i="13"/>
  <c r="G20" i="13"/>
  <c r="E21" i="13"/>
  <c r="E22" i="13"/>
  <c r="E23" i="13"/>
  <c r="E24" i="13"/>
  <c r="E20" i="13"/>
  <c r="G11" i="13"/>
  <c r="G12" i="13"/>
  <c r="G13" i="13"/>
  <c r="G14" i="13"/>
  <c r="G10" i="13"/>
  <c r="E11" i="13"/>
  <c r="E12" i="13"/>
  <c r="E13" i="13"/>
  <c r="E14" i="13"/>
  <c r="E10" i="13"/>
  <c r="G6" i="17" l="1"/>
  <c r="G7" i="17"/>
  <c r="E4" i="17"/>
  <c r="G4" i="17" s="1"/>
  <c r="E5" i="17"/>
  <c r="G5" i="17" s="1"/>
  <c r="E6" i="17"/>
  <c r="E7" i="17"/>
  <c r="E8" i="17"/>
  <c r="G8" i="17" s="1"/>
  <c r="E3" i="17"/>
  <c r="G3" i="17" s="1"/>
  <c r="H127" i="1" l="1"/>
  <c r="D113" i="1"/>
  <c r="D114" i="1" s="1"/>
  <c r="E113" i="1"/>
  <c r="E114" i="1" s="1"/>
  <c r="F113" i="1"/>
  <c r="F114" i="1" s="1"/>
  <c r="C113" i="1"/>
  <c r="C114" i="1" s="1"/>
  <c r="G113" i="1"/>
  <c r="G114" i="1" s="1"/>
  <c r="J11" i="1"/>
  <c r="I11" i="1"/>
  <c r="F14" i="10"/>
  <c r="E14" i="10"/>
  <c r="F13" i="10"/>
  <c r="E13" i="10"/>
  <c r="F15" i="10" l="1"/>
  <c r="K11" i="1"/>
  <c r="E15" i="10"/>
  <c r="G5" i="5" l="1"/>
  <c r="G4" i="5"/>
  <c r="D8" i="7"/>
  <c r="E8" i="7" s="1"/>
  <c r="D7" i="7"/>
  <c r="E7" i="7" s="1"/>
  <c r="D6" i="7"/>
  <c r="E6" i="7" s="1"/>
  <c r="D5" i="7"/>
  <c r="E5" i="7" s="1"/>
  <c r="G7" i="7" l="1"/>
  <c r="I7" i="7"/>
  <c r="J7" i="7"/>
  <c r="K7" i="7"/>
  <c r="F7" i="7"/>
  <c r="H7" i="7"/>
  <c r="K5" i="7"/>
  <c r="G5" i="7"/>
  <c r="H5" i="7"/>
  <c r="I5" i="7"/>
  <c r="J5" i="7"/>
  <c r="F5" i="7"/>
  <c r="G6" i="7"/>
  <c r="H6" i="7"/>
  <c r="F6" i="7"/>
  <c r="I6" i="7"/>
  <c r="J6" i="7"/>
  <c r="K6" i="7"/>
  <c r="G8" i="7"/>
  <c r="H8" i="7"/>
  <c r="K8" i="7"/>
  <c r="I8" i="7"/>
  <c r="F8" i="7"/>
  <c r="J8" i="7"/>
  <c r="M63" i="5" l="1"/>
  <c r="M68" i="5"/>
  <c r="K70" i="5"/>
  <c r="M66" i="5"/>
  <c r="M69" i="5"/>
  <c r="F70" i="5"/>
  <c r="M60" i="5"/>
  <c r="H95" i="1"/>
  <c r="H65" i="1"/>
  <c r="G38" i="2"/>
  <c r="D38" i="2"/>
  <c r="D12" i="2"/>
  <c r="G12" i="2"/>
  <c r="D82" i="1"/>
  <c r="D83" i="1" s="1"/>
  <c r="E82" i="1"/>
  <c r="E83" i="1" s="1"/>
  <c r="F82" i="1"/>
  <c r="F83" i="1" s="1"/>
  <c r="G82" i="1"/>
  <c r="G83" i="1" s="1"/>
  <c r="C82" i="1"/>
  <c r="C83" i="1" s="1"/>
  <c r="D51" i="1"/>
  <c r="D52" i="1" s="1"/>
  <c r="E51" i="1"/>
  <c r="E52" i="1" s="1"/>
  <c r="F51" i="1"/>
  <c r="F52" i="1" s="1"/>
  <c r="G51" i="1"/>
  <c r="G52" i="1" s="1"/>
  <c r="C51" i="1"/>
  <c r="C52" i="1" s="1"/>
  <c r="M71" i="5" l="1"/>
  <c r="F53" i="5" l="1"/>
  <c r="K53" i="5"/>
  <c r="H39" i="2"/>
  <c r="H40" i="2" s="1"/>
  <c r="E39" i="2"/>
  <c r="E40" i="2" s="1"/>
  <c r="E13" i="2"/>
  <c r="E14" i="2" s="1"/>
  <c r="H13" i="2"/>
  <c r="H14" i="2" s="1"/>
  <c r="I10" i="13" l="1"/>
  <c r="J10" i="13" s="1"/>
  <c r="K10" i="13" s="1"/>
  <c r="I11" i="13"/>
  <c r="J11" i="13" s="1"/>
  <c r="K11" i="13" s="1"/>
  <c r="I12" i="13"/>
  <c r="J12" i="13" s="1"/>
  <c r="K12" i="13" s="1"/>
  <c r="I13" i="13"/>
  <c r="J13" i="13" s="1"/>
  <c r="K13" i="13" s="1"/>
  <c r="I14" i="13"/>
  <c r="J14" i="13" s="1"/>
  <c r="K14" i="13" s="1"/>
  <c r="I9" i="13"/>
  <c r="J9" i="13" s="1"/>
  <c r="K9" i="13" s="1"/>
  <c r="M49" i="5" l="1"/>
  <c r="M52" i="5"/>
  <c r="M51" i="5" l="1"/>
  <c r="M54" i="5" s="1"/>
  <c r="M46" i="5"/>
  <c r="M43" i="5"/>
  <c r="I35" i="2"/>
  <c r="I34" i="2"/>
  <c r="G35" i="2"/>
  <c r="F35" i="2"/>
  <c r="E35" i="2"/>
  <c r="G34" i="2"/>
  <c r="F34" i="2"/>
  <c r="E34" i="2"/>
  <c r="I36" i="2" l="1"/>
  <c r="E36" i="2"/>
  <c r="F36" i="2"/>
  <c r="G36" i="2"/>
  <c r="H35" i="2"/>
  <c r="H34" i="2"/>
  <c r="H36" i="2" l="1"/>
  <c r="D14" i="10" l="1"/>
  <c r="C14" i="10"/>
  <c r="D13" i="10"/>
  <c r="C13" i="10"/>
  <c r="D15" i="10" l="1"/>
  <c r="C15" i="10"/>
  <c r="E17" i="2" l="1"/>
  <c r="G17" i="2"/>
  <c r="G16" i="2"/>
  <c r="E16" i="2"/>
  <c r="F17" i="2"/>
  <c r="F16" i="2"/>
  <c r="H17" i="2"/>
  <c r="J21" i="1"/>
  <c r="I21" i="1"/>
  <c r="K21" i="1" l="1"/>
  <c r="E18" i="2"/>
  <c r="F18" i="2"/>
  <c r="H16" i="2"/>
  <c r="H18" i="2" s="1"/>
  <c r="G18" i="2"/>
  <c r="H5" i="1"/>
  <c r="G38" i="5"/>
  <c r="I38" i="5"/>
  <c r="G32" i="5"/>
  <c r="K38" i="5"/>
  <c r="J38" i="5"/>
  <c r="I32" i="5"/>
  <c r="F38" i="5"/>
  <c r="J32" i="5"/>
  <c r="H38" i="5"/>
  <c r="E38" i="5"/>
  <c r="D38" i="5"/>
</calcChain>
</file>

<file path=xl/sharedStrings.xml><?xml version="1.0" encoding="utf-8"?>
<sst xmlns="http://schemas.openxmlformats.org/spreadsheetml/2006/main" count="2843" uniqueCount="356">
  <si>
    <r>
      <rPr>
        <b/>
        <sz val="11"/>
        <rFont val="宋体"/>
        <family val="3"/>
        <charset val="134"/>
      </rPr>
      <t>名称</t>
    </r>
  </si>
  <si>
    <r>
      <rPr>
        <b/>
        <sz val="11"/>
        <rFont val="宋体"/>
        <family val="3"/>
        <charset val="134"/>
      </rPr>
      <t>称量值（</t>
    </r>
    <r>
      <rPr>
        <b/>
        <sz val="11"/>
        <rFont val="Times New Roman"/>
        <family val="1"/>
      </rPr>
      <t>mg</t>
    </r>
    <r>
      <rPr>
        <b/>
        <sz val="11"/>
        <rFont val="宋体"/>
        <family val="3"/>
        <charset val="134"/>
      </rPr>
      <t>）</t>
    </r>
  </si>
  <si>
    <t>名称</t>
  </si>
  <si>
    <t>峰面积</t>
  </si>
  <si>
    <t>结论</t>
  </si>
  <si>
    <t>均值</t>
  </si>
  <si>
    <t>STDEV</t>
  </si>
  <si>
    <t>RSD</t>
  </si>
  <si>
    <t>—</t>
  </si>
  <si>
    <t>No.</t>
  </si>
  <si>
    <t>S/N-1</t>
  </si>
  <si>
    <t>S/N-2</t>
  </si>
  <si>
    <t>S/N-3</t>
  </si>
  <si>
    <r>
      <t>检测限浓度（</t>
    </r>
    <r>
      <rPr>
        <sz val="10.5"/>
        <color theme="1"/>
        <rFont val="Times New Roman"/>
        <family val="1"/>
      </rPr>
      <t>ng/ml</t>
    </r>
    <r>
      <rPr>
        <sz val="10.5"/>
        <color theme="1"/>
        <rFont val="宋体"/>
        <family val="3"/>
        <charset val="134"/>
      </rPr>
      <t>）</t>
    </r>
  </si>
  <si>
    <r>
      <t>相当于供试品中含量（</t>
    </r>
    <r>
      <rPr>
        <sz val="10.5"/>
        <color theme="1"/>
        <rFont val="Times New Roman"/>
        <family val="1"/>
      </rPr>
      <t>ppm</t>
    </r>
    <r>
      <rPr>
        <sz val="10.5"/>
        <color theme="1"/>
        <rFont val="宋体"/>
        <family val="3"/>
        <charset val="134"/>
      </rPr>
      <t>）</t>
    </r>
  </si>
  <si>
    <r>
      <t>占限度百分比（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宋体"/>
        <family val="3"/>
        <charset val="134"/>
      </rPr>
      <t>）</t>
    </r>
  </si>
  <si>
    <r>
      <t>信噪比</t>
    </r>
    <r>
      <rPr>
        <sz val="10.5"/>
        <color rgb="FF000000"/>
        <rFont val="Times New Roman"/>
        <family val="1"/>
      </rPr>
      <t>S/N</t>
    </r>
  </si>
  <si>
    <r>
      <t>峰面积</t>
    </r>
    <r>
      <rPr>
        <sz val="10.5"/>
        <color rgb="FF000000"/>
        <rFont val="Times New Roman"/>
        <family val="1"/>
      </rPr>
      <t>RSD</t>
    </r>
    <r>
      <rPr>
        <sz val="10.5"/>
        <color rgb="FF000000"/>
        <rFont val="宋体"/>
        <family val="3"/>
        <charset val="134"/>
      </rPr>
      <t>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宋体"/>
        <family val="3"/>
        <charset val="134"/>
      </rPr>
      <t>）</t>
    </r>
  </si>
  <si>
    <r>
      <t>定量限浓度（</t>
    </r>
    <r>
      <rPr>
        <sz val="10.5"/>
        <color rgb="FF000000"/>
        <rFont val="Times New Roman"/>
        <family val="1"/>
      </rPr>
      <t>ng/ml</t>
    </r>
    <r>
      <rPr>
        <sz val="10.5"/>
        <color rgb="FF000000"/>
        <rFont val="宋体"/>
        <family val="3"/>
        <charset val="134"/>
      </rPr>
      <t>）</t>
    </r>
  </si>
  <si>
    <r>
      <t>相当于供试品含量（</t>
    </r>
    <r>
      <rPr>
        <sz val="10.5"/>
        <color rgb="FF000000"/>
        <rFont val="Times New Roman"/>
        <family val="1"/>
      </rPr>
      <t>ppm</t>
    </r>
    <r>
      <rPr>
        <sz val="10.5"/>
        <color rgb="FF000000"/>
        <rFont val="宋体"/>
        <family val="3"/>
        <charset val="134"/>
      </rPr>
      <t>）</t>
    </r>
  </si>
  <si>
    <r>
      <t>占限度百分比</t>
    </r>
    <r>
      <rPr>
        <sz val="10.5"/>
        <color rgb="FF000000"/>
        <rFont val="宋体"/>
        <family val="3"/>
        <charset val="134"/>
      </rPr>
      <t>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宋体"/>
        <family val="3"/>
        <charset val="134"/>
      </rPr>
      <t>）</t>
    </r>
  </si>
  <si>
    <t>均值</t>
    <phoneticPr fontId="16" type="noConversion"/>
  </si>
  <si>
    <t>STDEV</t>
    <phoneticPr fontId="16" type="noConversion"/>
  </si>
  <si>
    <t>RSD</t>
    <phoneticPr fontId="16" type="noConversion"/>
  </si>
  <si>
    <r>
      <t>保留时间（</t>
    </r>
    <r>
      <rPr>
        <sz val="10.5"/>
        <color theme="1"/>
        <rFont val="Times New Roman"/>
        <family val="1"/>
      </rPr>
      <t>min</t>
    </r>
    <r>
      <rPr>
        <sz val="10.5"/>
        <color theme="1"/>
        <rFont val="宋体"/>
        <family val="3"/>
        <charset val="134"/>
      </rPr>
      <t>）</t>
    </r>
  </si>
  <si>
    <r>
      <t>测得浓度（</t>
    </r>
    <r>
      <rPr>
        <sz val="10.5"/>
        <color theme="1"/>
        <rFont val="Times New Roman"/>
        <family val="1"/>
      </rPr>
      <t>ng/ml</t>
    </r>
    <r>
      <rPr>
        <sz val="10.5"/>
        <color theme="1"/>
        <rFont val="宋体"/>
        <family val="3"/>
        <charset val="134"/>
      </rPr>
      <t>）</t>
    </r>
  </si>
  <si>
    <r>
      <t>RSD</t>
    </r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Times New Roman"/>
        <family val="1"/>
      </rPr>
      <t>n=6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宋体"/>
        <family val="3"/>
        <charset val="134"/>
      </rPr>
      <t>）</t>
    </r>
  </si>
  <si>
    <t>RSD</t>
    <phoneticPr fontId="16" type="noConversion"/>
  </si>
  <si>
    <t>0h</t>
    <phoneticPr fontId="16" type="noConversion"/>
  </si>
  <si>
    <r>
      <rPr>
        <sz val="10.5"/>
        <color theme="1"/>
        <rFont val="宋体"/>
        <family val="3"/>
        <charset val="134"/>
      </rPr>
      <t>时间</t>
    </r>
  </si>
  <si>
    <t>重复性</t>
    <phoneticPr fontId="16" type="noConversion"/>
  </si>
  <si>
    <r>
      <rPr>
        <sz val="10.5"/>
        <color theme="1"/>
        <rFont val="宋体"/>
        <family val="3"/>
        <charset val="134"/>
      </rPr>
      <t>与</t>
    </r>
    <r>
      <rPr>
        <sz val="10.5"/>
        <color theme="1"/>
        <rFont val="Times New Roman"/>
        <family val="1"/>
      </rPr>
      <t>0h</t>
    </r>
    <r>
      <rPr>
        <sz val="10.5"/>
        <color theme="1"/>
        <rFont val="宋体"/>
        <family val="3"/>
        <charset val="134"/>
      </rPr>
      <t>比值</t>
    </r>
    <phoneticPr fontId="16" type="noConversion"/>
  </si>
  <si>
    <r>
      <rPr>
        <sz val="10.5"/>
        <color theme="1"/>
        <rFont val="宋体"/>
        <family val="3"/>
        <charset val="134"/>
      </rPr>
      <t>对照品溶液</t>
    </r>
    <phoneticPr fontId="16" type="noConversion"/>
  </si>
  <si>
    <r>
      <rPr>
        <sz val="10.5"/>
        <color theme="1"/>
        <rFont val="宋体"/>
        <family val="3"/>
        <charset val="134"/>
      </rPr>
      <t>加标供试品溶液</t>
    </r>
    <phoneticPr fontId="16" type="noConversion"/>
  </si>
  <si>
    <r>
      <rPr>
        <sz val="10.5"/>
        <color theme="1"/>
        <rFont val="宋体"/>
        <family val="3"/>
        <charset val="134"/>
      </rPr>
      <t>浓度（</t>
    </r>
    <r>
      <rPr>
        <sz val="10.5"/>
        <color theme="1"/>
        <rFont val="Times New Roman"/>
        <family val="1"/>
      </rPr>
      <t>ng/ml</t>
    </r>
    <r>
      <rPr>
        <sz val="10.5"/>
        <color theme="1"/>
        <rFont val="宋体"/>
        <family val="3"/>
        <charset val="134"/>
      </rPr>
      <t>）</t>
    </r>
    <phoneticPr fontId="16" type="noConversion"/>
  </si>
  <si>
    <r>
      <t>保留时间（</t>
    </r>
    <r>
      <rPr>
        <sz val="10"/>
        <color rgb="FF000000"/>
        <rFont val="Times New Roman"/>
        <family val="1"/>
      </rPr>
      <t>min</t>
    </r>
    <r>
      <rPr>
        <sz val="10"/>
        <color rgb="FF000000"/>
        <rFont val="宋体"/>
        <family val="3"/>
        <charset val="134"/>
      </rPr>
      <t>）</t>
    </r>
  </si>
  <si>
    <r>
      <t>系统适用性溶液</t>
    </r>
    <r>
      <rPr>
        <sz val="10"/>
        <color rgb="FF000000"/>
        <rFont val="Times New Roman"/>
        <family val="1"/>
      </rPr>
      <t>1</t>
    </r>
  </si>
  <si>
    <r>
      <t>系统适用性溶液</t>
    </r>
    <r>
      <rPr>
        <sz val="10"/>
        <color rgb="FF000000"/>
        <rFont val="Times New Roman"/>
        <family val="1"/>
      </rPr>
      <t>2</t>
    </r>
  </si>
  <si>
    <r>
      <t>系统适用性溶液</t>
    </r>
    <r>
      <rPr>
        <sz val="10"/>
        <color rgb="FF000000"/>
        <rFont val="Times New Roman"/>
        <family val="1"/>
      </rPr>
      <t>3</t>
    </r>
  </si>
  <si>
    <r>
      <t>系统适用性溶液</t>
    </r>
    <r>
      <rPr>
        <sz val="10"/>
        <color rgb="FF000000"/>
        <rFont val="Times New Roman"/>
        <family val="1"/>
      </rPr>
      <t>4</t>
    </r>
  </si>
  <si>
    <r>
      <t>系统适用性溶液</t>
    </r>
    <r>
      <rPr>
        <sz val="10"/>
        <color rgb="FF000000"/>
        <rFont val="Times New Roman"/>
        <family val="1"/>
      </rPr>
      <t>5</t>
    </r>
  </si>
  <si>
    <r>
      <t>系统适用性溶液</t>
    </r>
    <r>
      <rPr>
        <sz val="10"/>
        <color rgb="FF000000"/>
        <rFont val="Times New Roman"/>
        <family val="1"/>
      </rPr>
      <t>6</t>
    </r>
  </si>
  <si>
    <r>
      <t>RSD</t>
    </r>
    <r>
      <rPr>
        <sz val="10"/>
        <color rgb="FF000000"/>
        <rFont val="宋体"/>
        <family val="3"/>
        <charset val="134"/>
      </rPr>
      <t>（</t>
    </r>
    <r>
      <rPr>
        <sz val="10"/>
        <color rgb="FF000000"/>
        <rFont val="Times New Roman"/>
        <family val="1"/>
      </rPr>
      <t>n=6</t>
    </r>
    <r>
      <rPr>
        <sz val="10"/>
        <color rgb="FF000000"/>
        <rFont val="宋体"/>
        <family val="3"/>
        <charset val="134"/>
      </rPr>
      <t>，</t>
    </r>
    <r>
      <rPr>
        <sz val="10"/>
        <color rgb="FF000000"/>
        <rFont val="Times New Roman"/>
        <family val="1"/>
      </rPr>
      <t>%</t>
    </r>
    <r>
      <rPr>
        <sz val="10"/>
        <color rgb="FF000000"/>
        <rFont val="宋体"/>
        <family val="3"/>
        <charset val="134"/>
      </rPr>
      <t>）</t>
    </r>
  </si>
  <si>
    <t>中间精密度</t>
    <phoneticPr fontId="16" type="noConversion"/>
  </si>
  <si>
    <t>名称</t>
    <phoneticPr fontId="16" type="noConversion"/>
  </si>
  <si>
    <t>溶液</t>
  </si>
  <si>
    <t>回收率</t>
  </si>
  <si>
    <r>
      <t>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宋体"/>
        <family val="3"/>
        <charset val="134"/>
      </rPr>
      <t>）</t>
    </r>
  </si>
  <si>
    <r>
      <t>平均值（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宋体"/>
        <family val="3"/>
        <charset val="134"/>
      </rPr>
      <t>）</t>
    </r>
  </si>
  <si>
    <r>
      <t>平均回收率（</t>
    </r>
    <r>
      <rPr>
        <sz val="10.5"/>
        <color rgb="FF000000"/>
        <rFont val="Times New Roman"/>
        <family val="1"/>
      </rPr>
      <t>n=9</t>
    </r>
    <r>
      <rPr>
        <sz val="10.5"/>
        <color rgb="FF000000"/>
        <rFont val="宋体"/>
        <family val="3"/>
        <charset val="134"/>
      </rPr>
      <t>，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宋体"/>
        <family val="3"/>
        <charset val="134"/>
      </rPr>
      <t>）</t>
    </r>
  </si>
  <si>
    <r>
      <t>RSD</t>
    </r>
    <r>
      <rPr>
        <sz val="10.5"/>
        <color rgb="FF000000"/>
        <rFont val="宋体"/>
        <family val="3"/>
        <charset val="134"/>
      </rPr>
      <t>（</t>
    </r>
    <r>
      <rPr>
        <sz val="10.5"/>
        <color rgb="FF000000"/>
        <rFont val="Times New Roman"/>
        <family val="1"/>
      </rPr>
      <t>n=9</t>
    </r>
    <r>
      <rPr>
        <sz val="10.5"/>
        <color rgb="FF000000"/>
        <rFont val="宋体"/>
        <family val="3"/>
        <charset val="134"/>
      </rPr>
      <t>，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宋体"/>
        <family val="3"/>
        <charset val="134"/>
      </rPr>
      <t>）</t>
    </r>
  </si>
  <si>
    <t>均值</t>
    <phoneticPr fontId="16" type="noConversion"/>
  </si>
  <si>
    <t>STDEV</t>
    <phoneticPr fontId="16" type="noConversion"/>
  </si>
  <si>
    <t>RSD</t>
    <phoneticPr fontId="16" type="noConversion"/>
  </si>
  <si>
    <r>
      <rPr>
        <b/>
        <sz val="12"/>
        <color theme="1"/>
        <rFont val="宋体"/>
        <family val="3"/>
        <charset val="134"/>
      </rPr>
      <t>名称</t>
    </r>
    <phoneticPr fontId="16" type="noConversion"/>
  </si>
  <si>
    <r>
      <t>100%</t>
    </r>
    <r>
      <rPr>
        <sz val="10.5"/>
        <color rgb="FF000000"/>
        <rFont val="宋体"/>
        <family val="3"/>
        <charset val="134"/>
      </rPr>
      <t>加标</t>
    </r>
    <phoneticPr fontId="16" type="noConversion"/>
  </si>
  <si>
    <r>
      <t>150%</t>
    </r>
    <r>
      <rPr>
        <sz val="10.5"/>
        <color rgb="FF000000"/>
        <rFont val="宋体"/>
        <family val="3"/>
        <charset val="134"/>
      </rPr>
      <t>加标</t>
    </r>
    <phoneticPr fontId="16" type="noConversion"/>
  </si>
  <si>
    <r>
      <t>LOQ</t>
    </r>
    <r>
      <rPr>
        <sz val="10.5"/>
        <color rgb="FF000000"/>
        <rFont val="宋体"/>
        <family val="3"/>
        <charset val="134"/>
      </rPr>
      <t>加标</t>
    </r>
    <phoneticPr fontId="16" type="noConversion"/>
  </si>
  <si>
    <t>Data#</t>
  </si>
  <si>
    <t>数据文件名</t>
  </si>
  <si>
    <t>样品类型</t>
  </si>
  <si>
    <t>级别号</t>
  </si>
  <si>
    <t>保留时间</t>
  </si>
  <si>
    <t>面积</t>
  </si>
  <si>
    <t>浓度 (ng/ml)</t>
  </si>
  <si>
    <t>S/N</t>
  </si>
  <si>
    <t>标准浓度</t>
  </si>
  <si>
    <t>精确度%</t>
  </si>
  <si>
    <t>校准点</t>
  </si>
  <si>
    <t>KB-01.lcd</t>
  </si>
  <si>
    <t>未知</t>
  </si>
  <si>
    <t>-----</t>
  </si>
  <si>
    <t>KB-02.lcd</t>
  </si>
  <si>
    <t>KB-03.lcd</t>
  </si>
  <si>
    <t>LOD（查看响应）.lcd</t>
  </si>
  <si>
    <t>LOD.lcd</t>
  </si>
  <si>
    <t>C1.lcd</t>
  </si>
  <si>
    <t>标准(校准点)</t>
  </si>
  <si>
    <t>C2.lcd</t>
  </si>
  <si>
    <t>C4.lcd</t>
  </si>
  <si>
    <t>C5.lcd</t>
  </si>
  <si>
    <t>KB-04.lcd</t>
  </si>
  <si>
    <t>耐用性-供试品溶液.lcd</t>
  </si>
  <si>
    <t>中间精密度-100%加标供试品溶液-01.lcd</t>
  </si>
  <si>
    <t>中间精密度-100%加标供试品溶液-02.lcd</t>
  </si>
  <si>
    <t>中间精密度-100%加标供试品溶液-03.lcd</t>
  </si>
  <si>
    <t>中间精密度-100%加标供试品溶液-04.lcd</t>
  </si>
  <si>
    <t>中间精密度-100%加标供试品溶液-05.lcd</t>
  </si>
  <si>
    <t>中间精密度-100%加标供试品溶液-06.lcd</t>
  </si>
  <si>
    <t>KB-05.lcd</t>
  </si>
  <si>
    <t>溶液名称</t>
  </si>
  <si>
    <r>
      <t>C</t>
    </r>
    <r>
      <rPr>
        <vertAlign val="subscript"/>
        <sz val="10.5"/>
        <color theme="1"/>
        <rFont val="Times New Roman"/>
        <family val="1"/>
      </rPr>
      <t>1</t>
    </r>
  </si>
  <si>
    <r>
      <t>C</t>
    </r>
    <r>
      <rPr>
        <vertAlign val="subscript"/>
        <sz val="10.5"/>
        <color theme="1"/>
        <rFont val="Times New Roman"/>
        <family val="1"/>
      </rPr>
      <t>2</t>
    </r>
  </si>
  <si>
    <r>
      <t>C</t>
    </r>
    <r>
      <rPr>
        <vertAlign val="subscript"/>
        <sz val="10.5"/>
        <color theme="1"/>
        <rFont val="Times New Roman"/>
        <family val="1"/>
      </rPr>
      <t>3</t>
    </r>
  </si>
  <si>
    <r>
      <t>C</t>
    </r>
    <r>
      <rPr>
        <vertAlign val="subscript"/>
        <sz val="10.5"/>
        <color theme="1"/>
        <rFont val="Times New Roman"/>
        <family val="1"/>
      </rPr>
      <t>4</t>
    </r>
  </si>
  <si>
    <r>
      <t>C</t>
    </r>
    <r>
      <rPr>
        <vertAlign val="subscript"/>
        <sz val="10.5"/>
        <color theme="1"/>
        <rFont val="Times New Roman"/>
        <family val="1"/>
      </rPr>
      <t>5</t>
    </r>
  </si>
  <si>
    <r>
      <t>实际浓度（</t>
    </r>
    <r>
      <rPr>
        <sz val="10.5"/>
        <color rgb="FF000000"/>
        <rFont val="Times New Roman"/>
        <family val="1"/>
      </rPr>
      <t>ng/ml</t>
    </r>
    <r>
      <rPr>
        <sz val="10.5"/>
        <color rgb="FF000000"/>
        <rFont val="宋体"/>
        <family val="3"/>
        <charset val="134"/>
      </rPr>
      <t>）</t>
    </r>
  </si>
  <si>
    <t>预测峰面积</t>
  </si>
  <si>
    <t>残差</t>
  </si>
  <si>
    <r>
      <t>相对残差（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宋体"/>
        <family val="3"/>
        <charset val="134"/>
      </rPr>
      <t>）</t>
    </r>
  </si>
  <si>
    <t>回归曲线图</t>
  </si>
  <si>
    <t>残差图</t>
  </si>
  <si>
    <t>线性回归方程</t>
  </si>
  <si>
    <t>线性相关系数</t>
  </si>
  <si>
    <t>残差图显示，各点随机分布在零线两侧，无明显趋势，表明在该浓度范围内线性关系良好，方差齐性，采用普通最小二乘法回归模型是合适的。</t>
    <phoneticPr fontId="16" type="noConversion"/>
  </si>
  <si>
    <r>
      <t>RSD-95%</t>
    </r>
    <r>
      <rPr>
        <sz val="10.5"/>
        <color theme="1"/>
        <rFont val="宋体"/>
        <family val="3"/>
        <charset val="134"/>
      </rPr>
      <t>置信下限</t>
    </r>
    <phoneticPr fontId="16" type="noConversion"/>
  </si>
  <si>
    <r>
      <t>RSD-95%</t>
    </r>
    <r>
      <rPr>
        <sz val="10.5"/>
        <color rgb="FF000000"/>
        <rFont val="宋体"/>
        <family val="3"/>
        <charset val="134"/>
      </rPr>
      <t>置信上限</t>
    </r>
    <phoneticPr fontId="16" type="noConversion"/>
  </si>
  <si>
    <r>
      <t>12</t>
    </r>
    <r>
      <rPr>
        <sz val="11"/>
        <color theme="1"/>
        <rFont val="宋体"/>
        <family val="3"/>
        <charset val="134"/>
      </rPr>
      <t>份</t>
    </r>
    <phoneticPr fontId="16" type="noConversion"/>
  </si>
  <si>
    <r>
      <t>95%</t>
    </r>
    <r>
      <rPr>
        <sz val="10.5"/>
        <color theme="1"/>
        <rFont val="SimSun"/>
        <charset val="134"/>
      </rPr>
      <t>置信区间下限（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SimSun"/>
        <charset val="134"/>
      </rPr>
      <t>）</t>
    </r>
  </si>
  <si>
    <r>
      <t>95%</t>
    </r>
    <r>
      <rPr>
        <sz val="10.5"/>
        <color theme="1"/>
        <rFont val="SimSun"/>
        <charset val="134"/>
      </rPr>
      <t>置信区间上限（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SimSun"/>
        <charset val="134"/>
      </rPr>
      <t>）</t>
    </r>
  </si>
  <si>
    <t>b</t>
    <phoneticPr fontId="16" type="noConversion"/>
  </si>
  <si>
    <t>100%响应值</t>
    <phoneticPr fontId="16" type="noConversion"/>
  </si>
  <si>
    <t>截距比（%）</t>
    <phoneticPr fontId="16" type="noConversion"/>
  </si>
  <si>
    <r>
      <rPr>
        <sz val="11"/>
        <rFont val="宋体"/>
        <family val="3"/>
        <charset val="134"/>
      </rPr>
      <t>含量</t>
    </r>
    <r>
      <rPr>
        <sz val="11"/>
        <rFont val="Times New Roman"/>
        <family val="1"/>
      </rPr>
      <t>-95%</t>
    </r>
    <r>
      <rPr>
        <sz val="11"/>
        <rFont val="宋体"/>
        <family val="3"/>
        <charset val="134"/>
      </rPr>
      <t>置信下限（ppm）</t>
    </r>
    <phoneticPr fontId="28" type="noConversion"/>
  </si>
  <si>
    <r>
      <rPr>
        <sz val="11"/>
        <rFont val="宋体"/>
        <family val="3"/>
        <charset val="134"/>
      </rPr>
      <t>含量</t>
    </r>
    <r>
      <rPr>
        <sz val="11"/>
        <rFont val="Times New Roman"/>
        <family val="1"/>
      </rPr>
      <t>-95%</t>
    </r>
    <r>
      <rPr>
        <sz val="11"/>
        <rFont val="宋体"/>
        <family val="3"/>
        <charset val="134"/>
      </rPr>
      <t>置信上限（</t>
    </r>
    <r>
      <rPr>
        <sz val="11"/>
        <rFont val="Times New Roman"/>
        <family val="1"/>
      </rPr>
      <t>ppm</t>
    </r>
    <r>
      <rPr>
        <sz val="11"/>
        <rFont val="宋体"/>
        <family val="3"/>
        <charset val="134"/>
      </rPr>
      <t>）</t>
    </r>
    <phoneticPr fontId="28" type="noConversion"/>
  </si>
  <si>
    <r>
      <rPr>
        <sz val="11"/>
        <color theme="1"/>
        <rFont val="宋体"/>
        <family val="3"/>
        <charset val="134"/>
      </rPr>
      <t>占理论含量百分比上限（</t>
    </r>
    <r>
      <rPr>
        <sz val="11"/>
        <color theme="1"/>
        <rFont val="Times New Roman"/>
        <family val="1"/>
      </rPr>
      <t>%</t>
    </r>
    <r>
      <rPr>
        <sz val="11"/>
        <color theme="1"/>
        <rFont val="宋体"/>
        <family val="3"/>
        <charset val="134"/>
      </rPr>
      <t>）</t>
    </r>
    <phoneticPr fontId="16" type="noConversion"/>
  </si>
  <si>
    <r>
      <rPr>
        <sz val="11"/>
        <color theme="1"/>
        <rFont val="宋体"/>
        <family val="3"/>
        <charset val="134"/>
      </rPr>
      <t>占理论含量百分比下限（</t>
    </r>
    <r>
      <rPr>
        <sz val="11"/>
        <color theme="1"/>
        <rFont val="Times New Roman"/>
        <family val="1"/>
      </rPr>
      <t>%</t>
    </r>
    <r>
      <rPr>
        <sz val="11"/>
        <color theme="1"/>
        <rFont val="宋体"/>
        <family val="3"/>
        <charset val="134"/>
      </rPr>
      <t>）</t>
    </r>
    <phoneticPr fontId="16" type="noConversion"/>
  </si>
  <si>
    <r>
      <rPr>
        <b/>
        <sz val="11"/>
        <rFont val="宋体"/>
        <family val="3"/>
        <charset val="134"/>
      </rPr>
      <t>单标贮备液（</t>
    </r>
    <r>
      <rPr>
        <b/>
        <sz val="11"/>
        <rFont val="Times New Roman"/>
        <family val="1"/>
      </rPr>
      <t>ng/ml</t>
    </r>
    <r>
      <rPr>
        <b/>
        <sz val="11"/>
        <rFont val="宋体"/>
        <family val="3"/>
        <charset val="134"/>
      </rPr>
      <t>）</t>
    </r>
    <phoneticPr fontId="16" type="noConversion"/>
  </si>
  <si>
    <r>
      <rPr>
        <b/>
        <sz val="11"/>
        <rFont val="宋体"/>
        <family val="3"/>
        <charset val="134"/>
      </rPr>
      <t>混标贮备液（</t>
    </r>
    <r>
      <rPr>
        <b/>
        <sz val="11"/>
        <rFont val="Times New Roman"/>
        <family val="1"/>
      </rPr>
      <t>ng/ml</t>
    </r>
    <r>
      <rPr>
        <b/>
        <sz val="11"/>
        <rFont val="宋体"/>
        <family val="3"/>
        <charset val="134"/>
      </rPr>
      <t>）</t>
    </r>
    <phoneticPr fontId="16" type="noConversion"/>
  </si>
  <si>
    <r>
      <t>LOD</t>
    </r>
    <r>
      <rPr>
        <b/>
        <sz val="11"/>
        <color theme="1"/>
        <rFont val="宋体"/>
        <family val="3"/>
        <charset val="134"/>
      </rPr>
      <t>（</t>
    </r>
    <r>
      <rPr>
        <b/>
        <sz val="11"/>
        <color theme="1"/>
        <rFont val="Times New Roman"/>
        <family val="1"/>
      </rPr>
      <t>ng/ml</t>
    </r>
    <r>
      <rPr>
        <b/>
        <sz val="11"/>
        <color theme="1"/>
        <rFont val="宋体"/>
        <family val="3"/>
        <charset val="134"/>
      </rPr>
      <t>）</t>
    </r>
    <phoneticPr fontId="16" type="noConversion"/>
  </si>
  <si>
    <r>
      <t>C1</t>
    </r>
    <r>
      <rPr>
        <b/>
        <sz val="11"/>
        <color theme="1"/>
        <rFont val="宋体"/>
        <family val="3"/>
        <charset val="134"/>
      </rPr>
      <t>（</t>
    </r>
    <r>
      <rPr>
        <b/>
        <sz val="11"/>
        <color theme="1"/>
        <rFont val="Times New Roman"/>
        <family val="1"/>
      </rPr>
      <t>ng/ml</t>
    </r>
    <r>
      <rPr>
        <b/>
        <sz val="11"/>
        <color theme="1"/>
        <rFont val="宋体"/>
        <family val="3"/>
        <charset val="134"/>
      </rPr>
      <t>）</t>
    </r>
    <phoneticPr fontId="16" type="noConversion"/>
  </si>
  <si>
    <r>
      <t>C2</t>
    </r>
    <r>
      <rPr>
        <b/>
        <sz val="11"/>
        <color theme="1"/>
        <rFont val="宋体"/>
        <family val="3"/>
        <charset val="134"/>
      </rPr>
      <t>（</t>
    </r>
    <r>
      <rPr>
        <b/>
        <sz val="11"/>
        <color theme="1"/>
        <rFont val="Times New Roman"/>
        <family val="1"/>
      </rPr>
      <t>ng/ml</t>
    </r>
    <r>
      <rPr>
        <b/>
        <sz val="11"/>
        <color theme="1"/>
        <rFont val="宋体"/>
        <family val="3"/>
        <charset val="134"/>
      </rPr>
      <t>）</t>
    </r>
    <phoneticPr fontId="16" type="noConversion"/>
  </si>
  <si>
    <r>
      <t>C3</t>
    </r>
    <r>
      <rPr>
        <b/>
        <sz val="11"/>
        <color theme="1"/>
        <rFont val="宋体"/>
        <family val="3"/>
        <charset val="134"/>
      </rPr>
      <t>（</t>
    </r>
    <r>
      <rPr>
        <b/>
        <sz val="11"/>
        <color theme="1"/>
        <rFont val="Times New Roman"/>
        <family val="1"/>
      </rPr>
      <t>ng/ml</t>
    </r>
    <r>
      <rPr>
        <b/>
        <sz val="11"/>
        <color theme="1"/>
        <rFont val="宋体"/>
        <family val="3"/>
        <charset val="134"/>
      </rPr>
      <t>）</t>
    </r>
    <phoneticPr fontId="16" type="noConversion"/>
  </si>
  <si>
    <r>
      <t>C4</t>
    </r>
    <r>
      <rPr>
        <b/>
        <sz val="11"/>
        <color theme="1"/>
        <rFont val="宋体"/>
        <family val="3"/>
        <charset val="134"/>
      </rPr>
      <t>（</t>
    </r>
    <r>
      <rPr>
        <b/>
        <sz val="11"/>
        <color theme="1"/>
        <rFont val="Times New Roman"/>
        <family val="1"/>
      </rPr>
      <t>ng/ml</t>
    </r>
    <r>
      <rPr>
        <b/>
        <sz val="11"/>
        <color theme="1"/>
        <rFont val="宋体"/>
        <family val="3"/>
        <charset val="134"/>
      </rPr>
      <t>）</t>
    </r>
    <phoneticPr fontId="16" type="noConversion"/>
  </si>
  <si>
    <r>
      <t>C5</t>
    </r>
    <r>
      <rPr>
        <b/>
        <sz val="11"/>
        <color theme="1"/>
        <rFont val="宋体"/>
        <family val="3"/>
        <charset val="134"/>
      </rPr>
      <t>（</t>
    </r>
    <r>
      <rPr>
        <b/>
        <sz val="11"/>
        <color theme="1"/>
        <rFont val="Times New Roman"/>
        <family val="1"/>
      </rPr>
      <t>ng/ml</t>
    </r>
    <r>
      <rPr>
        <b/>
        <sz val="11"/>
        <color theme="1"/>
        <rFont val="宋体"/>
        <family val="3"/>
        <charset val="134"/>
      </rPr>
      <t>）</t>
    </r>
    <phoneticPr fontId="16" type="noConversion"/>
  </si>
  <si>
    <t>—</t>
    <phoneticPr fontId="16" type="noConversion"/>
  </si>
  <si>
    <t>2026.04.28</t>
    <phoneticPr fontId="16" type="noConversion"/>
  </si>
  <si>
    <t>耐用性-加标供试品溶液.lcd</t>
  </si>
  <si>
    <t>13.4h</t>
    <phoneticPr fontId="16" type="noConversion"/>
  </si>
  <si>
    <t>杂质A</t>
    <phoneticPr fontId="16" type="noConversion"/>
  </si>
  <si>
    <t>杂质D</t>
    <phoneticPr fontId="16" type="noConversion"/>
  </si>
  <si>
    <t>杂质E</t>
    <phoneticPr fontId="16" type="noConversion"/>
  </si>
  <si>
    <t>杂质H</t>
    <phoneticPr fontId="16" type="noConversion"/>
  </si>
  <si>
    <t>纯度/含量</t>
    <phoneticPr fontId="16" type="noConversion"/>
  </si>
  <si>
    <t>称样量（mg）</t>
    <phoneticPr fontId="16" type="noConversion"/>
  </si>
  <si>
    <r>
      <t>氢溴酸伏硫西汀（</t>
    </r>
    <r>
      <rPr>
        <b/>
        <sz val="12"/>
        <color theme="1"/>
        <rFont val="Times New Roman"/>
        <family val="1"/>
      </rPr>
      <t>50320251201</t>
    </r>
    <r>
      <rPr>
        <b/>
        <sz val="12"/>
        <color theme="1"/>
        <rFont val="宋体"/>
        <family val="3"/>
        <charset val="134"/>
      </rPr>
      <t>）</t>
    </r>
    <phoneticPr fontId="16" type="noConversion"/>
  </si>
  <si>
    <r>
      <t>氢溴酸伏硫西汀（</t>
    </r>
    <r>
      <rPr>
        <b/>
        <sz val="12"/>
        <color theme="1"/>
        <rFont val="Times New Roman"/>
        <family val="1"/>
      </rPr>
      <t>50320260101</t>
    </r>
    <r>
      <rPr>
        <b/>
        <sz val="12"/>
        <color theme="1"/>
        <rFont val="宋体"/>
        <family val="3"/>
        <charset val="134"/>
      </rPr>
      <t>）</t>
    </r>
    <phoneticPr fontId="16" type="noConversion"/>
  </si>
  <si>
    <r>
      <t>氢溴酸伏硫西汀（</t>
    </r>
    <r>
      <rPr>
        <b/>
        <sz val="12"/>
        <color theme="1"/>
        <rFont val="Times New Roman"/>
        <family val="1"/>
      </rPr>
      <t>50320260102</t>
    </r>
    <r>
      <rPr>
        <b/>
        <sz val="12"/>
        <color theme="1"/>
        <rFont val="宋体"/>
        <family val="3"/>
        <charset val="134"/>
      </rPr>
      <t>）</t>
    </r>
    <phoneticPr fontId="16" type="noConversion"/>
  </si>
  <si>
    <r>
      <t>氢溴酸伏硫西汀</t>
    </r>
    <r>
      <rPr>
        <b/>
        <sz val="12"/>
        <color theme="1"/>
        <rFont val="Times New Roman"/>
        <family val="1"/>
      </rPr>
      <t xml:space="preserve"> 50320251201</t>
    </r>
    <r>
      <rPr>
        <b/>
        <sz val="12"/>
        <color theme="1"/>
        <rFont val="宋体"/>
        <family val="3"/>
        <charset val="134"/>
      </rPr>
      <t>（加速</t>
    </r>
    <r>
      <rPr>
        <b/>
        <sz val="12"/>
        <color theme="1"/>
        <rFont val="Times New Roman"/>
        <family val="1"/>
      </rPr>
      <t>1</t>
    </r>
    <r>
      <rPr>
        <b/>
        <sz val="12"/>
        <color theme="1"/>
        <rFont val="宋体"/>
        <family val="3"/>
        <charset val="134"/>
      </rPr>
      <t>个月）</t>
    </r>
    <phoneticPr fontId="16" type="noConversion"/>
  </si>
  <si>
    <r>
      <t>氢溴酸伏硫西汀</t>
    </r>
    <r>
      <rPr>
        <b/>
        <sz val="12"/>
        <color theme="1"/>
        <rFont val="Times New Roman"/>
        <family val="1"/>
      </rPr>
      <t xml:space="preserve"> 50320260101</t>
    </r>
    <r>
      <rPr>
        <b/>
        <sz val="12"/>
        <color theme="1"/>
        <rFont val="宋体"/>
        <family val="3"/>
        <charset val="134"/>
      </rPr>
      <t>（加速</t>
    </r>
    <r>
      <rPr>
        <b/>
        <sz val="12"/>
        <color theme="1"/>
        <rFont val="Times New Roman"/>
        <family val="1"/>
      </rPr>
      <t>1</t>
    </r>
    <r>
      <rPr>
        <b/>
        <sz val="12"/>
        <color theme="1"/>
        <rFont val="宋体"/>
        <family val="3"/>
        <charset val="134"/>
      </rPr>
      <t>个月）</t>
    </r>
    <phoneticPr fontId="16" type="noConversion"/>
  </si>
  <si>
    <t>氢溴酸伏硫西汀 50320260102（加速1个月）</t>
    <phoneticPr fontId="16" type="noConversion"/>
  </si>
  <si>
    <r>
      <rPr>
        <b/>
        <sz val="12"/>
        <color theme="1"/>
        <rFont val="宋体"/>
        <family val="3"/>
        <charset val="134"/>
      </rPr>
      <t>杂质E测得浓度（</t>
    </r>
    <r>
      <rPr>
        <b/>
        <sz val="12"/>
        <color theme="1"/>
        <rFont val="Times New Roman"/>
        <family val="1"/>
      </rPr>
      <t>ng/ml</t>
    </r>
    <r>
      <rPr>
        <b/>
        <sz val="12"/>
        <color theme="1"/>
        <rFont val="宋体"/>
        <family val="3"/>
        <charset val="134"/>
      </rPr>
      <t>）</t>
    </r>
    <phoneticPr fontId="16" type="noConversion"/>
  </si>
  <si>
    <r>
      <rPr>
        <b/>
        <sz val="12"/>
        <color theme="1"/>
        <rFont val="宋体"/>
        <family val="3"/>
        <charset val="134"/>
      </rPr>
      <t>杂质</t>
    </r>
    <r>
      <rPr>
        <b/>
        <sz val="12"/>
        <color theme="1"/>
        <rFont val="Times New Roman"/>
        <family val="1"/>
      </rPr>
      <t>E</t>
    </r>
    <r>
      <rPr>
        <b/>
        <sz val="12"/>
        <color theme="1"/>
        <rFont val="宋体"/>
        <family val="3"/>
        <charset val="134"/>
      </rPr>
      <t>含量（</t>
    </r>
    <r>
      <rPr>
        <b/>
        <sz val="12"/>
        <color theme="1"/>
        <rFont val="Times New Roman"/>
        <family val="1"/>
      </rPr>
      <t>ppm</t>
    </r>
    <r>
      <rPr>
        <b/>
        <sz val="12"/>
        <color theme="1"/>
        <rFont val="宋体"/>
        <family val="3"/>
        <charset val="134"/>
      </rPr>
      <t>）</t>
    </r>
    <phoneticPr fontId="16" type="noConversion"/>
  </si>
  <si>
    <t>2026.05.08</t>
    <phoneticPr fontId="16" type="noConversion"/>
  </si>
  <si>
    <t>对照品溶液</t>
    <phoneticPr fontId="16" type="noConversion"/>
  </si>
  <si>
    <t>杂质A</t>
    <phoneticPr fontId="16" type="noConversion"/>
  </si>
  <si>
    <t>杂质D</t>
    <phoneticPr fontId="16" type="noConversion"/>
  </si>
  <si>
    <t>杂质E</t>
    <phoneticPr fontId="16" type="noConversion"/>
  </si>
  <si>
    <t>杂质H</t>
    <phoneticPr fontId="16" type="noConversion"/>
  </si>
  <si>
    <t>对照品溶液</t>
    <phoneticPr fontId="16" type="noConversion"/>
  </si>
  <si>
    <t>2.7h</t>
    <phoneticPr fontId="16" type="noConversion"/>
  </si>
  <si>
    <t>6.4h</t>
    <phoneticPr fontId="16" type="noConversion"/>
  </si>
  <si>
    <t>10.8h</t>
    <phoneticPr fontId="16" type="noConversion"/>
  </si>
  <si>
    <t>18.0h</t>
    <phoneticPr fontId="16" type="noConversion"/>
  </si>
  <si>
    <r>
      <rPr>
        <sz val="12"/>
        <color theme="1"/>
        <rFont val="宋体"/>
        <family val="3"/>
        <charset val="134"/>
      </rPr>
      <t>杂质名称</t>
    </r>
    <phoneticPr fontId="16" type="noConversion"/>
  </si>
  <si>
    <r>
      <rPr>
        <sz val="12"/>
        <color theme="1"/>
        <rFont val="宋体"/>
        <family val="3"/>
        <charset val="134"/>
      </rPr>
      <t>溶液名称</t>
    </r>
    <phoneticPr fontId="16" type="noConversion"/>
  </si>
  <si>
    <r>
      <rPr>
        <sz val="12"/>
        <color theme="1"/>
        <rFont val="宋体"/>
        <family val="3"/>
        <charset val="134"/>
      </rPr>
      <t>峰面积</t>
    </r>
    <phoneticPr fontId="16" type="noConversion"/>
  </si>
  <si>
    <r>
      <rPr>
        <sz val="12"/>
        <color theme="1"/>
        <rFont val="宋体"/>
        <family val="3"/>
        <charset val="134"/>
      </rPr>
      <t>测得浓度（</t>
    </r>
    <r>
      <rPr>
        <sz val="12"/>
        <color theme="1"/>
        <rFont val="Times New Roman"/>
        <family val="1"/>
      </rPr>
      <t>ng/ml</t>
    </r>
    <r>
      <rPr>
        <sz val="12"/>
        <color theme="1"/>
        <rFont val="宋体"/>
        <family val="3"/>
        <charset val="134"/>
      </rPr>
      <t>）</t>
    </r>
    <phoneticPr fontId="16" type="noConversion"/>
  </si>
  <si>
    <r>
      <rPr>
        <sz val="12"/>
        <color theme="1"/>
        <rFont val="宋体"/>
        <family val="3"/>
        <charset val="134"/>
      </rPr>
      <t>加入浓度（</t>
    </r>
    <r>
      <rPr>
        <sz val="12"/>
        <color theme="1"/>
        <rFont val="Times New Roman"/>
        <family val="1"/>
      </rPr>
      <t>ng/ml</t>
    </r>
    <r>
      <rPr>
        <sz val="12"/>
        <color theme="1"/>
        <rFont val="宋体"/>
        <family val="3"/>
        <charset val="134"/>
      </rPr>
      <t>）</t>
    </r>
    <phoneticPr fontId="16" type="noConversion"/>
  </si>
  <si>
    <r>
      <rPr>
        <sz val="12"/>
        <color theme="1"/>
        <rFont val="宋体"/>
        <family val="3"/>
        <charset val="134"/>
      </rPr>
      <t>回收率（</t>
    </r>
    <r>
      <rPr>
        <sz val="12"/>
        <color theme="1"/>
        <rFont val="Times New Roman"/>
        <family val="1"/>
      </rPr>
      <t>%</t>
    </r>
    <r>
      <rPr>
        <sz val="12"/>
        <color theme="1"/>
        <rFont val="宋体"/>
        <family val="3"/>
        <charset val="134"/>
      </rPr>
      <t>）</t>
    </r>
    <phoneticPr fontId="16" type="noConversion"/>
  </si>
  <si>
    <r>
      <rPr>
        <sz val="12"/>
        <color theme="1"/>
        <rFont val="宋体"/>
        <family val="3"/>
        <charset val="134"/>
      </rPr>
      <t>杂质</t>
    </r>
    <r>
      <rPr>
        <sz val="12"/>
        <color theme="1"/>
        <rFont val="Times New Roman"/>
        <family val="1"/>
      </rPr>
      <t>A</t>
    </r>
    <phoneticPr fontId="16" type="noConversion"/>
  </si>
  <si>
    <r>
      <rPr>
        <sz val="12"/>
        <color theme="1"/>
        <rFont val="宋体"/>
        <family val="3"/>
        <charset val="134"/>
      </rPr>
      <t>准确度</t>
    </r>
    <r>
      <rPr>
        <sz val="12"/>
        <color theme="1"/>
        <rFont val="Times New Roman"/>
        <family val="1"/>
      </rPr>
      <t>-</t>
    </r>
    <r>
      <rPr>
        <sz val="12"/>
        <color theme="1"/>
        <rFont val="宋体"/>
        <family val="3"/>
        <charset val="134"/>
      </rPr>
      <t>供试品溶液（</t>
    </r>
    <r>
      <rPr>
        <sz val="12"/>
        <color theme="1"/>
        <rFont val="Times New Roman"/>
        <family val="1"/>
      </rPr>
      <t>1mg</t>
    </r>
    <r>
      <rPr>
        <sz val="12"/>
        <color theme="1"/>
        <rFont val="宋体"/>
        <family val="3"/>
        <charset val="134"/>
      </rPr>
      <t>）</t>
    </r>
    <phoneticPr fontId="16" type="noConversion"/>
  </si>
  <si>
    <r>
      <rPr>
        <sz val="12"/>
        <color theme="1"/>
        <rFont val="宋体"/>
        <family val="3"/>
        <charset val="134"/>
      </rPr>
      <t>准确度</t>
    </r>
    <r>
      <rPr>
        <sz val="12"/>
        <color theme="1"/>
        <rFont val="Times New Roman"/>
        <family val="1"/>
      </rPr>
      <t>-100%</t>
    </r>
    <r>
      <rPr>
        <sz val="12"/>
        <color theme="1"/>
        <rFont val="宋体"/>
        <family val="3"/>
        <charset val="134"/>
      </rPr>
      <t>加标供试品溶液（</t>
    </r>
    <r>
      <rPr>
        <sz val="12"/>
        <color theme="1"/>
        <rFont val="Times New Roman"/>
        <family val="1"/>
      </rPr>
      <t>1mg</t>
    </r>
    <r>
      <rPr>
        <sz val="12"/>
        <color theme="1"/>
        <rFont val="宋体"/>
        <family val="3"/>
        <charset val="134"/>
      </rPr>
      <t>）</t>
    </r>
    <phoneticPr fontId="16" type="noConversion"/>
  </si>
  <si>
    <r>
      <rPr>
        <sz val="12"/>
        <color theme="1"/>
        <rFont val="宋体"/>
        <family val="3"/>
        <charset val="134"/>
      </rPr>
      <t>准确度</t>
    </r>
    <r>
      <rPr>
        <sz val="12"/>
        <color theme="1"/>
        <rFont val="Times New Roman"/>
        <family val="1"/>
      </rPr>
      <t>-LOQ</t>
    </r>
    <r>
      <rPr>
        <sz val="12"/>
        <color theme="1"/>
        <rFont val="宋体"/>
        <family val="3"/>
        <charset val="134"/>
      </rPr>
      <t>加标供试品溶液（</t>
    </r>
    <r>
      <rPr>
        <sz val="12"/>
        <color theme="1"/>
        <rFont val="Times New Roman"/>
        <family val="1"/>
      </rPr>
      <t>1mg</t>
    </r>
    <r>
      <rPr>
        <sz val="12"/>
        <color theme="1"/>
        <rFont val="宋体"/>
        <family val="3"/>
        <charset val="134"/>
      </rPr>
      <t>）</t>
    </r>
    <phoneticPr fontId="16" type="noConversion"/>
  </si>
  <si>
    <r>
      <rPr>
        <sz val="12"/>
        <color theme="1"/>
        <rFont val="宋体"/>
        <family val="3"/>
        <charset val="134"/>
      </rPr>
      <t>杂质</t>
    </r>
    <r>
      <rPr>
        <sz val="12"/>
        <color theme="1"/>
        <rFont val="Times New Roman"/>
        <family val="1"/>
      </rPr>
      <t>D</t>
    </r>
    <phoneticPr fontId="16" type="noConversion"/>
  </si>
  <si>
    <r>
      <rPr>
        <sz val="12"/>
        <color theme="1"/>
        <rFont val="宋体"/>
        <family val="3"/>
        <charset val="134"/>
      </rPr>
      <t>杂质</t>
    </r>
    <r>
      <rPr>
        <sz val="12"/>
        <color theme="1"/>
        <rFont val="Times New Roman"/>
        <family val="1"/>
      </rPr>
      <t>E</t>
    </r>
    <phoneticPr fontId="16" type="noConversion"/>
  </si>
  <si>
    <r>
      <rPr>
        <sz val="12"/>
        <color theme="1"/>
        <rFont val="宋体"/>
        <family val="3"/>
        <charset val="134"/>
      </rPr>
      <t>杂质</t>
    </r>
    <r>
      <rPr>
        <sz val="12"/>
        <color theme="1"/>
        <rFont val="Times New Roman"/>
        <family val="1"/>
      </rPr>
      <t>H</t>
    </r>
    <phoneticPr fontId="16" type="noConversion"/>
  </si>
  <si>
    <r>
      <t>LOQ</t>
    </r>
    <r>
      <rPr>
        <sz val="10.5"/>
        <rFont val="宋体"/>
        <family val="3"/>
        <charset val="134"/>
      </rPr>
      <t>加标供试品溶液</t>
    </r>
    <phoneticPr fontId="35" type="noConversion"/>
  </si>
  <si>
    <r>
      <rPr>
        <sz val="10.5"/>
        <color theme="1"/>
        <rFont val="宋体"/>
        <family val="3"/>
        <charset val="134"/>
      </rPr>
      <t>溶剂</t>
    </r>
  </si>
  <si>
    <r>
      <rPr>
        <sz val="10.5"/>
        <rFont val="宋体"/>
        <family val="3"/>
        <charset val="134"/>
      </rPr>
      <t>空白溶液</t>
    </r>
  </si>
  <si>
    <r>
      <rPr>
        <sz val="10.5"/>
        <rFont val="宋体"/>
        <family val="3"/>
        <charset val="134"/>
      </rPr>
      <t>检测限溶液</t>
    </r>
  </si>
  <si>
    <r>
      <rPr>
        <sz val="10.5"/>
        <rFont val="宋体"/>
        <family val="3"/>
        <charset val="134"/>
      </rPr>
      <t>加标供试品溶液</t>
    </r>
  </si>
  <si>
    <r>
      <rPr>
        <sz val="10.5"/>
        <color rgb="FF000000"/>
        <rFont val="宋体"/>
        <family val="3"/>
        <charset val="134"/>
      </rPr>
      <t>溶剂</t>
    </r>
  </si>
  <si>
    <r>
      <t>C1~C5</t>
    </r>
    <r>
      <rPr>
        <sz val="10.5"/>
        <rFont val="宋体"/>
        <family val="3"/>
        <charset val="134"/>
      </rPr>
      <t>溶液</t>
    </r>
    <phoneticPr fontId="35" type="noConversion"/>
  </si>
  <si>
    <r>
      <rPr>
        <sz val="10.5"/>
        <rFont val="宋体"/>
        <family val="3"/>
        <charset val="134"/>
      </rPr>
      <t>线性溶液</t>
    </r>
  </si>
  <si>
    <r>
      <rPr>
        <sz val="10.5"/>
        <rFont val="宋体"/>
        <family val="3"/>
        <charset val="134"/>
      </rPr>
      <t>供试品溶液</t>
    </r>
  </si>
  <si>
    <r>
      <t>100%</t>
    </r>
    <r>
      <rPr>
        <sz val="10.5"/>
        <rFont val="宋体"/>
        <family val="3"/>
        <charset val="134"/>
      </rPr>
      <t>加标供试品溶液</t>
    </r>
    <phoneticPr fontId="35" type="noConversion"/>
  </si>
  <si>
    <r>
      <t>150%</t>
    </r>
    <r>
      <rPr>
        <sz val="10.5"/>
        <rFont val="宋体"/>
        <family val="3"/>
        <charset val="134"/>
      </rPr>
      <t>加标供试品溶液</t>
    </r>
    <phoneticPr fontId="35" type="noConversion"/>
  </si>
  <si>
    <r>
      <rPr>
        <sz val="10.5"/>
        <rFont val="宋体"/>
        <family val="3"/>
        <charset val="134"/>
      </rPr>
      <t>对照品溶液</t>
    </r>
  </si>
  <si>
    <r>
      <rPr>
        <sz val="10.5"/>
        <color rgb="FF000000"/>
        <rFont val="宋体"/>
        <family val="3"/>
        <charset val="134"/>
      </rPr>
      <t>水</t>
    </r>
    <r>
      <rPr>
        <sz val="10.5"/>
        <color rgb="FF000000"/>
        <rFont val="Times New Roman"/>
        <family val="1"/>
      </rPr>
      <t>-</t>
    </r>
    <r>
      <rPr>
        <sz val="10.5"/>
        <color rgb="FF000000"/>
        <rFont val="宋体"/>
        <family val="3"/>
        <charset val="134"/>
      </rPr>
      <t>甲醇（</t>
    </r>
    <r>
      <rPr>
        <sz val="10.5"/>
        <color rgb="FF000000"/>
        <rFont val="Times New Roman"/>
        <family val="1"/>
      </rPr>
      <t>30</t>
    </r>
    <r>
      <rPr>
        <sz val="10.5"/>
        <color rgb="FF000000"/>
        <rFont val="宋体"/>
        <family val="3"/>
        <charset val="134"/>
      </rPr>
      <t>：</t>
    </r>
    <r>
      <rPr>
        <sz val="10.5"/>
        <color rgb="FF000000"/>
        <rFont val="Times New Roman"/>
        <family val="1"/>
      </rPr>
      <t>70</t>
    </r>
    <r>
      <rPr>
        <sz val="10.5"/>
        <color rgb="FF000000"/>
        <rFont val="宋体"/>
        <family val="3"/>
        <charset val="134"/>
      </rPr>
      <t>）。</t>
    </r>
  </si>
  <si>
    <r>
      <rPr>
        <sz val="10.5"/>
        <color theme="1"/>
        <rFont val="宋体"/>
        <family val="3"/>
        <charset val="134"/>
      </rPr>
      <t>单标贮备液（约</t>
    </r>
    <r>
      <rPr>
        <sz val="10.5"/>
        <color theme="1"/>
        <rFont val="Times New Roman"/>
        <family val="1"/>
      </rPr>
      <t>100μg/ml</t>
    </r>
    <r>
      <rPr>
        <sz val="10.5"/>
        <color theme="1"/>
        <rFont val="宋体"/>
        <family val="3"/>
        <charset val="134"/>
      </rPr>
      <t>）</t>
    </r>
    <phoneticPr fontId="35" type="noConversion"/>
  </si>
  <si>
    <r>
      <rPr>
        <sz val="10.5"/>
        <rFont val="宋体"/>
        <family val="3"/>
        <charset val="134"/>
      </rPr>
      <t>混标贮备液（约</t>
    </r>
    <r>
      <rPr>
        <sz val="10.5"/>
        <rFont val="Times New Roman"/>
        <family val="1"/>
      </rPr>
      <t>500ng/ml</t>
    </r>
    <r>
      <rPr>
        <sz val="10.5"/>
        <rFont val="宋体"/>
        <family val="3"/>
        <charset val="134"/>
      </rPr>
      <t>）</t>
    </r>
    <phoneticPr fontId="35" type="noConversion"/>
  </si>
  <si>
    <r>
      <rPr>
        <sz val="10.5"/>
        <rFont val="宋体"/>
        <family val="3"/>
        <charset val="134"/>
      </rPr>
      <t>系统适用性溶液（约</t>
    </r>
    <r>
      <rPr>
        <sz val="10.5"/>
        <rFont val="Times New Roman"/>
        <family val="1"/>
      </rPr>
      <t>25ng/ml</t>
    </r>
    <r>
      <rPr>
        <sz val="10.5"/>
        <rFont val="宋体"/>
        <family val="3"/>
        <charset val="134"/>
      </rPr>
      <t>）</t>
    </r>
    <phoneticPr fontId="35" type="noConversion"/>
  </si>
  <si>
    <r>
      <rPr>
        <sz val="10.5"/>
        <rFont val="宋体"/>
        <family val="3"/>
        <charset val="134"/>
      </rPr>
      <t>供试品溶液（约</t>
    </r>
    <r>
      <rPr>
        <sz val="10.5"/>
        <rFont val="Times New Roman"/>
        <family val="1"/>
      </rPr>
      <t>1mg/ml</t>
    </r>
    <r>
      <rPr>
        <sz val="10.5"/>
        <rFont val="宋体"/>
        <family val="3"/>
        <charset val="134"/>
      </rPr>
      <t>）</t>
    </r>
    <phoneticPr fontId="35" type="noConversion"/>
  </si>
  <si>
    <r>
      <rPr>
        <sz val="10.5"/>
        <color theme="1"/>
        <rFont val="宋体"/>
        <family val="3"/>
        <charset val="134"/>
      </rPr>
      <t>取供试品约</t>
    </r>
    <r>
      <rPr>
        <sz val="10.5"/>
        <color theme="1"/>
        <rFont val="Times New Roman"/>
        <family val="1"/>
      </rPr>
      <t>20mg</t>
    </r>
    <r>
      <rPr>
        <sz val="10.5"/>
        <color theme="1"/>
        <rFont val="宋体"/>
        <family val="3"/>
        <charset val="134"/>
      </rPr>
      <t>，精密称定，置</t>
    </r>
    <r>
      <rPr>
        <sz val="10.5"/>
        <color theme="1"/>
        <rFont val="Times New Roman"/>
        <family val="1"/>
      </rPr>
      <t>20ml</t>
    </r>
    <r>
      <rPr>
        <sz val="10.5"/>
        <color theme="1"/>
        <rFont val="宋体"/>
        <family val="3"/>
        <charset val="134"/>
      </rPr>
      <t>量瓶中，加溶剂溶解并稀释至刻度，摇匀，即得。</t>
    </r>
  </si>
  <si>
    <r>
      <rPr>
        <sz val="10.5"/>
        <rFont val="宋体"/>
        <family val="3"/>
        <charset val="134"/>
      </rPr>
      <t>检测限溶液（约</t>
    </r>
    <r>
      <rPr>
        <sz val="10.5"/>
        <rFont val="Times New Roman"/>
        <family val="1"/>
      </rPr>
      <t>1.25ng/ml</t>
    </r>
    <r>
      <rPr>
        <sz val="10.5"/>
        <rFont val="宋体"/>
        <family val="3"/>
        <charset val="134"/>
      </rPr>
      <t>，占限度</t>
    </r>
    <r>
      <rPr>
        <sz val="10.5"/>
        <rFont val="Times New Roman"/>
        <family val="1"/>
      </rPr>
      <t>5%</t>
    </r>
    <r>
      <rPr>
        <sz val="10.5"/>
        <rFont val="宋体"/>
        <family val="3"/>
        <charset val="134"/>
      </rPr>
      <t>）</t>
    </r>
    <phoneticPr fontId="35" type="noConversion"/>
  </si>
  <si>
    <r>
      <rPr>
        <sz val="10.5"/>
        <rFont val="宋体"/>
        <family val="3"/>
        <charset val="134"/>
      </rPr>
      <t>定量限溶液（约</t>
    </r>
    <r>
      <rPr>
        <sz val="10.5"/>
        <rFont val="Times New Roman"/>
        <family val="1"/>
      </rPr>
      <t>2.5ng/ml</t>
    </r>
    <r>
      <rPr>
        <sz val="10.5"/>
        <rFont val="宋体"/>
        <family val="3"/>
        <charset val="134"/>
      </rPr>
      <t>，占限度</t>
    </r>
    <r>
      <rPr>
        <sz val="10.5"/>
        <rFont val="Times New Roman"/>
        <family val="1"/>
      </rPr>
      <t>10%</t>
    </r>
    <r>
      <rPr>
        <sz val="10.5"/>
        <rFont val="宋体"/>
        <family val="3"/>
        <charset val="134"/>
      </rPr>
      <t>）</t>
    </r>
    <phoneticPr fontId="35" type="noConversion"/>
  </si>
  <si>
    <r>
      <rPr>
        <sz val="11"/>
        <color theme="1"/>
        <rFont val="宋体"/>
        <family val="3"/>
        <charset val="134"/>
      </rPr>
      <t>验证项目</t>
    </r>
    <phoneticPr fontId="35" type="noConversion"/>
  </si>
  <si>
    <r>
      <rPr>
        <sz val="11"/>
        <color theme="1"/>
        <rFont val="宋体"/>
        <family val="3"/>
        <charset val="134"/>
      </rPr>
      <t>溶液名称</t>
    </r>
    <phoneticPr fontId="35" type="noConversion"/>
  </si>
  <si>
    <r>
      <rPr>
        <sz val="11"/>
        <color theme="1"/>
        <rFont val="宋体"/>
        <family val="3"/>
        <charset val="134"/>
      </rPr>
      <t>配制方法</t>
    </r>
    <phoneticPr fontId="35" type="noConversion"/>
  </si>
  <si>
    <r>
      <rPr>
        <sz val="11"/>
        <color theme="1"/>
        <rFont val="宋体"/>
        <family val="3"/>
        <charset val="134"/>
      </rPr>
      <t>系统适用性</t>
    </r>
  </si>
  <si>
    <r>
      <rPr>
        <sz val="11"/>
        <color theme="1"/>
        <rFont val="宋体"/>
        <family val="3"/>
        <charset val="134"/>
      </rPr>
      <t>专属性</t>
    </r>
    <phoneticPr fontId="35" type="noConversion"/>
  </si>
  <si>
    <r>
      <rPr>
        <sz val="11"/>
        <color theme="1"/>
        <rFont val="宋体"/>
        <family val="3"/>
        <charset val="134"/>
      </rPr>
      <t>检测限与定量限</t>
    </r>
    <phoneticPr fontId="35" type="noConversion"/>
  </si>
  <si>
    <r>
      <rPr>
        <sz val="11"/>
        <color theme="1"/>
        <rFont val="宋体"/>
        <family val="3"/>
        <charset val="134"/>
      </rPr>
      <t>线性与范围</t>
    </r>
    <phoneticPr fontId="35" type="noConversion"/>
  </si>
  <si>
    <r>
      <rPr>
        <sz val="11"/>
        <color theme="1"/>
        <rFont val="宋体"/>
        <family val="3"/>
        <charset val="134"/>
      </rPr>
      <t>重复性</t>
    </r>
    <phoneticPr fontId="35" type="noConversion"/>
  </si>
  <si>
    <r>
      <rPr>
        <sz val="11"/>
        <color theme="1"/>
        <rFont val="宋体"/>
        <family val="3"/>
        <charset val="134"/>
      </rPr>
      <t>准确度</t>
    </r>
    <phoneticPr fontId="35" type="noConversion"/>
  </si>
  <si>
    <r>
      <rPr>
        <sz val="11"/>
        <color theme="1"/>
        <rFont val="宋体"/>
        <family val="3"/>
        <charset val="134"/>
      </rPr>
      <t>溶液稳定性</t>
    </r>
    <phoneticPr fontId="35" type="noConversion"/>
  </si>
  <si>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）杂质</t>
    </r>
    <r>
      <rPr>
        <sz val="10.5"/>
        <color theme="1"/>
        <rFont val="Times New Roman"/>
        <family val="1"/>
      </rPr>
      <t>A</t>
    </r>
    <r>
      <rPr>
        <sz val="10.5"/>
        <color theme="1"/>
        <rFont val="宋体"/>
        <family val="3"/>
        <charset val="134"/>
      </rPr>
      <t>：精密称取杂质</t>
    </r>
    <r>
      <rPr>
        <sz val="10.5"/>
        <color theme="1"/>
        <rFont val="Times New Roman"/>
        <family val="1"/>
      </rPr>
      <t>A</t>
    </r>
    <r>
      <rPr>
        <sz val="10.5"/>
        <color theme="1"/>
        <rFont val="宋体"/>
        <family val="3"/>
        <charset val="134"/>
      </rPr>
      <t>对照品</t>
    </r>
    <r>
      <rPr>
        <sz val="10.5"/>
        <color theme="1"/>
        <rFont val="Times New Roman"/>
        <family val="1"/>
      </rPr>
      <t>2.013 mg</t>
    </r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Times New Roman"/>
        <family val="1"/>
      </rPr>
      <t>2.013-0.000=2.013</t>
    </r>
    <r>
      <rPr>
        <sz val="10.5"/>
        <color theme="1"/>
        <rFont val="宋体"/>
        <family val="3"/>
        <charset val="134"/>
      </rPr>
      <t>）（纯度</t>
    </r>
    <r>
      <rPr>
        <sz val="10.5"/>
        <color theme="1"/>
        <rFont val="Times New Roman"/>
        <family val="1"/>
      </rPr>
      <t>99.47%</t>
    </r>
    <r>
      <rPr>
        <sz val="10.5"/>
        <color theme="1"/>
        <rFont val="宋体"/>
        <family val="3"/>
        <charset val="134"/>
      </rPr>
      <t>），置</t>
    </r>
    <r>
      <rPr>
        <sz val="10.5"/>
        <color theme="1"/>
        <rFont val="Times New Roman"/>
        <family val="1"/>
      </rPr>
      <t>20ml</t>
    </r>
    <r>
      <rPr>
        <sz val="10.5"/>
        <color theme="1"/>
        <rFont val="宋体"/>
        <family val="3"/>
        <charset val="134"/>
      </rPr>
      <t>量瓶中，加甲醇溶解并稀释至刻度，摇匀，即得；</t>
    </r>
    <phoneticPr fontId="35" type="noConversion"/>
  </si>
  <si>
    <r>
      <rPr>
        <sz val="10.5"/>
        <color rgb="FF000000"/>
        <rFont val="宋体"/>
        <family val="3"/>
        <charset val="134"/>
      </rPr>
      <t>分别精密量取</t>
    </r>
    <r>
      <rPr>
        <sz val="10.5"/>
        <color rgb="FF000000"/>
        <rFont val="Times New Roman"/>
        <family val="1"/>
      </rPr>
      <t>4</t>
    </r>
    <r>
      <rPr>
        <sz val="10.5"/>
        <color rgb="FF000000"/>
        <rFont val="宋体"/>
        <family val="3"/>
        <charset val="134"/>
      </rPr>
      <t>种单标贮备液各</t>
    </r>
    <r>
      <rPr>
        <sz val="10.5"/>
        <color rgb="FF000000"/>
        <rFont val="Times New Roman"/>
        <family val="1"/>
      </rPr>
      <t>1.0ml</t>
    </r>
    <r>
      <rPr>
        <sz val="10.5"/>
        <color rgb="FF000000"/>
        <rFont val="宋体"/>
        <family val="3"/>
        <charset val="134"/>
      </rPr>
      <t>，置同一</t>
    </r>
    <r>
      <rPr>
        <sz val="10.5"/>
        <color rgb="FF000000"/>
        <rFont val="Times New Roman"/>
        <family val="1"/>
      </rPr>
      <t>20ml</t>
    </r>
    <r>
      <rPr>
        <sz val="10.5"/>
        <color rgb="FF000000"/>
        <rFont val="宋体"/>
        <family val="3"/>
        <charset val="134"/>
      </rPr>
      <t>量瓶中，用溶剂稀释至刻度，摇匀；精密量取该溶液</t>
    </r>
    <r>
      <rPr>
        <sz val="10.5"/>
        <color rgb="FF000000"/>
        <rFont val="Times New Roman"/>
        <family val="1"/>
      </rPr>
      <t>2.0ml</t>
    </r>
    <r>
      <rPr>
        <sz val="10.5"/>
        <color rgb="FF000000"/>
        <rFont val="宋体"/>
        <family val="3"/>
        <charset val="134"/>
      </rPr>
      <t>，置</t>
    </r>
    <r>
      <rPr>
        <sz val="10.5"/>
        <color rgb="FF000000"/>
        <rFont val="Times New Roman"/>
        <family val="1"/>
      </rPr>
      <t>20ml</t>
    </r>
    <r>
      <rPr>
        <sz val="10.5"/>
        <color rgb="FF000000"/>
        <rFont val="宋体"/>
        <family val="3"/>
        <charset val="134"/>
      </rPr>
      <t>量瓶中，用溶剂稀释至刻度，摇匀，即得。</t>
    </r>
    <phoneticPr fontId="35" type="noConversion"/>
  </si>
  <si>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）杂质</t>
    </r>
    <r>
      <rPr>
        <sz val="10.5"/>
        <color theme="1"/>
        <rFont val="Times New Roman"/>
        <family val="1"/>
      </rPr>
      <t>D</t>
    </r>
    <r>
      <rPr>
        <sz val="10.5"/>
        <color theme="1"/>
        <rFont val="宋体"/>
        <family val="3"/>
        <charset val="134"/>
      </rPr>
      <t>：精密称取杂质</t>
    </r>
    <r>
      <rPr>
        <sz val="10.5"/>
        <color theme="1"/>
        <rFont val="Times New Roman"/>
        <family val="1"/>
      </rPr>
      <t>D</t>
    </r>
    <r>
      <rPr>
        <sz val="10.5"/>
        <color theme="1"/>
        <rFont val="宋体"/>
        <family val="3"/>
        <charset val="134"/>
      </rPr>
      <t>对照品</t>
    </r>
    <r>
      <rPr>
        <sz val="10.5"/>
        <color theme="1"/>
        <rFont val="Times New Roman"/>
        <family val="1"/>
      </rPr>
      <t>2.001 mg</t>
    </r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Times New Roman"/>
        <family val="1"/>
      </rPr>
      <t>2.005-0.004=2.001</t>
    </r>
    <r>
      <rPr>
        <sz val="10.5"/>
        <color theme="1"/>
        <rFont val="宋体"/>
        <family val="3"/>
        <charset val="134"/>
      </rPr>
      <t>）（纯度</t>
    </r>
    <r>
      <rPr>
        <sz val="10.5"/>
        <color theme="1"/>
        <rFont val="Times New Roman"/>
        <family val="1"/>
      </rPr>
      <t>100.0%</t>
    </r>
    <r>
      <rPr>
        <sz val="10.5"/>
        <color theme="1"/>
        <rFont val="宋体"/>
        <family val="3"/>
        <charset val="134"/>
      </rPr>
      <t>），置</t>
    </r>
    <r>
      <rPr>
        <sz val="10.5"/>
        <color theme="1"/>
        <rFont val="Times New Roman"/>
        <family val="1"/>
      </rPr>
      <t>20ml</t>
    </r>
    <r>
      <rPr>
        <sz val="10.5"/>
        <color theme="1"/>
        <rFont val="宋体"/>
        <family val="3"/>
        <charset val="134"/>
      </rPr>
      <t>量瓶中，加甲醇溶解并稀释至刻度，摇匀，即得；</t>
    </r>
    <phoneticPr fontId="35" type="noConversion"/>
  </si>
  <si>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）杂质</t>
    </r>
    <r>
      <rPr>
        <sz val="10.5"/>
        <color theme="1"/>
        <rFont val="Times New Roman"/>
        <family val="1"/>
      </rPr>
      <t>E</t>
    </r>
    <r>
      <rPr>
        <sz val="10.5"/>
        <color theme="1"/>
        <rFont val="宋体"/>
        <family val="3"/>
        <charset val="134"/>
      </rPr>
      <t>：精密称取杂质</t>
    </r>
    <r>
      <rPr>
        <sz val="10.5"/>
        <color theme="1"/>
        <rFont val="Times New Roman"/>
        <family val="1"/>
      </rPr>
      <t>E</t>
    </r>
    <r>
      <rPr>
        <sz val="10.5"/>
        <color theme="1"/>
        <rFont val="宋体"/>
        <family val="3"/>
        <charset val="134"/>
      </rPr>
      <t>对照品</t>
    </r>
    <r>
      <rPr>
        <sz val="10.5"/>
        <color theme="1"/>
        <rFont val="Times New Roman"/>
        <family val="1"/>
      </rPr>
      <t>1.999 mg</t>
    </r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Times New Roman"/>
        <family val="1"/>
      </rPr>
      <t>2.013-0.014=1.999</t>
    </r>
    <r>
      <rPr>
        <sz val="10.5"/>
        <color theme="1"/>
        <rFont val="宋体"/>
        <family val="3"/>
        <charset val="134"/>
      </rPr>
      <t>）（纯度</t>
    </r>
    <r>
      <rPr>
        <sz val="10.5"/>
        <color theme="1"/>
        <rFont val="Times New Roman"/>
        <family val="1"/>
      </rPr>
      <t>100.0%</t>
    </r>
    <r>
      <rPr>
        <sz val="10.5"/>
        <color theme="1"/>
        <rFont val="宋体"/>
        <family val="3"/>
        <charset val="134"/>
      </rPr>
      <t>），置</t>
    </r>
    <r>
      <rPr>
        <sz val="10.5"/>
        <color theme="1"/>
        <rFont val="Times New Roman"/>
        <family val="1"/>
      </rPr>
      <t>20ml</t>
    </r>
    <r>
      <rPr>
        <sz val="10.5"/>
        <color theme="1"/>
        <rFont val="宋体"/>
        <family val="3"/>
        <charset val="134"/>
      </rPr>
      <t>量瓶中，加甲醇溶解并稀释至刻度，摇匀，即得；</t>
    </r>
    <phoneticPr fontId="35" type="noConversion"/>
  </si>
  <si>
    <r>
      <rPr>
        <sz val="10.5"/>
        <color theme="1"/>
        <rFont val="宋体"/>
        <family val="3"/>
        <charset val="134"/>
      </rPr>
      <t>精密量取混标贮备液</t>
    </r>
    <r>
      <rPr>
        <sz val="10.5"/>
        <color theme="1"/>
        <rFont val="Times New Roman"/>
        <family val="1"/>
      </rPr>
      <t>1ml</t>
    </r>
    <r>
      <rPr>
        <sz val="10.5"/>
        <color theme="1"/>
        <rFont val="宋体"/>
        <family val="3"/>
        <charset val="134"/>
      </rPr>
      <t>，置</t>
    </r>
    <r>
      <rPr>
        <sz val="10.5"/>
        <color theme="1"/>
        <rFont val="Times New Roman"/>
        <family val="1"/>
      </rPr>
      <t>20ml</t>
    </r>
    <r>
      <rPr>
        <sz val="10.5"/>
        <color theme="1"/>
        <rFont val="宋体"/>
        <family val="3"/>
        <charset val="134"/>
      </rPr>
      <t>量瓶中，用溶剂稀释至刻度，摇匀，即得。</t>
    </r>
    <phoneticPr fontId="35" type="noConversion"/>
  </si>
  <si>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宋体"/>
        <family val="3"/>
        <charset val="134"/>
      </rPr>
      <t>）杂质</t>
    </r>
    <r>
      <rPr>
        <sz val="10.5"/>
        <color theme="1"/>
        <rFont val="Times New Roman"/>
        <family val="1"/>
      </rPr>
      <t>H</t>
    </r>
    <r>
      <rPr>
        <sz val="10.5"/>
        <color theme="1"/>
        <rFont val="宋体"/>
        <family val="3"/>
        <charset val="134"/>
      </rPr>
      <t>：精密称取杂质</t>
    </r>
    <r>
      <rPr>
        <sz val="10.5"/>
        <color theme="1"/>
        <rFont val="Times New Roman"/>
        <family val="1"/>
      </rPr>
      <t>H</t>
    </r>
    <r>
      <rPr>
        <sz val="10.5"/>
        <color theme="1"/>
        <rFont val="宋体"/>
        <family val="3"/>
        <charset val="134"/>
      </rPr>
      <t>对照品</t>
    </r>
    <r>
      <rPr>
        <sz val="10.5"/>
        <color theme="1"/>
        <rFont val="Times New Roman"/>
        <family val="1"/>
      </rPr>
      <t>2.007 mg</t>
    </r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Times New Roman"/>
        <family val="1"/>
      </rPr>
      <t>2.017-0.010=2.007</t>
    </r>
    <r>
      <rPr>
        <sz val="10.5"/>
        <color theme="1"/>
        <rFont val="宋体"/>
        <family val="3"/>
        <charset val="134"/>
      </rPr>
      <t>）（含量</t>
    </r>
    <r>
      <rPr>
        <sz val="10.5"/>
        <color theme="1"/>
        <rFont val="Times New Roman"/>
        <family val="1"/>
      </rPr>
      <t>99.37%</t>
    </r>
    <r>
      <rPr>
        <sz val="10.5"/>
        <color theme="1"/>
        <rFont val="宋体"/>
        <family val="3"/>
        <charset val="134"/>
      </rPr>
      <t>），置</t>
    </r>
    <r>
      <rPr>
        <sz val="10.5"/>
        <color theme="1"/>
        <rFont val="Times New Roman"/>
        <family val="1"/>
      </rPr>
      <t>20ml</t>
    </r>
    <r>
      <rPr>
        <sz val="10.5"/>
        <color theme="1"/>
        <rFont val="宋体"/>
        <family val="3"/>
        <charset val="134"/>
      </rPr>
      <t>量瓶中，加甲醇溶解并稀释至刻度，摇匀，即得。</t>
    </r>
    <phoneticPr fontId="35" type="noConversion"/>
  </si>
  <si>
    <r>
      <rPr>
        <sz val="10.5"/>
        <color rgb="FF000000"/>
        <rFont val="宋体"/>
        <family val="3"/>
        <charset val="134"/>
      </rPr>
      <t>水</t>
    </r>
    <r>
      <rPr>
        <sz val="10.5"/>
        <color rgb="FF000000"/>
        <rFont val="Times New Roman"/>
        <family val="1"/>
      </rPr>
      <t>-</t>
    </r>
    <r>
      <rPr>
        <sz val="10.5"/>
        <color rgb="FF000000"/>
        <rFont val="宋体"/>
        <family val="3"/>
        <charset val="134"/>
      </rPr>
      <t>甲醇（</t>
    </r>
    <r>
      <rPr>
        <sz val="10.5"/>
        <color rgb="FF000000"/>
        <rFont val="Times New Roman"/>
        <family val="1"/>
      </rPr>
      <t>30</t>
    </r>
    <r>
      <rPr>
        <sz val="10.5"/>
        <color rgb="FF000000"/>
        <rFont val="宋体"/>
        <family val="3"/>
        <charset val="134"/>
      </rPr>
      <t>：</t>
    </r>
    <r>
      <rPr>
        <sz val="10.5"/>
        <color rgb="FF000000"/>
        <rFont val="Times New Roman"/>
        <family val="1"/>
      </rPr>
      <t>70</t>
    </r>
    <r>
      <rPr>
        <sz val="10.5"/>
        <color rgb="FF000000"/>
        <rFont val="宋体"/>
        <family val="3"/>
        <charset val="134"/>
      </rPr>
      <t>），量取</t>
    </r>
    <r>
      <rPr>
        <sz val="10.5"/>
        <color rgb="FF000000"/>
        <rFont val="Times New Roman"/>
        <family val="1"/>
      </rPr>
      <t>300 ml</t>
    </r>
    <r>
      <rPr>
        <sz val="10.5"/>
        <color rgb="FF000000"/>
        <rFont val="宋体"/>
        <family val="3"/>
        <charset val="134"/>
      </rPr>
      <t>水、</t>
    </r>
    <r>
      <rPr>
        <sz val="10.5"/>
        <color rgb="FF000000"/>
        <rFont val="Times New Roman"/>
        <family val="1"/>
      </rPr>
      <t>700ml</t>
    </r>
    <r>
      <rPr>
        <sz val="10.5"/>
        <color rgb="FF000000"/>
        <rFont val="宋体"/>
        <family val="3"/>
        <charset val="134"/>
      </rPr>
      <t>甲醇，混匀，即得。</t>
    </r>
    <phoneticPr fontId="35" type="noConversion"/>
  </si>
  <si>
    <r>
      <rPr>
        <sz val="10.5"/>
        <color theme="1"/>
        <rFont val="宋体"/>
        <family val="3"/>
        <charset val="134"/>
      </rPr>
      <t>精密量取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系统适用性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项下混标贮备液</t>
    </r>
    <r>
      <rPr>
        <sz val="10.5"/>
        <color theme="1"/>
        <rFont val="Times New Roman"/>
        <family val="1"/>
      </rPr>
      <t>0.05ml</t>
    </r>
    <r>
      <rPr>
        <sz val="10.5"/>
        <color theme="1"/>
        <rFont val="宋体"/>
        <family val="3"/>
        <charset val="134"/>
      </rPr>
      <t>，置</t>
    </r>
    <r>
      <rPr>
        <sz val="10.5"/>
        <color theme="1"/>
        <rFont val="Times New Roman"/>
        <family val="1"/>
      </rPr>
      <t>20ml</t>
    </r>
    <r>
      <rPr>
        <sz val="10.5"/>
        <color theme="1"/>
        <rFont val="宋体"/>
        <family val="3"/>
        <charset val="134"/>
      </rPr>
      <t>量瓶中，用溶剂稀释至刻度，摇匀，即得。</t>
    </r>
    <phoneticPr fontId="35" type="noConversion"/>
  </si>
  <si>
    <r>
      <rPr>
        <sz val="10.5"/>
        <color theme="1"/>
        <rFont val="宋体"/>
        <family val="3"/>
        <charset val="134"/>
      </rPr>
      <t>精密称取供试品约</t>
    </r>
    <r>
      <rPr>
        <sz val="10.5"/>
        <color theme="1"/>
        <rFont val="Times New Roman"/>
        <family val="1"/>
      </rPr>
      <t>20mg</t>
    </r>
    <r>
      <rPr>
        <sz val="10.5"/>
        <color theme="1"/>
        <rFont val="宋体"/>
        <family val="3"/>
        <charset val="134"/>
      </rPr>
      <t>，精密称定，置</t>
    </r>
    <r>
      <rPr>
        <sz val="10.5"/>
        <color theme="1"/>
        <rFont val="Times New Roman"/>
        <family val="1"/>
      </rPr>
      <t>20ml</t>
    </r>
    <r>
      <rPr>
        <sz val="10.5"/>
        <color theme="1"/>
        <rFont val="宋体"/>
        <family val="3"/>
        <charset val="134"/>
      </rPr>
      <t>量瓶中，精密加入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系统适用性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项下混标贮备液</t>
    </r>
    <r>
      <rPr>
        <sz val="10.5"/>
        <color theme="1"/>
        <rFont val="Times New Roman"/>
        <family val="1"/>
      </rPr>
      <t>1.0ml</t>
    </r>
    <r>
      <rPr>
        <sz val="10.5"/>
        <color theme="1"/>
        <rFont val="宋体"/>
        <family val="3"/>
        <charset val="134"/>
      </rPr>
      <t>，加溶剂溶解并稀释至刻度，摇匀，即得。</t>
    </r>
    <phoneticPr fontId="35" type="noConversion"/>
  </si>
  <si>
    <r>
      <rPr>
        <sz val="10.5"/>
        <color theme="1"/>
        <rFont val="宋体"/>
        <family val="3"/>
        <charset val="134"/>
      </rPr>
      <t>精密称取供试品</t>
    </r>
    <r>
      <rPr>
        <sz val="10.5"/>
        <color theme="1"/>
        <rFont val="Times New Roman"/>
        <family val="1"/>
      </rPr>
      <t>20.08mg</t>
    </r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Times New Roman"/>
        <family val="1"/>
      </rPr>
      <t>20.12-0.04=20.08</t>
    </r>
    <r>
      <rPr>
        <sz val="10.5"/>
        <color theme="1"/>
        <rFont val="宋体"/>
        <family val="3"/>
        <charset val="134"/>
      </rPr>
      <t>），置</t>
    </r>
    <r>
      <rPr>
        <sz val="10.5"/>
        <color theme="1"/>
        <rFont val="Times New Roman"/>
        <family val="1"/>
      </rPr>
      <t>20ml</t>
    </r>
    <r>
      <rPr>
        <sz val="10.5"/>
        <color theme="1"/>
        <rFont val="宋体"/>
        <family val="3"/>
        <charset val="134"/>
      </rPr>
      <t>量瓶中，加溶剂溶解并稀释至刻度，摇匀，即得。</t>
    </r>
    <phoneticPr fontId="35" type="noConversion"/>
  </si>
  <si>
    <r>
      <rPr>
        <sz val="10.5"/>
        <color theme="1"/>
        <rFont val="宋体"/>
        <family val="3"/>
        <charset val="134"/>
      </rPr>
      <t>精密量取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系统适用性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项下混标贮备液</t>
    </r>
    <r>
      <rPr>
        <sz val="10.5"/>
        <color theme="1"/>
        <rFont val="Times New Roman"/>
        <family val="1"/>
      </rPr>
      <t>0.05ml</t>
    </r>
    <r>
      <rPr>
        <sz val="10.5"/>
        <color theme="1"/>
        <rFont val="宋体"/>
        <family val="3"/>
        <charset val="134"/>
      </rPr>
      <t>，置</t>
    </r>
    <r>
      <rPr>
        <sz val="10.5"/>
        <color theme="1"/>
        <rFont val="Times New Roman"/>
        <family val="1"/>
      </rPr>
      <t>20ml</t>
    </r>
    <r>
      <rPr>
        <sz val="10.5"/>
        <color theme="1"/>
        <rFont val="宋体"/>
        <family val="3"/>
        <charset val="134"/>
      </rPr>
      <t>量瓶中，用溶剂稀释至刻度，摇匀，即得。</t>
    </r>
    <phoneticPr fontId="35" type="noConversion"/>
  </si>
  <si>
    <r>
      <rPr>
        <sz val="10.5"/>
        <color theme="1"/>
        <rFont val="宋体"/>
        <family val="3"/>
        <charset val="134"/>
      </rPr>
      <t>精密量取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系统适用性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项下混标贮备液</t>
    </r>
    <r>
      <rPr>
        <sz val="10.5"/>
        <color theme="1"/>
        <rFont val="Times New Roman"/>
        <family val="1"/>
      </rPr>
      <t>0.1ml</t>
    </r>
    <r>
      <rPr>
        <sz val="10.5"/>
        <color theme="1"/>
        <rFont val="宋体"/>
        <family val="3"/>
        <charset val="134"/>
      </rPr>
      <t>，置</t>
    </r>
    <r>
      <rPr>
        <sz val="10.5"/>
        <color theme="1"/>
        <rFont val="Times New Roman"/>
        <family val="1"/>
      </rPr>
      <t>20ml</t>
    </r>
    <r>
      <rPr>
        <sz val="10.5"/>
        <color theme="1"/>
        <rFont val="宋体"/>
        <family val="3"/>
        <charset val="134"/>
      </rPr>
      <t>量瓶中，用溶剂稀释至刻度，摇匀，即得。</t>
    </r>
    <phoneticPr fontId="35" type="noConversion"/>
  </si>
  <si>
    <r>
      <rPr>
        <sz val="11"/>
        <color theme="1"/>
        <rFont val="宋体"/>
        <family val="3"/>
        <charset val="134"/>
      </rPr>
      <t>精密量取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系统适用性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项下的混标贮备液适量，置</t>
    </r>
    <r>
      <rPr>
        <sz val="11"/>
        <color theme="1"/>
        <rFont val="Times New Roman"/>
        <family val="1"/>
      </rPr>
      <t>20ml</t>
    </r>
    <r>
      <rPr>
        <sz val="11"/>
        <color theme="1"/>
        <rFont val="宋体"/>
        <family val="3"/>
        <charset val="134"/>
      </rPr>
      <t>量瓶中，用水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甲醇（</t>
    </r>
    <r>
      <rPr>
        <sz val="11"/>
        <color theme="1"/>
        <rFont val="Times New Roman"/>
        <family val="1"/>
      </rPr>
      <t>30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70</t>
    </r>
    <r>
      <rPr>
        <sz val="11"/>
        <color theme="1"/>
        <rFont val="宋体"/>
        <family val="3"/>
        <charset val="134"/>
      </rPr>
      <t>）稀释至以下浓度。</t>
    </r>
    <phoneticPr fontId="35" type="noConversion"/>
  </si>
  <si>
    <r>
      <rPr>
        <sz val="10.5"/>
        <color theme="1"/>
        <rFont val="宋体"/>
        <family val="3"/>
        <charset val="134"/>
      </rPr>
      <t>取供试品约</t>
    </r>
    <r>
      <rPr>
        <sz val="10.5"/>
        <color theme="1"/>
        <rFont val="Times New Roman"/>
        <family val="1"/>
      </rPr>
      <t>20mg</t>
    </r>
    <r>
      <rPr>
        <sz val="10.5"/>
        <color theme="1"/>
        <rFont val="宋体"/>
        <family val="3"/>
        <charset val="134"/>
      </rPr>
      <t>，精密称定，置</t>
    </r>
    <r>
      <rPr>
        <sz val="10.5"/>
        <color theme="1"/>
        <rFont val="Times New Roman"/>
        <family val="1"/>
      </rPr>
      <t>20ml</t>
    </r>
    <r>
      <rPr>
        <sz val="10.5"/>
        <color theme="1"/>
        <rFont val="宋体"/>
        <family val="3"/>
        <charset val="134"/>
      </rPr>
      <t>量瓶中，精密加入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系统适用性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项下混标贮备液</t>
    </r>
    <r>
      <rPr>
        <sz val="10.5"/>
        <color theme="1"/>
        <rFont val="Times New Roman"/>
        <family val="1"/>
      </rPr>
      <t>1.0ml</t>
    </r>
    <r>
      <rPr>
        <sz val="10.5"/>
        <color theme="1"/>
        <rFont val="宋体"/>
        <family val="3"/>
        <charset val="134"/>
      </rPr>
      <t>，加溶剂溶解并稀释至刻度，摇匀，即得。同法配制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宋体"/>
        <family val="3"/>
        <charset val="134"/>
      </rPr>
      <t>份。</t>
    </r>
    <phoneticPr fontId="35" type="noConversion"/>
  </si>
  <si>
    <r>
      <rPr>
        <sz val="10.5"/>
        <rFont val="宋体"/>
        <family val="3"/>
        <charset val="134"/>
      </rPr>
      <t>见</t>
    </r>
    <r>
      <rPr>
        <sz val="10.5"/>
        <rFont val="Times New Roman"/>
        <family val="1"/>
      </rPr>
      <t>“</t>
    </r>
    <r>
      <rPr>
        <sz val="10.5"/>
        <rFont val="宋体"/>
        <family val="3"/>
        <charset val="134"/>
      </rPr>
      <t>线性与范围</t>
    </r>
    <r>
      <rPr>
        <sz val="10.5"/>
        <rFont val="Times New Roman"/>
        <family val="1"/>
      </rPr>
      <t>”</t>
    </r>
    <r>
      <rPr>
        <sz val="10.5"/>
        <rFont val="宋体"/>
        <family val="3"/>
        <charset val="134"/>
      </rPr>
      <t>项下线性溶液的制备。</t>
    </r>
    <phoneticPr fontId="35" type="noConversion"/>
  </si>
  <si>
    <r>
      <rPr>
        <sz val="10.5"/>
        <color theme="1"/>
        <rFont val="宋体"/>
        <family val="3"/>
        <charset val="134"/>
      </rPr>
      <t>取供试品约</t>
    </r>
    <r>
      <rPr>
        <sz val="10.5"/>
        <color theme="1"/>
        <rFont val="Times New Roman"/>
        <family val="1"/>
      </rPr>
      <t>20mg</t>
    </r>
    <r>
      <rPr>
        <sz val="10.5"/>
        <color theme="1"/>
        <rFont val="宋体"/>
        <family val="3"/>
        <charset val="134"/>
      </rPr>
      <t>，精密称定，置</t>
    </r>
    <r>
      <rPr>
        <sz val="10.5"/>
        <color theme="1"/>
        <rFont val="Times New Roman"/>
        <family val="1"/>
      </rPr>
      <t>20ml</t>
    </r>
    <r>
      <rPr>
        <sz val="10.5"/>
        <color theme="1"/>
        <rFont val="宋体"/>
        <family val="3"/>
        <charset val="134"/>
      </rPr>
      <t>量瓶中，精密加入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系统适用性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项下混标贮备液</t>
    </r>
    <r>
      <rPr>
        <sz val="10.5"/>
        <color theme="1"/>
        <rFont val="Times New Roman"/>
        <family val="1"/>
      </rPr>
      <t>0.1ml</t>
    </r>
    <r>
      <rPr>
        <sz val="10.5"/>
        <color theme="1"/>
        <rFont val="宋体"/>
        <family val="3"/>
        <charset val="134"/>
      </rPr>
      <t>，加溶剂溶解并稀释至刻度，摇匀，即得。</t>
    </r>
    <phoneticPr fontId="35" type="noConversion"/>
  </si>
  <si>
    <r>
      <rPr>
        <sz val="10.5"/>
        <color theme="1"/>
        <rFont val="宋体"/>
        <family val="3"/>
        <charset val="134"/>
      </rPr>
      <t>见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重复性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项下前三份</t>
    </r>
    <r>
      <rPr>
        <sz val="10.5"/>
        <color theme="1"/>
        <rFont val="Times New Roman"/>
        <family val="1"/>
      </rPr>
      <t>100%</t>
    </r>
    <r>
      <rPr>
        <sz val="10.5"/>
        <color theme="1"/>
        <rFont val="宋体"/>
        <family val="3"/>
        <charset val="134"/>
      </rPr>
      <t>加标供试品溶液的配制。</t>
    </r>
    <phoneticPr fontId="35" type="noConversion"/>
  </si>
  <si>
    <r>
      <rPr>
        <sz val="10.5"/>
        <color theme="1"/>
        <rFont val="宋体"/>
        <family val="3"/>
        <charset val="134"/>
      </rPr>
      <t>取供试品约</t>
    </r>
    <r>
      <rPr>
        <sz val="10.5"/>
        <color theme="1"/>
        <rFont val="Times New Roman"/>
        <family val="1"/>
      </rPr>
      <t>20mg</t>
    </r>
    <r>
      <rPr>
        <sz val="10.5"/>
        <color theme="1"/>
        <rFont val="宋体"/>
        <family val="3"/>
        <charset val="134"/>
      </rPr>
      <t>，精密称定，置</t>
    </r>
    <r>
      <rPr>
        <sz val="10.5"/>
        <color theme="1"/>
        <rFont val="Times New Roman"/>
        <family val="1"/>
      </rPr>
      <t>20ml</t>
    </r>
    <r>
      <rPr>
        <sz val="10.5"/>
        <color theme="1"/>
        <rFont val="宋体"/>
        <family val="3"/>
        <charset val="134"/>
      </rPr>
      <t>量瓶中，精密加入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系统适用性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项下混标贮备液</t>
    </r>
    <r>
      <rPr>
        <sz val="10.5"/>
        <color theme="1"/>
        <rFont val="Times New Roman"/>
        <family val="1"/>
      </rPr>
      <t>1.5ml</t>
    </r>
    <r>
      <rPr>
        <sz val="10.5"/>
        <color theme="1"/>
        <rFont val="宋体"/>
        <family val="3"/>
        <charset val="134"/>
      </rPr>
      <t>，加溶剂溶解并稀释至刻度，摇匀，即得。</t>
    </r>
    <phoneticPr fontId="35" type="noConversion"/>
  </si>
  <si>
    <r>
      <rPr>
        <sz val="10.5"/>
        <color theme="1"/>
        <rFont val="宋体"/>
        <family val="3"/>
        <charset val="134"/>
      </rPr>
      <t>见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系统适用性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项下系统适用性溶液的制备。</t>
    </r>
    <phoneticPr fontId="35" type="noConversion"/>
  </si>
  <si>
    <r>
      <rPr>
        <sz val="10.5"/>
        <color theme="1"/>
        <rFont val="宋体"/>
        <family val="3"/>
        <charset val="134"/>
      </rPr>
      <t>见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专属性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项下加标供试品溶液的制备。</t>
    </r>
    <phoneticPr fontId="35" type="noConversion"/>
  </si>
  <si>
    <t>杂质A</t>
    <phoneticPr fontId="23" type="noConversion"/>
  </si>
  <si>
    <t>杂质H</t>
    <phoneticPr fontId="23" type="noConversion"/>
  </si>
  <si>
    <t>系统适用性溶液-01.lcd</t>
  </si>
  <si>
    <t>系统适用性溶液-02.lcd</t>
  </si>
  <si>
    <t>系统适用性溶液-03.lcd</t>
  </si>
  <si>
    <t>系统适用性溶液-04.lcd</t>
  </si>
  <si>
    <t>系统适用性溶液-05.lcd</t>
  </si>
  <si>
    <t>系统适用性溶液-06.lcd</t>
  </si>
  <si>
    <t>对照品溶液（稳定性-0）.lcd</t>
  </si>
  <si>
    <t>加标供试品溶液（稳定性-0）.lcd</t>
  </si>
  <si>
    <t>KB-06.lcd</t>
  </si>
  <si>
    <t>C3.lcd</t>
  </si>
  <si>
    <t>KB-07.lcd</t>
  </si>
  <si>
    <t>专属性-检测限溶液.lcd</t>
  </si>
  <si>
    <t>专属性-供试品溶液.lcd</t>
  </si>
  <si>
    <t>专属性-加标供试品溶液.lcd</t>
  </si>
  <si>
    <t>KB-08.lcd</t>
  </si>
  <si>
    <t>对照品溶液（稳定性-1）.lcd</t>
  </si>
  <si>
    <t>加标供试品溶液（稳定性-1）.lcd</t>
  </si>
  <si>
    <t>KB-09.lcd</t>
  </si>
  <si>
    <t>LOD-01.lcd</t>
  </si>
  <si>
    <t>LOD-02.lcd</t>
  </si>
  <si>
    <t>LOD-03.lcd</t>
  </si>
  <si>
    <t>LOQ-01.lcd</t>
  </si>
  <si>
    <t>LOQ-02.lcd</t>
  </si>
  <si>
    <t>LOQ-03.lcd</t>
  </si>
  <si>
    <t>LOQ-04.lcd</t>
  </si>
  <si>
    <t>LOQ-05.lcd</t>
  </si>
  <si>
    <t>LOQ-06.lcd</t>
  </si>
  <si>
    <t>对照品溶液（稳定性-2）.lcd</t>
  </si>
  <si>
    <t>加标供试品溶液（稳定性-2）.lcd</t>
  </si>
  <si>
    <t>KB-10.lcd</t>
  </si>
  <si>
    <t>供试品溶液-01.lcd</t>
  </si>
  <si>
    <t>供试品溶液-02.lcd</t>
  </si>
  <si>
    <t>供试品溶液-03.lcd</t>
  </si>
  <si>
    <t>LOQ加标供试品溶液-01.lcd</t>
  </si>
  <si>
    <t>LOQ加标供试品溶液-02.lcd</t>
  </si>
  <si>
    <t>LOQ加标供试品溶液-03.lcd</t>
  </si>
  <si>
    <t>KB-11.lcd</t>
  </si>
  <si>
    <t>100%加标供试品溶液-01.lcd</t>
  </si>
  <si>
    <t>100%加标供试品溶液-02.lcd</t>
  </si>
  <si>
    <t>100%加标供试品溶液-03.lcd</t>
  </si>
  <si>
    <t>100%加标供试品溶液-04.lcd</t>
  </si>
  <si>
    <t>100%加标供试品溶液-05.lcd</t>
  </si>
  <si>
    <t>100%加标供试品溶液-06.lcd</t>
  </si>
  <si>
    <t>KB-12.lcd</t>
  </si>
  <si>
    <t>150%加标供试品溶液-01.lcd</t>
  </si>
  <si>
    <t>150%加标供试品溶液-02.lcd</t>
  </si>
  <si>
    <t>150%加标供试品溶液-03.lcd</t>
  </si>
  <si>
    <t>KB-13.lcd</t>
  </si>
  <si>
    <t>对照品溶液（稳定性-3）.lcd</t>
  </si>
  <si>
    <t>加标供试品溶液（稳定性-3）.lcd</t>
  </si>
  <si>
    <t>KB-60min-01.lcd</t>
  </si>
  <si>
    <t>KB-60min-02.lcd</t>
  </si>
  <si>
    <t>KB-60min-03.lcd</t>
  </si>
  <si>
    <t>对照品溶液（稳定性-4）.lcd</t>
  </si>
  <si>
    <t>加标供试品溶液（稳定性-4）.lcd</t>
  </si>
  <si>
    <t>KB-60min-04.lcd</t>
  </si>
  <si>
    <t>KB-60min-05.lcd</t>
  </si>
  <si>
    <t>KB-60min-06.lcd</t>
  </si>
  <si>
    <t>对照品溶液（稳定性-5）.lcd</t>
  </si>
  <si>
    <t>加标供试品溶液（稳定性-5）.lcd</t>
  </si>
  <si>
    <t>杂质E</t>
    <phoneticPr fontId="23" type="noConversion"/>
  </si>
  <si>
    <t>统计</t>
  </si>
  <si>
    <t>分析日期/时间</t>
  </si>
  <si>
    <t>杂质A</t>
    <phoneticPr fontId="23" type="noConversion"/>
  </si>
  <si>
    <t>氢溴酸伏硫西汀 50320251201.lcd</t>
  </si>
  <si>
    <t>氢溴酸伏硫西汀 50320260101.lcd</t>
  </si>
  <si>
    <t>氢溴酸伏硫西汀 50320260102.lcd</t>
  </si>
  <si>
    <t>氢溴酸伏硫西汀 50320251201（加速1个月）.lcd</t>
  </si>
  <si>
    <t>氢溴酸伏硫西汀 50320260101（加速1个月）.lcd</t>
  </si>
  <si>
    <t>氢溴酸伏硫西汀 50320260102（加速1个月）.lcd</t>
  </si>
  <si>
    <t>氢溴酸伏硫西汀 50320251201（加速2个月）.lcd</t>
  </si>
  <si>
    <t>氢溴酸伏硫西汀 50320260101（加速2个月）.lcd</t>
  </si>
  <si>
    <t>氢溴酸伏硫西汀 50320260102（加速2个月）.lcd</t>
  </si>
  <si>
    <t>杂质E</t>
    <phoneticPr fontId="23" type="noConversion"/>
  </si>
  <si>
    <t>杂质H</t>
    <phoneticPr fontId="23" type="noConversion"/>
  </si>
  <si>
    <t>杂质A</t>
    <phoneticPr fontId="16" type="noConversion"/>
  </si>
  <si>
    <t>杂质E</t>
    <phoneticPr fontId="16" type="noConversion"/>
  </si>
  <si>
    <t>杂质H</t>
    <phoneticPr fontId="16" type="noConversion"/>
  </si>
  <si>
    <t>杂质A</t>
    <phoneticPr fontId="16" type="noConversion"/>
  </si>
  <si>
    <t>杂质H</t>
    <phoneticPr fontId="16" type="noConversion"/>
  </si>
  <si>
    <t>2026.05.20</t>
    <phoneticPr fontId="16" type="noConversion"/>
  </si>
  <si>
    <t>Y = 60983.0X + 3461.07</t>
    <phoneticPr fontId="16" type="noConversion"/>
  </si>
  <si>
    <t>Y =119348X +5027.65</t>
    <phoneticPr fontId="16" type="noConversion"/>
  </si>
  <si>
    <t>Y = 38321.8X - 821.088</t>
    <phoneticPr fontId="16" type="noConversion"/>
  </si>
  <si>
    <t>称样量（mg）</t>
    <phoneticPr fontId="16" type="noConversion"/>
  </si>
  <si>
    <t>杂质E</t>
    <phoneticPr fontId="16" type="noConversion"/>
  </si>
  <si>
    <t>杂质H</t>
    <phoneticPr fontId="16" type="noConversion"/>
  </si>
  <si>
    <t>杂质A</t>
    <phoneticPr fontId="16" type="noConversion"/>
  </si>
  <si>
    <t>杂质E</t>
    <phoneticPr fontId="16" type="noConversion"/>
  </si>
  <si>
    <t>杂质H</t>
    <phoneticPr fontId="16" type="noConversion"/>
  </si>
  <si>
    <t>杂质名称</t>
  </si>
  <si>
    <t>称样量</t>
  </si>
  <si>
    <r>
      <t>（</t>
    </r>
    <r>
      <rPr>
        <sz val="10.5"/>
        <rFont val="Times New Roman"/>
        <family val="1"/>
      </rPr>
      <t>mg</t>
    </r>
    <r>
      <rPr>
        <sz val="10.5"/>
        <rFont val="宋体"/>
        <family val="3"/>
        <charset val="134"/>
      </rPr>
      <t>）</t>
    </r>
  </si>
  <si>
    <r>
      <t>测得浓度（</t>
    </r>
    <r>
      <rPr>
        <sz val="10.5"/>
        <rFont val="Times New Roman"/>
        <family val="1"/>
      </rPr>
      <t>ng/ml</t>
    </r>
    <r>
      <rPr>
        <sz val="10.5"/>
        <rFont val="宋体"/>
        <family val="3"/>
        <charset val="134"/>
      </rPr>
      <t>）</t>
    </r>
  </si>
  <si>
    <r>
      <t>含量（</t>
    </r>
    <r>
      <rPr>
        <sz val="10.5"/>
        <rFont val="Times New Roman"/>
        <family val="1"/>
      </rPr>
      <t>ppm</t>
    </r>
    <r>
      <rPr>
        <sz val="10.5"/>
        <rFont val="宋体"/>
        <family val="3"/>
        <charset val="134"/>
      </rPr>
      <t>）</t>
    </r>
  </si>
  <si>
    <r>
      <t>平均含量（</t>
    </r>
    <r>
      <rPr>
        <sz val="10.5"/>
        <rFont val="Times New Roman"/>
        <family val="1"/>
      </rPr>
      <t>ppm</t>
    </r>
    <r>
      <rPr>
        <sz val="10.5"/>
        <rFont val="宋体"/>
        <family val="3"/>
        <charset val="134"/>
      </rPr>
      <t>）</t>
    </r>
  </si>
  <si>
    <r>
      <t>杂质</t>
    </r>
    <r>
      <rPr>
        <sz val="10.5"/>
        <rFont val="Times New Roman"/>
        <family val="1"/>
      </rPr>
      <t>A</t>
    </r>
  </si>
  <si>
    <r>
      <t>杂质</t>
    </r>
    <r>
      <rPr>
        <sz val="10.5"/>
        <rFont val="Times New Roman"/>
        <family val="1"/>
      </rPr>
      <t>E</t>
    </r>
  </si>
  <si>
    <r>
      <t>杂质</t>
    </r>
    <r>
      <rPr>
        <sz val="10.5"/>
        <rFont val="Times New Roman"/>
        <family val="1"/>
      </rPr>
      <t>H</t>
    </r>
  </si>
  <si>
    <t>未检出</t>
  </si>
  <si>
    <t>未检出</t>
    <phoneticPr fontId="16" type="noConversion"/>
  </si>
  <si>
    <t>2026.05.21</t>
    <phoneticPr fontId="16" type="noConversion"/>
  </si>
  <si>
    <t>Y = 64480.4X + 6110.44</t>
    <phoneticPr fontId="16" type="noConversion"/>
  </si>
  <si>
    <t>Y =127386X +5986.01</t>
    <phoneticPr fontId="16" type="noConversion"/>
  </si>
  <si>
    <t>Y = 39991.4X + 371.100</t>
    <phoneticPr fontId="16" type="noConversion"/>
  </si>
  <si>
    <t>供试品称样量</t>
    <phoneticPr fontId="16" type="noConversion"/>
  </si>
  <si>
    <r>
      <t>（</t>
    </r>
    <r>
      <rPr>
        <sz val="10.5"/>
        <color rgb="FF000000"/>
        <rFont val="Times New Roman"/>
        <family val="1"/>
      </rPr>
      <t>mg</t>
    </r>
    <r>
      <rPr>
        <sz val="10.5"/>
        <color rgb="FF000000"/>
        <rFont val="宋体"/>
        <family val="3"/>
        <charset val="134"/>
      </rPr>
      <t>）</t>
    </r>
    <phoneticPr fontId="16" type="noConversion"/>
  </si>
  <si>
    <t>测得量</t>
    <phoneticPr fontId="16" type="noConversion"/>
  </si>
  <si>
    <r>
      <t>（</t>
    </r>
    <r>
      <rPr>
        <sz val="10.5"/>
        <color rgb="FF000000"/>
        <rFont val="Times New Roman"/>
        <family val="1"/>
      </rPr>
      <t>ng</t>
    </r>
    <r>
      <rPr>
        <sz val="10.5"/>
        <color rgb="FF000000"/>
        <rFont val="宋体"/>
        <family val="3"/>
        <charset val="134"/>
      </rPr>
      <t>）</t>
    </r>
    <phoneticPr fontId="16" type="noConversion"/>
  </si>
  <si>
    <t>空白量</t>
    <phoneticPr fontId="16" type="noConversion"/>
  </si>
  <si>
    <r>
      <t>加入量（</t>
    </r>
    <r>
      <rPr>
        <sz val="10.5"/>
        <color rgb="FF000000"/>
        <rFont val="Times New Roman"/>
        <family val="1"/>
      </rPr>
      <t>ng</t>
    </r>
    <r>
      <rPr>
        <sz val="10.5"/>
        <color rgb="FF000000"/>
        <rFont val="宋体"/>
        <family val="3"/>
        <charset val="134"/>
      </rPr>
      <t>）</t>
    </r>
    <phoneticPr fontId="16" type="noConversion"/>
  </si>
  <si>
    <t>测得浓度</t>
    <phoneticPr fontId="16" type="noConversion"/>
  </si>
  <si>
    <t>加入量</t>
    <phoneticPr fontId="16" type="noConversion"/>
  </si>
  <si>
    <t xml:space="preserve">杂质H </t>
    <phoneticPr fontId="16" type="noConversion"/>
  </si>
  <si>
    <t>3.3h</t>
    <phoneticPr fontId="16" type="noConversion"/>
  </si>
  <si>
    <t>11.8h</t>
    <phoneticPr fontId="16" type="noConversion"/>
  </si>
  <si>
    <t>15.4h</t>
    <phoneticPr fontId="16" type="noConversion"/>
  </si>
  <si>
    <t>18.9h</t>
    <phoneticPr fontId="16" type="noConversion"/>
  </si>
  <si>
    <t>氢溴酸伏硫西汀 50320251201</t>
  </si>
  <si>
    <t>氢溴酸伏硫西汀 50320260101</t>
  </si>
  <si>
    <t>氢溴酸伏硫西汀 50320260102</t>
  </si>
  <si>
    <t>氢溴酸伏硫西汀 50320251201（加速1个月）</t>
  </si>
  <si>
    <t>氢溴酸伏硫西汀 50320260101（加速1个月）</t>
  </si>
  <si>
    <t>氢溴酸伏硫西汀 50320260102（加速1个月）</t>
  </si>
  <si>
    <t>氢溴酸伏硫西汀 50320251201（加速2个月）</t>
  </si>
  <si>
    <t>氢溴酸伏硫西汀 50320260101（加速2个月）</t>
  </si>
  <si>
    <t>氢溴酸伏硫西汀 50320260102（加速2个月）</t>
  </si>
  <si>
    <t>峰面积</t>
    <phoneticPr fontId="16" type="noConversion"/>
  </si>
  <si>
    <t>氢溴酸伏硫西汀 50320251201（加速3个月）</t>
  </si>
  <si>
    <t>氢溴酸伏硫西汀 50320260101（加速3个月）</t>
  </si>
  <si>
    <t>氢溴酸伏硫西汀 50320260102（加速3个月）</t>
  </si>
  <si>
    <t>氢溴酸伏硫西汀 50320251201（长期3个月）</t>
  </si>
  <si>
    <t>氢溴酸伏硫西汀 50320251201（中间条件30 65 3个月）</t>
  </si>
  <si>
    <t>氢溴酸伏硫西汀 50320260101（长期3个月）</t>
  </si>
  <si>
    <t>氢溴酸伏硫西汀 50320260101（中间条件30 65 3个月）</t>
  </si>
  <si>
    <t>氢溴酸伏硫西汀 50320260102（长期3个月）</t>
  </si>
  <si>
    <t>氢溴酸伏硫西汀 50320260102（中间条件30 65 3个月）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</si>
</sst>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76" formatCode="0.000_ "/>
    <numFmt numFmtId="177" formatCode="0.00_ "/>
    <numFmt numFmtId="178" formatCode="0.0_);[Red]\(0.0\)"/>
    <numFmt numFmtId="179" formatCode="0.00_);[Red]\(0.00\)"/>
    <numFmt numFmtId="180" formatCode="0.0000_);[Red]\(0.0000\)"/>
    <numFmt numFmtId="181" formatCode="0.000_);[Red]\(0.000\)"/>
    <numFmt numFmtId="182" formatCode="0.0000_ "/>
    <numFmt numFmtId="183" formatCode="0.00000_);[Red]\(0.00000\)"/>
    <numFmt numFmtId="184" formatCode="0_ "/>
    <numFmt numFmtId="185" formatCode="0.0_ "/>
    <numFmt numFmtId="186" formatCode="0_);[Red]\(0\)"/>
  </numFmts>
  <fonts count="4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.5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color rgb="FFFF0000"/>
      <name val="Times New Roman"/>
      <family val="1"/>
    </font>
    <font>
      <b/>
      <sz val="11"/>
      <name val="Times New Roman"/>
      <family val="1"/>
    </font>
    <font>
      <b/>
      <sz val="11"/>
      <name val="宋体"/>
      <family val="3"/>
      <charset val="134"/>
    </font>
    <font>
      <sz val="10.5"/>
      <color rgb="FF000000"/>
      <name val="Times New Roman"/>
      <family val="1"/>
    </font>
    <font>
      <sz val="10"/>
      <color rgb="FF000000"/>
      <name val="宋体"/>
      <family val="3"/>
      <charset val="134"/>
    </font>
    <font>
      <sz val="10"/>
      <color rgb="FF000000"/>
      <name val="Times New Roman"/>
      <family val="1"/>
    </font>
    <font>
      <sz val="11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0.5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</font>
    <font>
      <b/>
      <sz val="12"/>
      <color theme="1"/>
      <name val="Times New Roman"/>
      <family val="1"/>
    </font>
    <font>
      <b/>
      <sz val="12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vertAlign val="subscript"/>
      <sz val="10.5"/>
      <color theme="1"/>
      <name val="Times New Roman"/>
      <family val="1"/>
    </font>
    <font>
      <sz val="10.5"/>
      <color theme="1"/>
      <name val="SimSun"/>
      <charset val="134"/>
    </font>
    <font>
      <sz val="11"/>
      <name val="Times New Roman"/>
      <family val="1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Times New Roman"/>
      <family val="3"/>
      <charset val="134"/>
    </font>
    <font>
      <sz val="11"/>
      <name val="Times New Roman"/>
      <family val="3"/>
      <charset val="134"/>
    </font>
    <font>
      <b/>
      <sz val="11"/>
      <color theme="1"/>
      <name val="宋体"/>
      <family val="3"/>
      <charset val="134"/>
    </font>
    <font>
      <sz val="9"/>
      <color rgb="FF000000"/>
      <name val="Arial"/>
      <family val="2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0.5"/>
      <name val="宋体"/>
      <family val="3"/>
      <charset val="134"/>
    </font>
    <font>
      <sz val="10.5"/>
      <name val="Times New Roman"/>
      <family val="1"/>
    </font>
    <font>
      <b/>
      <sz val="11"/>
      <color rgb="FFFF0000"/>
      <name val="宋体"/>
      <family val="3"/>
      <charset val="134"/>
    </font>
    <font>
      <sz val="11"/>
      <name val="宋体"/>
      <family val="3"/>
      <charset val="134"/>
      <scheme val="minor"/>
    </font>
    <font>
      <sz val="10.5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0" fillId="0" borderId="0" xfId="0" applyAlignment="1">
      <alignment horizontal="center" vertical="center"/>
    </xf>
    <xf numFmtId="179" fontId="0" fillId="0" borderId="0" xfId="0" applyNumberFormat="1"/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/>
    <xf numFmtId="0" fontId="4" fillId="0" borderId="0" xfId="0" applyFont="1"/>
    <xf numFmtId="179" fontId="5" fillId="0" borderId="0" xfId="0" applyNumberFormat="1" applyFont="1"/>
    <xf numFmtId="180" fontId="5" fillId="0" borderId="0" xfId="0" applyNumberFormat="1" applyFont="1"/>
    <xf numFmtId="178" fontId="5" fillId="0" borderId="0" xfId="0" applyNumberFormat="1" applyFont="1"/>
    <xf numFmtId="179" fontId="6" fillId="0" borderId="0" xfId="0" applyNumberFormat="1" applyFont="1" applyAlignment="1">
      <alignment horizontal="center" vertical="center"/>
    </xf>
    <xf numFmtId="179" fontId="6" fillId="0" borderId="0" xfId="0" applyNumberFormat="1" applyFont="1"/>
    <xf numFmtId="176" fontId="4" fillId="0" borderId="0" xfId="0" applyNumberFormat="1" applyFont="1"/>
    <xf numFmtId="179" fontId="4" fillId="0" borderId="0" xfId="0" applyNumberFormat="1" applyFont="1"/>
    <xf numFmtId="14" fontId="7" fillId="0" borderId="0" xfId="0" applyNumberFormat="1" applyFont="1"/>
    <xf numFmtId="181" fontId="4" fillId="0" borderId="0" xfId="0" applyNumberFormat="1" applyFont="1"/>
    <xf numFmtId="176" fontId="8" fillId="0" borderId="1" xfId="0" applyNumberFormat="1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181" fontId="8" fillId="0" borderId="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76" fontId="1" fillId="0" borderId="0" xfId="0" applyNumberFormat="1" applyFont="1"/>
    <xf numFmtId="181" fontId="1" fillId="0" borderId="0" xfId="0" applyNumberFormat="1" applyFont="1"/>
    <xf numFmtId="179" fontId="1" fillId="0" borderId="0" xfId="0" applyNumberFormat="1" applyFont="1"/>
    <xf numFmtId="177" fontId="0" fillId="0" borderId="0" xfId="0" applyNumberFormat="1"/>
    <xf numFmtId="176" fontId="0" fillId="0" borderId="0" xfId="0" applyNumberFormat="1"/>
    <xf numFmtId="181" fontId="0" fillId="0" borderId="0" xfId="0" applyNumberFormat="1"/>
    <xf numFmtId="181" fontId="3" fillId="0" borderId="6" xfId="0" applyNumberFormat="1" applyFont="1" applyBorder="1" applyAlignment="1">
      <alignment horizontal="center" vertical="center" wrapText="1"/>
    </xf>
    <xf numFmtId="183" fontId="0" fillId="0" borderId="0" xfId="0" applyNumberFormat="1"/>
    <xf numFmtId="182" fontId="8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wrapText="1"/>
    </xf>
    <xf numFmtId="0" fontId="3" fillId="0" borderId="8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179" fontId="17" fillId="0" borderId="0" xfId="0" applyNumberFormat="1" applyFont="1"/>
    <xf numFmtId="180" fontId="17" fillId="0" borderId="0" xfId="0" applyNumberFormat="1" applyFont="1"/>
    <xf numFmtId="0" fontId="13" fillId="0" borderId="0" xfId="0" applyFont="1"/>
    <xf numFmtId="0" fontId="15" fillId="0" borderId="4" xfId="0" applyFont="1" applyBorder="1" applyAlignment="1">
      <alignment horizontal="center" vertical="center" wrapText="1"/>
    </xf>
    <xf numFmtId="0" fontId="18" fillId="0" borderId="0" xfId="0" applyFont="1"/>
    <xf numFmtId="177" fontId="10" fillId="0" borderId="6" xfId="0" applyNumberFormat="1" applyFont="1" applyBorder="1" applyAlignment="1">
      <alignment horizontal="center" vertical="center" wrapText="1"/>
    </xf>
    <xf numFmtId="176" fontId="2" fillId="0" borderId="0" xfId="0" applyNumberFormat="1" applyFont="1"/>
    <xf numFmtId="181" fontId="14" fillId="0" borderId="4" xfId="0" applyNumberFormat="1" applyFont="1" applyBorder="1" applyAlignment="1">
      <alignment horizontal="center" vertical="center" wrapText="1"/>
    </xf>
    <xf numFmtId="181" fontId="2" fillId="0" borderId="0" xfId="0" applyNumberFormat="1" applyFont="1"/>
    <xf numFmtId="180" fontId="8" fillId="0" borderId="1" xfId="0" applyNumberFormat="1" applyFont="1" applyBorder="1" applyAlignment="1">
      <alignment horizontal="center" vertical="center"/>
    </xf>
    <xf numFmtId="184" fontId="3" fillId="0" borderId="6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84" fontId="10" fillId="0" borderId="6" xfId="0" applyNumberFormat="1" applyFont="1" applyBorder="1" applyAlignment="1">
      <alignment horizontal="center" vertical="center" wrapText="1"/>
    </xf>
    <xf numFmtId="177" fontId="10" fillId="0" borderId="5" xfId="0" applyNumberFormat="1" applyFont="1" applyBorder="1" applyAlignment="1">
      <alignment horizontal="center" vertical="center" wrapText="1"/>
    </xf>
    <xf numFmtId="184" fontId="10" fillId="0" borderId="6" xfId="0" applyNumberFormat="1" applyFont="1" applyBorder="1" applyAlignment="1">
      <alignment horizontal="center" vertical="center"/>
    </xf>
    <xf numFmtId="0" fontId="19" fillId="0" borderId="0" xfId="0" applyFont="1"/>
    <xf numFmtId="177" fontId="10" fillId="0" borderId="6" xfId="0" applyNumberFormat="1" applyFont="1" applyBorder="1" applyAlignment="1">
      <alignment horizontal="center" vertical="center"/>
    </xf>
    <xf numFmtId="184" fontId="0" fillId="0" borderId="0" xfId="0" applyNumberFormat="1"/>
    <xf numFmtId="186" fontId="4" fillId="0" borderId="0" xfId="0" applyNumberFormat="1" applyFont="1"/>
    <xf numFmtId="0" fontId="19" fillId="0" borderId="0" xfId="0" applyFont="1" applyAlignment="1">
      <alignment horizontal="center" vertical="center"/>
    </xf>
    <xf numFmtId="177" fontId="13" fillId="0" borderId="0" xfId="0" applyNumberFormat="1" applyFont="1"/>
    <xf numFmtId="0" fontId="13" fillId="0" borderId="0" xfId="0" applyFont="1" applyAlignment="1">
      <alignment horizontal="center" vertical="center"/>
    </xf>
    <xf numFmtId="0" fontId="20" fillId="0" borderId="0" xfId="0" applyFont="1"/>
    <xf numFmtId="186" fontId="0" fillId="0" borderId="0" xfId="0" applyNumberFormat="1"/>
    <xf numFmtId="185" fontId="10" fillId="0" borderId="6" xfId="0" applyNumberFormat="1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185" fontId="1" fillId="0" borderId="0" xfId="0" applyNumberFormat="1" applyFont="1"/>
    <xf numFmtId="0" fontId="2" fillId="0" borderId="0" xfId="0" applyFont="1"/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77" fontId="21" fillId="0" borderId="1" xfId="0" applyNumberFormat="1" applyFont="1" applyBorder="1" applyAlignment="1">
      <alignment horizontal="center" vertical="center"/>
    </xf>
    <xf numFmtId="178" fontId="21" fillId="0" borderId="1" xfId="0" applyNumberFormat="1" applyFont="1" applyBorder="1" applyAlignment="1">
      <alignment horizontal="center" vertical="center"/>
    </xf>
    <xf numFmtId="22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86" fontId="19" fillId="0" borderId="0" xfId="0" applyNumberFormat="1" applyFont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3" fontId="19" fillId="0" borderId="0" xfId="0" applyNumberFormat="1" applyFont="1"/>
    <xf numFmtId="0" fontId="11" fillId="0" borderId="1" xfId="0" applyFont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184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85" fontId="12" fillId="0" borderId="1" xfId="0" applyNumberFormat="1" applyFont="1" applyBorder="1" applyAlignment="1">
      <alignment horizontal="center" vertical="center" wrapText="1"/>
    </xf>
    <xf numFmtId="178" fontId="10" fillId="0" borderId="6" xfId="0" applyNumberFormat="1" applyFont="1" applyBorder="1" applyAlignment="1">
      <alignment horizontal="center" vertical="center" wrapText="1"/>
    </xf>
    <xf numFmtId="185" fontId="0" fillId="0" borderId="0" xfId="0" applyNumberFormat="1"/>
    <xf numFmtId="0" fontId="6" fillId="0" borderId="0" xfId="0" applyFont="1"/>
    <xf numFmtId="0" fontId="15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176" fontId="10" fillId="0" borderId="6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 wrapText="1"/>
    </xf>
    <xf numFmtId="178" fontId="10" fillId="0" borderId="20" xfId="0" applyNumberFormat="1" applyFont="1" applyBorder="1" applyAlignment="1">
      <alignment horizontal="center" vertical="center" wrapText="1"/>
    </xf>
    <xf numFmtId="178" fontId="3" fillId="2" borderId="6" xfId="0" applyNumberFormat="1" applyFont="1" applyFill="1" applyBorder="1" applyAlignment="1">
      <alignment horizontal="center" vertical="center" wrapText="1"/>
    </xf>
    <xf numFmtId="0" fontId="1" fillId="2" borderId="0" xfId="0" applyFont="1" applyFill="1"/>
    <xf numFmtId="176" fontId="13" fillId="0" borderId="0" xfId="0" applyNumberFormat="1" applyFont="1"/>
    <xf numFmtId="183" fontId="19" fillId="0" borderId="0" xfId="0" applyNumberFormat="1" applyFont="1"/>
    <xf numFmtId="0" fontId="2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82" fontId="4" fillId="0" borderId="1" xfId="0" applyNumberFormat="1" applyFont="1" applyBorder="1" applyAlignment="1">
      <alignment horizontal="center"/>
    </xf>
    <xf numFmtId="180" fontId="1" fillId="0" borderId="0" xfId="0" applyNumberFormat="1" applyFont="1" applyAlignment="1">
      <alignment horizontal="center" vertical="center"/>
    </xf>
    <xf numFmtId="22" fontId="13" fillId="0" borderId="0" xfId="0" applyNumberFormat="1" applyFont="1"/>
    <xf numFmtId="177" fontId="3" fillId="0" borderId="1" xfId="0" applyNumberFormat="1" applyFont="1" applyBorder="1" applyAlignment="1">
      <alignment horizontal="center" vertical="center" wrapText="1"/>
    </xf>
    <xf numFmtId="22" fontId="19" fillId="0" borderId="0" xfId="0" applyNumberFormat="1" applyFont="1"/>
    <xf numFmtId="177" fontId="10" fillId="0" borderId="1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/>
    <xf numFmtId="181" fontId="9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/>
    </xf>
    <xf numFmtId="0" fontId="32" fillId="0" borderId="0" xfId="0" applyFont="1"/>
    <xf numFmtId="0" fontId="1" fillId="0" borderId="1" xfId="0" applyFont="1" applyBorder="1" applyAlignment="1">
      <alignment horizontal="center" vertical="center"/>
    </xf>
    <xf numFmtId="179" fontId="13" fillId="0" borderId="0" xfId="0" applyNumberFormat="1" applyFont="1"/>
    <xf numFmtId="179" fontId="3" fillId="0" borderId="1" xfId="0" applyNumberFormat="1" applyFont="1" applyBorder="1" applyAlignment="1">
      <alignment horizontal="center" vertical="center" wrapText="1"/>
    </xf>
    <xf numFmtId="179" fontId="33" fillId="0" borderId="1" xfId="0" applyNumberFormat="1" applyFont="1" applyBorder="1" applyAlignment="1">
      <alignment horizontal="center" vertical="center"/>
    </xf>
    <xf numFmtId="180" fontId="33" fillId="0" borderId="1" xfId="0" applyNumberFormat="1" applyFont="1" applyBorder="1" applyAlignment="1">
      <alignment horizontal="center" vertical="center"/>
    </xf>
    <xf numFmtId="186" fontId="33" fillId="0" borderId="1" xfId="0" applyNumberFormat="1" applyFont="1" applyBorder="1" applyAlignment="1">
      <alignment horizontal="center" vertical="center"/>
    </xf>
    <xf numFmtId="178" fontId="33" fillId="0" borderId="1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0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7" fillId="0" borderId="24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77" fontId="7" fillId="0" borderId="1" xfId="0" applyNumberFormat="1" applyFont="1" applyBorder="1" applyAlignment="1">
      <alignment horizontal="center"/>
    </xf>
    <xf numFmtId="4" fontId="19" fillId="0" borderId="0" xfId="0" applyNumberFormat="1" applyFont="1"/>
    <xf numFmtId="4" fontId="13" fillId="0" borderId="0" xfId="0" applyNumberFormat="1" applyFont="1"/>
    <xf numFmtId="176" fontId="19" fillId="0" borderId="0" xfId="0" applyNumberFormat="1" applyFont="1" applyAlignment="1">
      <alignment horizontal="center" vertical="center"/>
    </xf>
    <xf numFmtId="181" fontId="38" fillId="0" borderId="1" xfId="0" applyNumberFormat="1" applyFont="1" applyBorder="1" applyAlignment="1">
      <alignment horizontal="center" vertical="center"/>
    </xf>
    <xf numFmtId="185" fontId="3" fillId="0" borderId="6" xfId="0" applyNumberFormat="1" applyFont="1" applyBorder="1" applyAlignment="1">
      <alignment horizontal="center" vertical="center" wrapText="1"/>
    </xf>
    <xf numFmtId="0" fontId="39" fillId="0" borderId="0" xfId="0" applyFont="1"/>
    <xf numFmtId="22" fontId="39" fillId="0" borderId="0" xfId="0" applyNumberFormat="1" applyFont="1"/>
    <xf numFmtId="3" fontId="39" fillId="0" borderId="0" xfId="0" applyNumberFormat="1" applyFont="1"/>
    <xf numFmtId="4" fontId="39" fillId="0" borderId="0" xfId="0" applyNumberFormat="1" applyFont="1"/>
    <xf numFmtId="177" fontId="10" fillId="0" borderId="7" xfId="0" applyNumberFormat="1" applyFont="1" applyBorder="1" applyAlignment="1">
      <alignment horizontal="center" vertical="center"/>
    </xf>
    <xf numFmtId="177" fontId="3" fillId="0" borderId="6" xfId="0" applyNumberFormat="1" applyFont="1" applyBorder="1" applyAlignment="1">
      <alignment horizontal="center" vertical="center" wrapText="1"/>
    </xf>
    <xf numFmtId="176" fontId="26" fillId="3" borderId="10" xfId="0" applyNumberFormat="1" applyFont="1" applyFill="1" applyBorder="1" applyAlignment="1">
      <alignment horizontal="center" vertical="center"/>
    </xf>
    <xf numFmtId="181" fontId="1" fillId="3" borderId="1" xfId="0" applyNumberFormat="1" applyFont="1" applyFill="1" applyBorder="1" applyAlignment="1">
      <alignment horizontal="center" vertical="center"/>
    </xf>
    <xf numFmtId="185" fontId="3" fillId="2" borderId="20" xfId="0" applyNumberFormat="1" applyFont="1" applyFill="1" applyBorder="1" applyAlignment="1">
      <alignment horizontal="center" vertical="center" wrapText="1"/>
    </xf>
    <xf numFmtId="177" fontId="2" fillId="0" borderId="0" xfId="0" applyNumberFormat="1" applyFont="1"/>
    <xf numFmtId="0" fontId="3" fillId="0" borderId="7" xfId="0" applyFont="1" applyBorder="1" applyAlignment="1">
      <alignment horizontal="center" vertical="center" wrapText="1"/>
    </xf>
    <xf numFmtId="0" fontId="20" fillId="3" borderId="0" xfId="0" applyFont="1" applyFill="1"/>
    <xf numFmtId="0" fontId="18" fillId="3" borderId="0" xfId="0" applyFont="1" applyFill="1"/>
    <xf numFmtId="0" fontId="38" fillId="0" borderId="0" xfId="0" applyFont="1"/>
    <xf numFmtId="0" fontId="2" fillId="3" borderId="0" xfId="0" applyFont="1" applyFill="1"/>
    <xf numFmtId="0" fontId="36" fillId="0" borderId="11" xfId="0" applyFont="1" applyBorder="1" applyAlignment="1">
      <alignment horizontal="center" vertical="center"/>
    </xf>
    <xf numFmtId="0" fontId="36" fillId="0" borderId="6" xfId="0" applyFont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179" fontId="3" fillId="0" borderId="6" xfId="0" applyNumberFormat="1" applyFont="1" applyBorder="1" applyAlignment="1">
      <alignment horizontal="center" vertical="center"/>
    </xf>
    <xf numFmtId="186" fontId="13" fillId="0" borderId="0" xfId="0" applyNumberFormat="1" applyFont="1"/>
    <xf numFmtId="186" fontId="19" fillId="0" borderId="0" xfId="0" applyNumberFormat="1" applyFont="1"/>
    <xf numFmtId="182" fontId="26" fillId="3" borderId="10" xfId="0" applyNumberFormat="1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181" fontId="39" fillId="0" borderId="0" xfId="0" applyNumberFormat="1" applyFont="1"/>
    <xf numFmtId="181" fontId="19" fillId="0" borderId="0" xfId="0" applyNumberFormat="1" applyFont="1"/>
    <xf numFmtId="179" fontId="1" fillId="0" borderId="0" xfId="0" applyNumberFormat="1" applyFont="1" applyAlignment="1">
      <alignment horizontal="center" vertical="center"/>
    </xf>
    <xf numFmtId="179" fontId="14" fillId="0" borderId="6" xfId="0" applyNumberFormat="1" applyFont="1" applyBorder="1" applyAlignment="1">
      <alignment horizontal="center" vertical="center" wrapText="1"/>
    </xf>
    <xf numFmtId="179" fontId="4" fillId="0" borderId="1" xfId="0" applyNumberFormat="1" applyFont="1" applyBorder="1" applyAlignment="1">
      <alignment horizontal="center"/>
    </xf>
    <xf numFmtId="179" fontId="15" fillId="0" borderId="11" xfId="0" applyNumberFormat="1" applyFont="1" applyBorder="1" applyAlignment="1">
      <alignment horizontal="center" vertical="center" wrapText="1"/>
    </xf>
    <xf numFmtId="179" fontId="15" fillId="0" borderId="6" xfId="0" applyNumberFormat="1" applyFont="1" applyBorder="1" applyAlignment="1">
      <alignment horizontal="center" vertical="center" wrapText="1"/>
    </xf>
    <xf numFmtId="0" fontId="36" fillId="0" borderId="0" xfId="0" applyFont="1" applyBorder="1" applyAlignment="1">
      <alignment horizontal="center" vertical="center" wrapText="1"/>
    </xf>
    <xf numFmtId="0" fontId="37" fillId="0" borderId="0" xfId="0" applyFont="1" applyBorder="1" applyAlignment="1">
      <alignment horizontal="center" vertical="center"/>
    </xf>
    <xf numFmtId="179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179" fontId="14" fillId="0" borderId="0" xfId="0" applyNumberFormat="1" applyFont="1" applyBorder="1" applyAlignment="1">
      <alignment horizontal="center" vertical="center" wrapText="1"/>
    </xf>
    <xf numFmtId="0" fontId="37" fillId="0" borderId="0" xfId="0" applyFont="1" applyBorder="1" applyAlignment="1">
      <alignment horizontal="center" vertical="center" wrapText="1"/>
    </xf>
    <xf numFmtId="179" fontId="40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77" fontId="0" fillId="0" borderId="1" xfId="0" applyNumberFormat="1" applyBorder="1"/>
    <xf numFmtId="185" fontId="0" fillId="0" borderId="1" xfId="0" applyNumberFormat="1" applyBorder="1"/>
    <xf numFmtId="0" fontId="12" fillId="0" borderId="1" xfId="0" applyFont="1" applyBorder="1" applyAlignment="1">
      <alignment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7" fontId="10" fillId="0" borderId="7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177" fontId="10" fillId="0" borderId="5" xfId="0" applyNumberFormat="1" applyFont="1" applyBorder="1" applyAlignment="1">
      <alignment horizontal="center" vertical="center"/>
    </xf>
    <xf numFmtId="185" fontId="10" fillId="0" borderId="7" xfId="0" applyNumberFormat="1" applyFont="1" applyBorder="1" applyAlignment="1">
      <alignment horizontal="center" vertical="center"/>
    </xf>
    <xf numFmtId="185" fontId="10" fillId="0" borderId="9" xfId="0" applyNumberFormat="1" applyFont="1" applyBorder="1" applyAlignment="1">
      <alignment horizontal="center" vertical="center"/>
    </xf>
    <xf numFmtId="185" fontId="10" fillId="0" borderId="5" xfId="0" applyNumberFormat="1" applyFont="1" applyBorder="1" applyAlignment="1">
      <alignment horizontal="center" vertical="center"/>
    </xf>
    <xf numFmtId="184" fontId="10" fillId="0" borderId="7" xfId="0" applyNumberFormat="1" applyFont="1" applyBorder="1" applyAlignment="1">
      <alignment horizontal="center" vertical="center"/>
    </xf>
    <xf numFmtId="184" fontId="10" fillId="0" borderId="9" xfId="0" applyNumberFormat="1" applyFont="1" applyBorder="1" applyAlignment="1">
      <alignment horizontal="center" vertical="center"/>
    </xf>
    <xf numFmtId="184" fontId="10" fillId="0" borderId="5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0" fillId="0" borderId="2" xfId="0" applyFont="1" applyBorder="1" applyAlignment="1">
      <alignment horizontal="justify" vertical="center"/>
    </xf>
    <xf numFmtId="0" fontId="10" fillId="0" borderId="3" xfId="0" applyFont="1" applyBorder="1" applyAlignment="1">
      <alignment horizontal="justify" vertical="center"/>
    </xf>
    <xf numFmtId="0" fontId="10" fillId="0" borderId="4" xfId="0" applyFont="1" applyBorder="1" applyAlignment="1">
      <alignment horizontal="justify" vertical="center"/>
    </xf>
    <xf numFmtId="0" fontId="15" fillId="0" borderId="7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3" fillId="0" borderId="12" xfId="0" applyFont="1" applyBorder="1" applyAlignment="1">
      <alignment horizontal="justify" vertical="center"/>
    </xf>
    <xf numFmtId="0" fontId="3" fillId="0" borderId="13" xfId="0" applyFont="1" applyBorder="1" applyAlignment="1">
      <alignment horizontal="justify" vertical="center"/>
    </xf>
    <xf numFmtId="0" fontId="3" fillId="0" borderId="11" xfId="0" applyFont="1" applyBorder="1" applyAlignment="1">
      <alignment horizontal="justify" vertical="center"/>
    </xf>
    <xf numFmtId="0" fontId="14" fillId="0" borderId="14" xfId="0" applyFont="1" applyBorder="1" applyAlignment="1">
      <alignment horizontal="justify" vertical="center"/>
    </xf>
    <xf numFmtId="0" fontId="14" fillId="0" borderId="15" xfId="0" applyFont="1" applyBorder="1" applyAlignment="1">
      <alignment horizontal="justify" vertical="center"/>
    </xf>
    <xf numFmtId="0" fontId="14" fillId="0" borderId="6" xfId="0" applyFont="1" applyBorder="1" applyAlignment="1">
      <alignment horizontal="justify" vertical="center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30" fillId="0" borderId="21" xfId="0" applyFont="1" applyBorder="1" applyAlignment="1">
      <alignment horizontal="center" vertical="center" wrapText="1"/>
    </xf>
    <xf numFmtId="0" fontId="30" fillId="0" borderId="2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179" fontId="33" fillId="0" borderId="1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9" fontId="10" fillId="0" borderId="7" xfId="0" applyNumberFormat="1" applyFont="1" applyBorder="1" applyAlignment="1">
      <alignment horizontal="center" vertical="center"/>
    </xf>
    <xf numFmtId="9" fontId="10" fillId="0" borderId="9" xfId="0" applyNumberFormat="1" applyFont="1" applyBorder="1" applyAlignment="1">
      <alignment horizontal="center" vertical="center"/>
    </xf>
    <xf numFmtId="9" fontId="10" fillId="0" borderId="5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177" fontId="3" fillId="3" borderId="21" xfId="0" applyNumberFormat="1" applyFont="1" applyFill="1" applyBorder="1" applyAlignment="1">
      <alignment horizontal="center" vertical="center"/>
    </xf>
    <xf numFmtId="177" fontId="3" fillId="3" borderId="23" xfId="0" applyNumberFormat="1" applyFont="1" applyFill="1" applyBorder="1" applyAlignment="1">
      <alignment horizontal="center" vertical="center"/>
    </xf>
    <xf numFmtId="177" fontId="3" fillId="3" borderId="22" xfId="0" applyNumberFormat="1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177" fontId="3" fillId="0" borderId="7" xfId="0" applyNumberFormat="1" applyFont="1" applyBorder="1" applyAlignment="1">
      <alignment horizontal="center" vertical="center"/>
    </xf>
    <xf numFmtId="177" fontId="3" fillId="0" borderId="9" xfId="0" applyNumberFormat="1" applyFont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184" fontId="3" fillId="0" borderId="7" xfId="0" applyNumberFormat="1" applyFont="1" applyBorder="1" applyAlignment="1">
      <alignment horizontal="center" vertical="center"/>
    </xf>
    <xf numFmtId="184" fontId="3" fillId="0" borderId="9" xfId="0" applyNumberFormat="1" applyFont="1" applyBorder="1" applyAlignment="1">
      <alignment horizontal="center" vertical="center"/>
    </xf>
    <xf numFmtId="184" fontId="3" fillId="0" borderId="5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6" fillId="0" borderId="7" xfId="0" applyFont="1" applyBorder="1" applyAlignment="1">
      <alignment horizontal="center" vertical="center" wrapText="1"/>
    </xf>
    <xf numFmtId="0" fontId="36" fillId="0" borderId="5" xfId="0" applyFont="1" applyBorder="1" applyAlignment="1">
      <alignment horizontal="center" vertical="center" wrapText="1"/>
    </xf>
    <xf numFmtId="0" fontId="37" fillId="0" borderId="7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179" fontId="36" fillId="0" borderId="7" xfId="0" applyNumberFormat="1" applyFont="1" applyBorder="1" applyAlignment="1">
      <alignment horizontal="center" vertical="center" wrapText="1"/>
    </xf>
    <xf numFmtId="179" fontId="36" fillId="0" borderId="5" xfId="0" applyNumberFormat="1" applyFont="1" applyBorder="1" applyAlignment="1">
      <alignment horizontal="center" vertical="center" wrapText="1"/>
    </xf>
    <xf numFmtId="0" fontId="36" fillId="0" borderId="9" xfId="0" applyFont="1" applyBorder="1" applyAlignment="1">
      <alignment horizontal="center" vertical="center" wrapText="1"/>
    </xf>
    <xf numFmtId="0" fontId="37" fillId="0" borderId="7" xfId="0" applyFont="1" applyBorder="1" applyAlignment="1">
      <alignment horizontal="center" vertical="center" wrapText="1"/>
    </xf>
    <xf numFmtId="0" fontId="37" fillId="0" borderId="9" xfId="0" applyFont="1" applyBorder="1" applyAlignment="1">
      <alignment horizontal="center" vertical="center" wrapText="1"/>
    </xf>
    <xf numFmtId="0" fontId="37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7" fillId="0" borderId="24" xfId="0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0" fillId="0" borderId="1" xfId="0" applyFont="1" applyBorder="1" applyAlignment="1">
      <alignment horizontal="justify" vertical="center" wrapText="1"/>
    </xf>
    <xf numFmtId="0" fontId="1" fillId="0" borderId="10" xfId="0" applyFont="1" applyBorder="1" applyAlignment="1">
      <alignment horizontal="center" vertical="center"/>
    </xf>
    <xf numFmtId="184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 cmpd="sng" algn="ctr">
              <a:noFill/>
              <a:prstDash val="solid"/>
              <a:round/>
            </a:ln>
            <a:effectLst/>
          </c:spPr>
          <c:marker>
            <c:spPr>
              <a:solidFill>
                <a:schemeClr val="tx1"/>
              </a:solidFill>
              <a:ln w="9525" cap="flat" cmpd="sng" algn="ctr">
                <a:solidFill>
                  <a:schemeClr val="dk1">
                    <a:tint val="885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检测限与定量限!$C$48:$G$48</c:f>
              <c:numCache>
                <c:formatCode>General</c:formatCode>
                <c:ptCount val="5"/>
                <c:pt idx="0">
                  <c:v>2.5299999999999998</c:v>
                </c:pt>
                <c:pt idx="1">
                  <c:v>12.67</c:v>
                </c:pt>
                <c:pt idx="2">
                  <c:v>25.34</c:v>
                </c:pt>
                <c:pt idx="3">
                  <c:v>38.01</c:v>
                </c:pt>
                <c:pt idx="4">
                  <c:v>50.68</c:v>
                </c:pt>
              </c:numCache>
            </c:numRef>
          </c:xVal>
          <c:yVal>
            <c:numRef>
              <c:f>检测限与定量限!$C$51:$G$51</c:f>
              <c:numCache>
                <c:formatCode>General</c:formatCode>
                <c:ptCount val="5"/>
                <c:pt idx="0">
                  <c:v>-224</c:v>
                </c:pt>
                <c:pt idx="1">
                  <c:v>6172</c:v>
                </c:pt>
                <c:pt idx="2">
                  <c:v>7720</c:v>
                </c:pt>
                <c:pt idx="3">
                  <c:v>-9325</c:v>
                </c:pt>
                <c:pt idx="4">
                  <c:v>-23215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3C8-4254-9FAA-3CAEC934C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301568"/>
        <c:axId val="220303744"/>
      </c:scatterChart>
      <c:valAx>
        <c:axId val="220301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zh-CN" altLang="en-US">
                    <a:latin typeface="Times New Roman" pitchFamily="18" charset="0"/>
                    <a:cs typeface="Times New Roman" pitchFamily="18" charset="0"/>
                  </a:rPr>
                  <a:t>浓度（</a:t>
                </a:r>
                <a:r>
                  <a:rPr lang="en-US" altLang="zh-CN">
                    <a:latin typeface="Times New Roman" pitchFamily="18" charset="0"/>
                    <a:cs typeface="Times New Roman" pitchFamily="18" charset="0"/>
                  </a:rPr>
                  <a:t>ng/ml</a:t>
                </a:r>
                <a:r>
                  <a:rPr lang="zh-CN" altLang="en-US">
                    <a:latin typeface="Times New Roman" pitchFamily="18" charset="0"/>
                    <a:cs typeface="Times New Roman" pitchFamily="18" charset="0"/>
                  </a:rPr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itchFamily="18" charset="0"/>
                <a:ea typeface="+mn-ea"/>
                <a:cs typeface="Times New Roman" pitchFamily="18" charset="0"/>
              </a:defRPr>
            </a:pPr>
            <a:endParaRPr lang="zh-CN"/>
          </a:p>
        </c:txPr>
        <c:crossAx val="220303744"/>
        <c:crosses val="autoZero"/>
        <c:crossBetween val="midCat"/>
      </c:valAx>
      <c:valAx>
        <c:axId val="220303744"/>
        <c:scaling>
          <c:orientation val="minMax"/>
        </c:scaling>
        <c:delete val="0"/>
        <c:axPos val="l"/>
        <c:majorGridlines>
          <c:spPr>
            <a:ln w="0" cap="flat" cmpd="sng" algn="ctr">
              <a:noFill/>
              <a:prstDash val="solid"/>
              <a:round/>
            </a:ln>
            <a:effectLst>
              <a:outerShdw blurRad="50800" dist="50800" dir="5400000" algn="ctr" rotWithShape="0">
                <a:schemeClr val="bg1">
                  <a:lumMod val="85000"/>
                </a:schemeClr>
              </a:outerShdw>
            </a:effectLst>
          </c:spPr>
        </c:majorGridlines>
        <c:title>
          <c:tx>
            <c:rich>
              <a:bodyPr rot="0" spcFirstLastPara="1" vertOverflow="ellipsis" vert="wordArtVert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残差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itchFamily="18" charset="0"/>
                <a:ea typeface="+mn-ea"/>
                <a:cs typeface="Times New Roman" pitchFamily="18" charset="0"/>
              </a:defRPr>
            </a:pPr>
            <a:endParaRPr lang="zh-CN"/>
          </a:p>
        </c:txPr>
        <c:crossAx val="220301568"/>
        <c:crosses val="autoZero"/>
        <c:crossBetween val="midCat"/>
      </c:valAx>
      <c:spPr>
        <a:solidFill>
          <a:sysClr val="window" lastClr="FFFFFF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 cmpd="sng" algn="ctr">
              <a:noFill/>
              <a:prstDash val="solid"/>
              <a:round/>
            </a:ln>
            <a:effectLst/>
          </c:spPr>
          <c:marker>
            <c:spPr>
              <a:solidFill>
                <a:schemeClr val="tx1"/>
              </a:solidFill>
              <a:ln w="9525" cap="flat" cmpd="sng" algn="ctr">
                <a:solidFill>
                  <a:schemeClr val="dk1">
                    <a:tint val="885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检测限与定量限!$C$79:$G$79</c:f>
              <c:numCache>
                <c:formatCode>General</c:formatCode>
                <c:ptCount val="5"/>
                <c:pt idx="0">
                  <c:v>2.56</c:v>
                </c:pt>
                <c:pt idx="1">
                  <c:v>12.81</c:v>
                </c:pt>
                <c:pt idx="2">
                  <c:v>25.62</c:v>
                </c:pt>
                <c:pt idx="3">
                  <c:v>38.44</c:v>
                </c:pt>
                <c:pt idx="4">
                  <c:v>51.25</c:v>
                </c:pt>
              </c:numCache>
            </c:numRef>
          </c:xVal>
          <c:yVal>
            <c:numRef>
              <c:f>检测限与定量限!$C$82:$G$82</c:f>
              <c:numCache>
                <c:formatCode>General</c:formatCode>
                <c:ptCount val="5"/>
                <c:pt idx="0">
                  <c:v>-511</c:v>
                </c:pt>
                <c:pt idx="1">
                  <c:v>19426</c:v>
                </c:pt>
                <c:pt idx="2">
                  <c:v>-18916</c:v>
                </c:pt>
                <c:pt idx="3">
                  <c:v>-3406</c:v>
                </c:pt>
                <c:pt idx="4">
                  <c:v>-25217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03F-4BD5-891A-80A088F59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238592"/>
        <c:axId val="220240512"/>
      </c:scatterChart>
      <c:valAx>
        <c:axId val="220238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zh-CN" altLang="en-US">
                    <a:latin typeface="Times New Roman" pitchFamily="18" charset="0"/>
                    <a:cs typeface="Times New Roman" pitchFamily="18" charset="0"/>
                  </a:rPr>
                  <a:t>浓度（</a:t>
                </a:r>
                <a:r>
                  <a:rPr lang="en-US" altLang="zh-CN">
                    <a:latin typeface="Times New Roman" pitchFamily="18" charset="0"/>
                    <a:cs typeface="Times New Roman" pitchFamily="18" charset="0"/>
                  </a:rPr>
                  <a:t>ng/ml</a:t>
                </a:r>
                <a:r>
                  <a:rPr lang="zh-CN" altLang="en-US">
                    <a:latin typeface="Times New Roman" pitchFamily="18" charset="0"/>
                    <a:cs typeface="Times New Roman" pitchFamily="18" charset="0"/>
                  </a:rPr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itchFamily="18" charset="0"/>
                <a:ea typeface="+mn-ea"/>
                <a:cs typeface="Times New Roman" pitchFamily="18" charset="0"/>
              </a:defRPr>
            </a:pPr>
            <a:endParaRPr lang="zh-CN"/>
          </a:p>
        </c:txPr>
        <c:crossAx val="220240512"/>
        <c:crosses val="autoZero"/>
        <c:crossBetween val="midCat"/>
      </c:valAx>
      <c:valAx>
        <c:axId val="220240512"/>
        <c:scaling>
          <c:orientation val="minMax"/>
        </c:scaling>
        <c:delete val="0"/>
        <c:axPos val="l"/>
        <c:majorGridlines>
          <c:spPr>
            <a:ln w="0" cap="flat" cmpd="sng" algn="ctr">
              <a:noFill/>
              <a:prstDash val="solid"/>
              <a:round/>
            </a:ln>
            <a:effectLst>
              <a:outerShdw blurRad="50800" dist="50800" dir="5400000" algn="ctr" rotWithShape="0">
                <a:schemeClr val="bg1">
                  <a:lumMod val="85000"/>
                </a:schemeClr>
              </a:outerShdw>
            </a:effectLst>
          </c:spPr>
        </c:majorGridlines>
        <c:title>
          <c:tx>
            <c:rich>
              <a:bodyPr rot="0" spcFirstLastPara="1" vertOverflow="ellipsis" vert="wordArtVert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残差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itchFamily="18" charset="0"/>
                <a:ea typeface="+mn-ea"/>
                <a:cs typeface="Times New Roman" pitchFamily="18" charset="0"/>
              </a:defRPr>
            </a:pPr>
            <a:endParaRPr lang="zh-CN"/>
          </a:p>
        </c:txPr>
        <c:crossAx val="220238592"/>
        <c:crosses val="autoZero"/>
        <c:crossBetween val="midCat"/>
      </c:valAx>
      <c:spPr>
        <a:solidFill>
          <a:sysClr val="window" lastClr="FFFFFF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 cmpd="sng" algn="ctr">
              <a:noFill/>
              <a:prstDash val="solid"/>
              <a:round/>
            </a:ln>
            <a:effectLst/>
          </c:spPr>
          <c:marker>
            <c:spPr>
              <a:solidFill>
                <a:schemeClr val="tx1"/>
              </a:solidFill>
              <a:ln w="9525" cap="flat" cmpd="sng" algn="ctr">
                <a:solidFill>
                  <a:schemeClr val="dk1">
                    <a:tint val="885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检测限与定量限!$C$110:$G$110</c:f>
              <c:numCache>
                <c:formatCode>General</c:formatCode>
                <c:ptCount val="5"/>
                <c:pt idx="0">
                  <c:v>2.5499999999999998</c:v>
                </c:pt>
                <c:pt idx="1">
                  <c:v>12.73</c:v>
                </c:pt>
                <c:pt idx="2">
                  <c:v>25.45</c:v>
                </c:pt>
                <c:pt idx="3">
                  <c:v>38.18</c:v>
                </c:pt>
                <c:pt idx="4">
                  <c:v>50.9</c:v>
                </c:pt>
              </c:numCache>
            </c:numRef>
          </c:xVal>
          <c:yVal>
            <c:numRef>
              <c:f>检测限与定量限!$C$113:$G$113</c:f>
              <c:numCache>
                <c:formatCode>General</c:formatCode>
                <c:ptCount val="5"/>
                <c:pt idx="0">
                  <c:v>-9</c:v>
                </c:pt>
                <c:pt idx="1">
                  <c:v>-1407</c:v>
                </c:pt>
                <c:pt idx="2">
                  <c:v>10548</c:v>
                </c:pt>
                <c:pt idx="3">
                  <c:v>-1955</c:v>
                </c:pt>
                <c:pt idx="4">
                  <c:v>-12692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CD6-467E-A008-0C274F658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261376"/>
        <c:axId val="221328512"/>
      </c:scatterChart>
      <c:valAx>
        <c:axId val="220261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zh-CN" altLang="en-US">
                    <a:latin typeface="Times New Roman" pitchFamily="18" charset="0"/>
                    <a:cs typeface="Times New Roman" pitchFamily="18" charset="0"/>
                  </a:rPr>
                  <a:t>浓度（</a:t>
                </a:r>
                <a:r>
                  <a:rPr lang="en-US" altLang="zh-CN">
                    <a:latin typeface="Times New Roman" pitchFamily="18" charset="0"/>
                    <a:cs typeface="Times New Roman" pitchFamily="18" charset="0"/>
                  </a:rPr>
                  <a:t>ng/ml</a:t>
                </a:r>
                <a:r>
                  <a:rPr lang="zh-CN" altLang="en-US">
                    <a:latin typeface="Times New Roman" pitchFamily="18" charset="0"/>
                    <a:cs typeface="Times New Roman" pitchFamily="18" charset="0"/>
                  </a:rPr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itchFamily="18" charset="0"/>
                <a:ea typeface="+mn-ea"/>
                <a:cs typeface="Times New Roman" pitchFamily="18" charset="0"/>
              </a:defRPr>
            </a:pPr>
            <a:endParaRPr lang="zh-CN"/>
          </a:p>
        </c:txPr>
        <c:crossAx val="221328512"/>
        <c:crosses val="autoZero"/>
        <c:crossBetween val="midCat"/>
      </c:valAx>
      <c:valAx>
        <c:axId val="221328512"/>
        <c:scaling>
          <c:orientation val="minMax"/>
        </c:scaling>
        <c:delete val="0"/>
        <c:axPos val="l"/>
        <c:majorGridlines>
          <c:spPr>
            <a:ln w="0" cap="flat" cmpd="sng" algn="ctr">
              <a:noFill/>
              <a:prstDash val="solid"/>
              <a:round/>
            </a:ln>
            <a:effectLst>
              <a:outerShdw blurRad="50800" dist="50800" dir="5400000" algn="ctr" rotWithShape="0">
                <a:schemeClr val="bg1">
                  <a:lumMod val="85000"/>
                </a:schemeClr>
              </a:outerShdw>
            </a:effectLst>
          </c:spPr>
        </c:majorGridlines>
        <c:title>
          <c:tx>
            <c:rich>
              <a:bodyPr rot="0" spcFirstLastPara="1" vertOverflow="ellipsis" vert="wordArtVert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残差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itchFamily="18" charset="0"/>
                <a:ea typeface="+mn-ea"/>
                <a:cs typeface="Times New Roman" pitchFamily="18" charset="0"/>
              </a:defRPr>
            </a:pPr>
            <a:endParaRPr lang="zh-CN"/>
          </a:p>
        </c:txPr>
        <c:crossAx val="220261376"/>
        <c:crosses val="autoZero"/>
        <c:crossBetween val="midCat"/>
      </c:valAx>
      <c:spPr>
        <a:solidFill>
          <a:sysClr val="window" lastClr="FFFFFF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 cmpd="sng" algn="ctr">
              <a:noFill/>
              <a:prstDash val="solid"/>
              <a:round/>
            </a:ln>
            <a:effectLst/>
          </c:spPr>
          <c:marker>
            <c:spPr>
              <a:solidFill>
                <a:schemeClr val="tx1"/>
              </a:solidFill>
              <a:ln w="9525" cap="flat" cmpd="sng" algn="ctr">
                <a:solidFill>
                  <a:schemeClr val="dk1">
                    <a:tint val="885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检测限与定量限!$C$152:$G$152</c:f>
              <c:numCache>
                <c:formatCode>General</c:formatCode>
                <c:ptCount val="5"/>
                <c:pt idx="0">
                  <c:v>2.5099999999999998</c:v>
                </c:pt>
                <c:pt idx="1">
                  <c:v>12.57</c:v>
                </c:pt>
                <c:pt idx="2">
                  <c:v>25.14</c:v>
                </c:pt>
                <c:pt idx="3">
                  <c:v>37.71</c:v>
                </c:pt>
                <c:pt idx="4">
                  <c:v>50.28</c:v>
                </c:pt>
              </c:numCache>
            </c:numRef>
          </c:xVal>
          <c:yVal>
            <c:numRef>
              <c:f>检测限与定量限!$C$155:$G$155</c:f>
              <c:numCache>
                <c:formatCode>General</c:formatCode>
                <c:ptCount val="5"/>
                <c:pt idx="0">
                  <c:v>-229</c:v>
                </c:pt>
                <c:pt idx="1">
                  <c:v>5709</c:v>
                </c:pt>
                <c:pt idx="2">
                  <c:v>11250</c:v>
                </c:pt>
                <c:pt idx="3">
                  <c:v>-7989</c:v>
                </c:pt>
                <c:pt idx="4">
                  <c:v>-30079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3C8-4254-9FAA-3CAEC934C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374336"/>
        <c:axId val="221388800"/>
      </c:scatterChart>
      <c:valAx>
        <c:axId val="221374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zh-CN" altLang="en-US">
                    <a:latin typeface="Times New Roman" pitchFamily="18" charset="0"/>
                    <a:cs typeface="Times New Roman" pitchFamily="18" charset="0"/>
                  </a:rPr>
                  <a:t>浓度（</a:t>
                </a:r>
                <a:r>
                  <a:rPr lang="en-US" altLang="zh-CN">
                    <a:latin typeface="Times New Roman" pitchFamily="18" charset="0"/>
                    <a:cs typeface="Times New Roman" pitchFamily="18" charset="0"/>
                  </a:rPr>
                  <a:t>ng/ml</a:t>
                </a:r>
                <a:r>
                  <a:rPr lang="zh-CN" altLang="en-US">
                    <a:latin typeface="Times New Roman" pitchFamily="18" charset="0"/>
                    <a:cs typeface="Times New Roman" pitchFamily="18" charset="0"/>
                  </a:rPr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itchFamily="18" charset="0"/>
                <a:ea typeface="+mn-ea"/>
                <a:cs typeface="Times New Roman" pitchFamily="18" charset="0"/>
              </a:defRPr>
            </a:pPr>
            <a:endParaRPr lang="zh-CN"/>
          </a:p>
        </c:txPr>
        <c:crossAx val="221388800"/>
        <c:crosses val="autoZero"/>
        <c:crossBetween val="midCat"/>
      </c:valAx>
      <c:valAx>
        <c:axId val="221388800"/>
        <c:scaling>
          <c:orientation val="minMax"/>
        </c:scaling>
        <c:delete val="0"/>
        <c:axPos val="l"/>
        <c:majorGridlines>
          <c:spPr>
            <a:ln w="0" cap="flat" cmpd="sng" algn="ctr">
              <a:noFill/>
              <a:prstDash val="solid"/>
              <a:round/>
            </a:ln>
            <a:effectLst>
              <a:outerShdw blurRad="50800" dist="50800" dir="5400000" algn="ctr" rotWithShape="0">
                <a:schemeClr val="bg1">
                  <a:lumMod val="85000"/>
                </a:schemeClr>
              </a:outerShdw>
            </a:effectLst>
          </c:spPr>
        </c:majorGridlines>
        <c:title>
          <c:tx>
            <c:rich>
              <a:bodyPr rot="0" spcFirstLastPara="1" vertOverflow="ellipsis" vert="wordArtVert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残差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itchFamily="18" charset="0"/>
                <a:ea typeface="+mn-ea"/>
                <a:cs typeface="Times New Roman" pitchFamily="18" charset="0"/>
              </a:defRPr>
            </a:pPr>
            <a:endParaRPr lang="zh-CN"/>
          </a:p>
        </c:txPr>
        <c:crossAx val="221374336"/>
        <c:crosses val="autoZero"/>
        <c:crossBetween val="midCat"/>
      </c:valAx>
      <c:spPr>
        <a:solidFill>
          <a:sysClr val="window" lastClr="FFFFFF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 cmpd="sng" algn="ctr">
              <a:noFill/>
              <a:prstDash val="solid"/>
              <a:round/>
            </a:ln>
            <a:effectLst/>
          </c:spPr>
          <c:marker>
            <c:spPr>
              <a:solidFill>
                <a:schemeClr val="tx1"/>
              </a:solidFill>
              <a:ln w="9525" cap="flat" cmpd="sng" algn="ctr">
                <a:solidFill>
                  <a:schemeClr val="dk1">
                    <a:tint val="885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检测限与定量限!$C$183:$G$183</c:f>
              <c:numCache>
                <c:formatCode>General</c:formatCode>
                <c:ptCount val="5"/>
                <c:pt idx="0">
                  <c:v>2.5299999999999998</c:v>
                </c:pt>
                <c:pt idx="1">
                  <c:v>12.67</c:v>
                </c:pt>
                <c:pt idx="2">
                  <c:v>25.34</c:v>
                </c:pt>
                <c:pt idx="3">
                  <c:v>38.01</c:v>
                </c:pt>
                <c:pt idx="4">
                  <c:v>50.68</c:v>
                </c:pt>
              </c:numCache>
            </c:numRef>
          </c:xVal>
          <c:yVal>
            <c:numRef>
              <c:f>检测限与定量限!$C$186:$G$186</c:f>
              <c:numCache>
                <c:formatCode>General</c:formatCode>
                <c:ptCount val="5"/>
                <c:pt idx="0">
                  <c:v>-385</c:v>
                </c:pt>
                <c:pt idx="1">
                  <c:v>9216</c:v>
                </c:pt>
                <c:pt idx="2">
                  <c:v>17363</c:v>
                </c:pt>
                <c:pt idx="3">
                  <c:v>1408</c:v>
                </c:pt>
                <c:pt idx="4">
                  <c:v>-65884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03F-4BD5-891A-80A088F59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419776"/>
        <c:axId val="221430144"/>
      </c:scatterChart>
      <c:valAx>
        <c:axId val="221419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zh-CN" altLang="en-US">
                    <a:latin typeface="Times New Roman" pitchFamily="18" charset="0"/>
                    <a:cs typeface="Times New Roman" pitchFamily="18" charset="0"/>
                  </a:rPr>
                  <a:t>浓度（</a:t>
                </a:r>
                <a:r>
                  <a:rPr lang="en-US" altLang="zh-CN">
                    <a:latin typeface="Times New Roman" pitchFamily="18" charset="0"/>
                    <a:cs typeface="Times New Roman" pitchFamily="18" charset="0"/>
                  </a:rPr>
                  <a:t>ng/ml</a:t>
                </a:r>
                <a:r>
                  <a:rPr lang="zh-CN" altLang="en-US">
                    <a:latin typeface="Times New Roman" pitchFamily="18" charset="0"/>
                    <a:cs typeface="Times New Roman" pitchFamily="18" charset="0"/>
                  </a:rPr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itchFamily="18" charset="0"/>
                <a:ea typeface="+mn-ea"/>
                <a:cs typeface="Times New Roman" pitchFamily="18" charset="0"/>
              </a:defRPr>
            </a:pPr>
            <a:endParaRPr lang="zh-CN"/>
          </a:p>
        </c:txPr>
        <c:crossAx val="221430144"/>
        <c:crosses val="autoZero"/>
        <c:crossBetween val="midCat"/>
      </c:valAx>
      <c:valAx>
        <c:axId val="221430144"/>
        <c:scaling>
          <c:orientation val="minMax"/>
        </c:scaling>
        <c:delete val="0"/>
        <c:axPos val="l"/>
        <c:majorGridlines>
          <c:spPr>
            <a:ln w="0" cap="flat" cmpd="sng" algn="ctr">
              <a:noFill/>
              <a:prstDash val="solid"/>
              <a:round/>
            </a:ln>
            <a:effectLst>
              <a:outerShdw blurRad="50800" dist="50800" dir="5400000" algn="ctr" rotWithShape="0">
                <a:schemeClr val="bg1">
                  <a:lumMod val="85000"/>
                </a:schemeClr>
              </a:outerShdw>
            </a:effectLst>
          </c:spPr>
        </c:majorGridlines>
        <c:title>
          <c:tx>
            <c:rich>
              <a:bodyPr rot="0" spcFirstLastPara="1" vertOverflow="ellipsis" vert="wordArtVert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残差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itchFamily="18" charset="0"/>
                <a:ea typeface="+mn-ea"/>
                <a:cs typeface="Times New Roman" pitchFamily="18" charset="0"/>
              </a:defRPr>
            </a:pPr>
            <a:endParaRPr lang="zh-CN"/>
          </a:p>
        </c:txPr>
        <c:crossAx val="221419776"/>
        <c:crosses val="autoZero"/>
        <c:crossBetween val="midCat"/>
      </c:valAx>
      <c:spPr>
        <a:solidFill>
          <a:sysClr val="window" lastClr="FFFFFF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 cmpd="sng" algn="ctr">
              <a:noFill/>
              <a:prstDash val="solid"/>
              <a:round/>
            </a:ln>
            <a:effectLst/>
          </c:spPr>
          <c:marker>
            <c:spPr>
              <a:solidFill>
                <a:schemeClr val="tx1"/>
              </a:solidFill>
              <a:ln w="9525" cap="flat" cmpd="sng" algn="ctr">
                <a:solidFill>
                  <a:schemeClr val="dk1">
                    <a:tint val="885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检测限与定量限!$C$214:$G$214</c:f>
              <c:numCache>
                <c:formatCode>General</c:formatCode>
                <c:ptCount val="5"/>
                <c:pt idx="0">
                  <c:v>2.5299999999999998</c:v>
                </c:pt>
                <c:pt idx="1">
                  <c:v>12.63</c:v>
                </c:pt>
                <c:pt idx="2">
                  <c:v>25.26</c:v>
                </c:pt>
                <c:pt idx="3">
                  <c:v>37.9</c:v>
                </c:pt>
                <c:pt idx="4">
                  <c:v>50.53</c:v>
                </c:pt>
              </c:numCache>
            </c:numRef>
          </c:xVal>
          <c:yVal>
            <c:numRef>
              <c:f>检测限与定量限!$C$217:$G$217</c:f>
              <c:numCache>
                <c:formatCode>General</c:formatCode>
                <c:ptCount val="5"/>
                <c:pt idx="0">
                  <c:v>-195</c:v>
                </c:pt>
                <c:pt idx="1">
                  <c:v>4456</c:v>
                </c:pt>
                <c:pt idx="2">
                  <c:v>11420</c:v>
                </c:pt>
                <c:pt idx="3">
                  <c:v>-4757</c:v>
                </c:pt>
                <c:pt idx="4">
                  <c:v>-30410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CD6-467E-A008-0C274F658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127424"/>
        <c:axId val="221129344"/>
      </c:scatterChart>
      <c:valAx>
        <c:axId val="221127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itchFamily="18" charset="0"/>
                    <a:ea typeface="+mn-ea"/>
                    <a:cs typeface="Times New Roman" pitchFamily="18" charset="0"/>
                  </a:defRPr>
                </a:pPr>
                <a:r>
                  <a:rPr lang="zh-CN" altLang="en-US">
                    <a:latin typeface="Times New Roman" pitchFamily="18" charset="0"/>
                    <a:cs typeface="Times New Roman" pitchFamily="18" charset="0"/>
                  </a:rPr>
                  <a:t>浓度（</a:t>
                </a:r>
                <a:r>
                  <a:rPr lang="en-US" altLang="zh-CN">
                    <a:latin typeface="Times New Roman" pitchFamily="18" charset="0"/>
                    <a:cs typeface="Times New Roman" pitchFamily="18" charset="0"/>
                  </a:rPr>
                  <a:t>ng/ml</a:t>
                </a:r>
                <a:r>
                  <a:rPr lang="zh-CN" altLang="en-US">
                    <a:latin typeface="Times New Roman" pitchFamily="18" charset="0"/>
                    <a:cs typeface="Times New Roman" pitchFamily="18" charset="0"/>
                  </a:rPr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itchFamily="18" charset="0"/>
                <a:ea typeface="+mn-ea"/>
                <a:cs typeface="Times New Roman" pitchFamily="18" charset="0"/>
              </a:defRPr>
            </a:pPr>
            <a:endParaRPr lang="zh-CN"/>
          </a:p>
        </c:txPr>
        <c:crossAx val="221129344"/>
        <c:crosses val="autoZero"/>
        <c:crossBetween val="midCat"/>
      </c:valAx>
      <c:valAx>
        <c:axId val="221129344"/>
        <c:scaling>
          <c:orientation val="minMax"/>
        </c:scaling>
        <c:delete val="0"/>
        <c:axPos val="l"/>
        <c:majorGridlines>
          <c:spPr>
            <a:ln w="0" cap="flat" cmpd="sng" algn="ctr">
              <a:noFill/>
              <a:prstDash val="solid"/>
              <a:round/>
            </a:ln>
            <a:effectLst>
              <a:outerShdw blurRad="50800" dist="50800" dir="5400000" algn="ctr" rotWithShape="0">
                <a:schemeClr val="bg1">
                  <a:lumMod val="85000"/>
                </a:schemeClr>
              </a:outerShdw>
            </a:effectLst>
          </c:spPr>
        </c:majorGridlines>
        <c:title>
          <c:tx>
            <c:rich>
              <a:bodyPr rot="0" spcFirstLastPara="1" vertOverflow="ellipsis" vert="wordArtVert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残差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itchFamily="18" charset="0"/>
                <a:ea typeface="+mn-ea"/>
                <a:cs typeface="Times New Roman" pitchFamily="18" charset="0"/>
              </a:defRPr>
            </a:pPr>
            <a:endParaRPr lang="zh-CN"/>
          </a:p>
        </c:txPr>
        <c:crossAx val="221127424"/>
        <c:crosses val="autoZero"/>
        <c:crossBetween val="midCat"/>
      </c:valAx>
      <c:spPr>
        <a:solidFill>
          <a:sysClr val="window" lastClr="FFFFFF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chart" Target="../charts/chart3.xml"/><Relationship Id="rId7" Type="http://schemas.openxmlformats.org/officeDocument/2006/relationships/chart" Target="../charts/chart4.xml"/><Relationship Id="rId12" Type="http://schemas.openxmlformats.org/officeDocument/2006/relationships/image" Target="../media/image6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11" Type="http://schemas.openxmlformats.org/officeDocument/2006/relationships/image" Target="../media/image5.png"/><Relationship Id="rId5" Type="http://schemas.openxmlformats.org/officeDocument/2006/relationships/image" Target="../media/image2.png"/><Relationship Id="rId10" Type="http://schemas.openxmlformats.org/officeDocument/2006/relationships/image" Target="../media/image4.png"/><Relationship Id="rId4" Type="http://schemas.openxmlformats.org/officeDocument/2006/relationships/image" Target="../media/image1.png"/><Relationship Id="rId9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419100</xdr:colOff>
      <xdr:row>47</xdr:row>
      <xdr:rowOff>165100</xdr:rowOff>
    </xdr:from>
    <xdr:to>
      <xdr:col>11</xdr:col>
      <xdr:colOff>492125</xdr:colOff>
      <xdr:row>57</xdr:row>
      <xdr:rowOff>685800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9EB35108-33D1-423E-BD09-B9DE53E5EF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79</xdr:row>
      <xdr:rowOff>0</xdr:rowOff>
    </xdr:from>
    <xdr:to>
      <xdr:col>12</xdr:col>
      <xdr:colOff>73025</xdr:colOff>
      <xdr:row>89</xdr:row>
      <xdr:rowOff>31750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xmlns="" id="{FAAF6D9E-16E9-4BD2-A7A5-EA3167ECB3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419100</xdr:colOff>
      <xdr:row>109</xdr:row>
      <xdr:rowOff>165100</xdr:rowOff>
    </xdr:from>
    <xdr:to>
      <xdr:col>11</xdr:col>
      <xdr:colOff>492125</xdr:colOff>
      <xdr:row>119</xdr:row>
      <xdr:rowOff>685800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xmlns="" id="{B4082140-C100-4210-9847-B9E5FE81AF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0</xdr:colOff>
      <xdr:row>61</xdr:row>
      <xdr:rowOff>0</xdr:rowOff>
    </xdr:from>
    <xdr:to>
      <xdr:col>4</xdr:col>
      <xdr:colOff>814705</xdr:colOff>
      <xdr:row>72</xdr:row>
      <xdr:rowOff>64770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xmlns="" id="{00000000-0008-0000-0200-00000A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52925" y="12915900"/>
          <a:ext cx="2033905" cy="195072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93</xdr:row>
      <xdr:rowOff>0</xdr:rowOff>
    </xdr:from>
    <xdr:to>
      <xdr:col>4</xdr:col>
      <xdr:colOff>785495</xdr:colOff>
      <xdr:row>104</xdr:row>
      <xdr:rowOff>72390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xmlns="" id="{00000000-0008-0000-0200-00000B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52925" y="19783425"/>
          <a:ext cx="2004695" cy="195834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124</xdr:row>
      <xdr:rowOff>0</xdr:rowOff>
    </xdr:from>
    <xdr:to>
      <xdr:col>4</xdr:col>
      <xdr:colOff>753110</xdr:colOff>
      <xdr:row>135</xdr:row>
      <xdr:rowOff>72390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xmlns="" id="{00000000-0008-0000-0200-00000E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52925" y="22698075"/>
          <a:ext cx="1972310" cy="1958340"/>
        </a:xfrm>
        <a:prstGeom prst="rect">
          <a:avLst/>
        </a:prstGeom>
      </xdr:spPr>
    </xdr:pic>
    <xdr:clientData/>
  </xdr:twoCellAnchor>
  <xdr:twoCellAnchor>
    <xdr:from>
      <xdr:col>7</xdr:col>
      <xdr:colOff>419100</xdr:colOff>
      <xdr:row>151</xdr:row>
      <xdr:rowOff>165100</xdr:rowOff>
    </xdr:from>
    <xdr:to>
      <xdr:col>11</xdr:col>
      <xdr:colOff>492125</xdr:colOff>
      <xdr:row>161</xdr:row>
      <xdr:rowOff>685800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xmlns="" id="{9EB35108-33D1-423E-BD09-B9DE53E5EF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183</xdr:row>
      <xdr:rowOff>0</xdr:rowOff>
    </xdr:from>
    <xdr:to>
      <xdr:col>12</xdr:col>
      <xdr:colOff>73025</xdr:colOff>
      <xdr:row>193</xdr:row>
      <xdr:rowOff>31750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xmlns="" id="{FAAF6D9E-16E9-4BD2-A7A5-EA3167ECB3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419100</xdr:colOff>
      <xdr:row>213</xdr:row>
      <xdr:rowOff>165100</xdr:rowOff>
    </xdr:from>
    <xdr:to>
      <xdr:col>11</xdr:col>
      <xdr:colOff>492125</xdr:colOff>
      <xdr:row>223</xdr:row>
      <xdr:rowOff>685800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xmlns="" id="{B4082140-C100-4210-9847-B9E5FE81AF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3</xdr:col>
      <xdr:colOff>228600</xdr:colOff>
      <xdr:row>162</xdr:row>
      <xdr:rowOff>76200</xdr:rowOff>
    </xdr:from>
    <xdr:to>
      <xdr:col>4</xdr:col>
      <xdr:colOff>1057275</xdr:colOff>
      <xdr:row>173</xdr:row>
      <xdr:rowOff>60960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xmlns="" id="{00000000-0008-0000-0200-000012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581525" y="34547175"/>
          <a:ext cx="2047875" cy="191833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197</xdr:row>
      <xdr:rowOff>0</xdr:rowOff>
    </xdr:from>
    <xdr:to>
      <xdr:col>4</xdr:col>
      <xdr:colOff>724535</xdr:colOff>
      <xdr:row>208</xdr:row>
      <xdr:rowOff>72390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xmlns="" id="{00000000-0008-0000-0200-000013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352925" y="41900475"/>
          <a:ext cx="1943735" cy="195834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228</xdr:row>
      <xdr:rowOff>0</xdr:rowOff>
    </xdr:from>
    <xdr:to>
      <xdr:col>4</xdr:col>
      <xdr:colOff>724535</xdr:colOff>
      <xdr:row>239</xdr:row>
      <xdr:rowOff>72390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xmlns="" id="{00000000-0008-0000-0200-000014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352925" y="48644175"/>
          <a:ext cx="1943735" cy="1958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45"/>
  <sheetViews>
    <sheetView topLeftCell="A19" zoomScale="115" zoomScaleNormal="115" workbookViewId="0">
      <selection activeCell="F41" sqref="F41"/>
    </sheetView>
  </sheetViews>
  <sheetFormatPr defaultColWidth="9" defaultRowHeight="14.25"/>
  <cols>
    <col min="1" max="1" width="10.25" style="12" customWidth="1"/>
    <col min="2" max="2" width="14.75" style="13" customWidth="1"/>
    <col min="3" max="3" width="10.25" style="15" customWidth="1"/>
    <col min="4" max="4" width="20.625" style="13" customWidth="1"/>
    <col min="5" max="5" width="19.75" style="6" customWidth="1"/>
    <col min="6" max="6" width="14.875" style="6" customWidth="1"/>
    <col min="7" max="7" width="12.125" style="6" customWidth="1"/>
    <col min="8" max="8" width="12.5" style="56" customWidth="1"/>
    <col min="9" max="9" width="13" style="6" customWidth="1"/>
    <col min="10" max="10" width="11.375" style="6" customWidth="1"/>
    <col min="11" max="11" width="13.75" style="6" customWidth="1"/>
    <col min="12" max="16384" width="9" style="6"/>
  </cols>
  <sheetData>
    <row r="3" spans="1:15">
      <c r="A3" s="14">
        <v>46150</v>
      </c>
      <c r="E3" s="6">
        <v>10</v>
      </c>
      <c r="F3" s="6">
        <v>2.5000000000000001E-2</v>
      </c>
      <c r="G3" s="6">
        <v>0.05</v>
      </c>
      <c r="H3" s="6">
        <v>0.25</v>
      </c>
      <c r="I3" s="6">
        <v>0.5</v>
      </c>
      <c r="J3" s="6">
        <v>0.75</v>
      </c>
      <c r="K3" s="6">
        <v>1</v>
      </c>
    </row>
    <row r="4" spans="1:15">
      <c r="A4" s="16" t="s">
        <v>0</v>
      </c>
      <c r="B4" s="17" t="s">
        <v>1</v>
      </c>
      <c r="C4" s="111" t="s">
        <v>133</v>
      </c>
      <c r="D4" s="17" t="s">
        <v>117</v>
      </c>
      <c r="E4" s="17" t="s">
        <v>118</v>
      </c>
      <c r="F4" s="102" t="s">
        <v>119</v>
      </c>
      <c r="G4" s="102" t="s">
        <v>120</v>
      </c>
      <c r="H4" s="102" t="s">
        <v>121</v>
      </c>
      <c r="I4" s="102" t="s">
        <v>122</v>
      </c>
      <c r="J4" s="102" t="s">
        <v>123</v>
      </c>
      <c r="K4" s="102" t="s">
        <v>124</v>
      </c>
    </row>
    <row r="5" spans="1:15">
      <c r="A5" s="111" t="s">
        <v>129</v>
      </c>
      <c r="B5" s="18">
        <v>2.1030000000000002</v>
      </c>
      <c r="C5" s="47">
        <v>0.99470000000000003</v>
      </c>
      <c r="D5" s="28">
        <f>B5*C5/20*1000*1000</f>
        <v>104592.70500000002</v>
      </c>
      <c r="E5" s="103">
        <f>D5*0.2/20</f>
        <v>1045.9270500000002</v>
      </c>
      <c r="F5" s="112">
        <f>ROUND($E$5*F3/20,2)</f>
        <v>1.31</v>
      </c>
      <c r="G5" s="112">
        <f t="shared" ref="G5:K5" si="0">ROUND($E$5*G3/20,2)</f>
        <v>2.61</v>
      </c>
      <c r="H5" s="112">
        <f t="shared" si="0"/>
        <v>13.07</v>
      </c>
      <c r="I5" s="112">
        <f t="shared" si="0"/>
        <v>26.15</v>
      </c>
      <c r="J5" s="112">
        <f t="shared" si="0"/>
        <v>39.22</v>
      </c>
      <c r="K5" s="112">
        <f t="shared" si="0"/>
        <v>52.3</v>
      </c>
      <c r="O5" s="56"/>
    </row>
    <row r="6" spans="1:15">
      <c r="A6" s="111" t="s">
        <v>130</v>
      </c>
      <c r="B6" s="18">
        <v>2.0110000000000001</v>
      </c>
      <c r="C6" s="47">
        <v>1</v>
      </c>
      <c r="D6" s="28">
        <f>B6*C6/20*1000*1000</f>
        <v>100550</v>
      </c>
      <c r="E6" s="103">
        <f t="shared" ref="E6:E8" si="1">D6*0.2/20</f>
        <v>1005.5</v>
      </c>
      <c r="F6" s="112">
        <f>ROUND($E$6*F3/20,2)</f>
        <v>1.26</v>
      </c>
      <c r="G6" s="112">
        <f t="shared" ref="G6:K6" si="2">ROUND($E$6*G3/20,2)</f>
        <v>2.5099999999999998</v>
      </c>
      <c r="H6" s="112">
        <f t="shared" si="2"/>
        <v>12.57</v>
      </c>
      <c r="I6" s="112">
        <f t="shared" si="2"/>
        <v>25.14</v>
      </c>
      <c r="J6" s="112">
        <f t="shared" si="2"/>
        <v>37.71</v>
      </c>
      <c r="K6" s="112">
        <f t="shared" si="2"/>
        <v>50.28</v>
      </c>
      <c r="O6" s="56"/>
    </row>
    <row r="7" spans="1:15">
      <c r="A7" s="111" t="s">
        <v>131</v>
      </c>
      <c r="B7" s="18">
        <v>2.0390000000000001</v>
      </c>
      <c r="C7" s="47">
        <v>1</v>
      </c>
      <c r="D7" s="28">
        <f>B7*C7/20*1000*1000</f>
        <v>101950.00000000001</v>
      </c>
      <c r="E7" s="103">
        <f t="shared" si="1"/>
        <v>1019.5000000000002</v>
      </c>
      <c r="F7" s="112">
        <f>ROUND($E$7*F3/20,2)</f>
        <v>1.27</v>
      </c>
      <c r="G7" s="112">
        <f t="shared" ref="G7:K7" si="3">ROUND($E$7*G3/20,2)</f>
        <v>2.5499999999999998</v>
      </c>
      <c r="H7" s="112">
        <f t="shared" si="3"/>
        <v>12.74</v>
      </c>
      <c r="I7" s="112">
        <f t="shared" si="3"/>
        <v>25.49</v>
      </c>
      <c r="J7" s="112">
        <f t="shared" si="3"/>
        <v>38.229999999999997</v>
      </c>
      <c r="K7" s="112">
        <f t="shared" si="3"/>
        <v>50.98</v>
      </c>
      <c r="O7" s="56"/>
    </row>
    <row r="8" spans="1:15">
      <c r="A8" s="111" t="s">
        <v>132</v>
      </c>
      <c r="B8" s="18">
        <v>2.077</v>
      </c>
      <c r="C8" s="47">
        <v>0.99370000000000003</v>
      </c>
      <c r="D8" s="28">
        <f>B8*C8/20*1000*1000</f>
        <v>103195.745</v>
      </c>
      <c r="E8" s="103">
        <f t="shared" si="1"/>
        <v>1031.9574500000001</v>
      </c>
      <c r="F8" s="112">
        <f>ROUND($E$8*F3/20,2)</f>
        <v>1.29</v>
      </c>
      <c r="G8" s="112">
        <f t="shared" ref="G8:K8" si="4">ROUND($E$8*G3/20,2)</f>
        <v>2.58</v>
      </c>
      <c r="H8" s="112">
        <f t="shared" si="4"/>
        <v>12.9</v>
      </c>
      <c r="I8" s="112">
        <f t="shared" si="4"/>
        <v>25.8</v>
      </c>
      <c r="J8" s="112">
        <f t="shared" si="4"/>
        <v>38.700000000000003</v>
      </c>
      <c r="K8" s="112">
        <f t="shared" si="4"/>
        <v>51.6</v>
      </c>
      <c r="O8" s="56"/>
    </row>
    <row r="11" spans="1:15">
      <c r="A11" s="14">
        <v>46155</v>
      </c>
      <c r="E11" s="6">
        <v>10</v>
      </c>
      <c r="F11" s="6">
        <v>0.05</v>
      </c>
      <c r="G11" s="6">
        <v>0.1</v>
      </c>
      <c r="H11" s="6">
        <v>0.5</v>
      </c>
      <c r="I11" s="6">
        <v>1</v>
      </c>
      <c r="J11" s="6">
        <v>1.5</v>
      </c>
      <c r="K11" s="6">
        <v>2</v>
      </c>
    </row>
    <row r="12" spans="1:15">
      <c r="A12" s="16" t="s">
        <v>0</v>
      </c>
      <c r="B12" s="17" t="s">
        <v>1</v>
      </c>
      <c r="C12" s="111" t="s">
        <v>133</v>
      </c>
      <c r="D12" s="17" t="s">
        <v>117</v>
      </c>
      <c r="E12" s="17" t="s">
        <v>118</v>
      </c>
      <c r="F12" s="102" t="s">
        <v>119</v>
      </c>
      <c r="G12" s="102" t="s">
        <v>120</v>
      </c>
      <c r="H12" s="102" t="s">
        <v>121</v>
      </c>
      <c r="I12" s="102" t="s">
        <v>122</v>
      </c>
      <c r="J12" s="102" t="s">
        <v>123</v>
      </c>
      <c r="K12" s="102" t="s">
        <v>124</v>
      </c>
    </row>
    <row r="13" spans="1:15">
      <c r="A13" s="111" t="s">
        <v>129</v>
      </c>
      <c r="B13" s="18">
        <v>2.0129999999999999</v>
      </c>
      <c r="C13" s="47">
        <v>0.99470000000000003</v>
      </c>
      <c r="D13" s="28">
        <f>B13*C13/20*1000*1000</f>
        <v>100116.55500000001</v>
      </c>
      <c r="E13" s="103">
        <f>D13*1/20*2/20</f>
        <v>500.58277500000003</v>
      </c>
      <c r="F13" s="112">
        <f>ROUND($E$13*F11/20,2)</f>
        <v>1.25</v>
      </c>
      <c r="G13" s="112">
        <f t="shared" ref="G13:K13" si="5">ROUND($E$13*G11/20,2)</f>
        <v>2.5</v>
      </c>
      <c r="H13" s="112">
        <f t="shared" si="5"/>
        <v>12.51</v>
      </c>
      <c r="I13" s="112">
        <f t="shared" si="5"/>
        <v>25.03</v>
      </c>
      <c r="J13" s="112">
        <f t="shared" si="5"/>
        <v>37.54</v>
      </c>
      <c r="K13" s="112">
        <f t="shared" si="5"/>
        <v>50.06</v>
      </c>
      <c r="O13" s="56"/>
    </row>
    <row r="14" spans="1:15">
      <c r="A14" s="111" t="s">
        <v>130</v>
      </c>
      <c r="B14" s="18">
        <v>2.0009999999999999</v>
      </c>
      <c r="C14" s="47">
        <v>1</v>
      </c>
      <c r="D14" s="28">
        <f>B14*C14/20*1000*1000</f>
        <v>100050</v>
      </c>
      <c r="E14" s="103">
        <f t="shared" ref="E14:E16" si="6">D14*1/20*2/20</f>
        <v>500.25</v>
      </c>
      <c r="F14" s="112">
        <f>ROUND($E$14*F11/20,2)</f>
        <v>1.25</v>
      </c>
      <c r="G14" s="112">
        <f t="shared" ref="G14:K14" si="7">ROUND($E$14*G11/20,2)</f>
        <v>2.5</v>
      </c>
      <c r="H14" s="112">
        <f t="shared" si="7"/>
        <v>12.51</v>
      </c>
      <c r="I14" s="112">
        <f t="shared" si="7"/>
        <v>25.01</v>
      </c>
      <c r="J14" s="112">
        <f t="shared" si="7"/>
        <v>37.520000000000003</v>
      </c>
      <c r="K14" s="112">
        <f t="shared" si="7"/>
        <v>50.03</v>
      </c>
      <c r="O14" s="56"/>
    </row>
    <row r="15" spans="1:15">
      <c r="A15" s="111" t="s">
        <v>131</v>
      </c>
      <c r="B15" s="18">
        <v>1.9990000000000001</v>
      </c>
      <c r="C15" s="47">
        <v>1</v>
      </c>
      <c r="D15" s="28">
        <f>B15*C15/20*1000*1000</f>
        <v>99950.000000000015</v>
      </c>
      <c r="E15" s="103">
        <f t="shared" si="6"/>
        <v>499.75000000000011</v>
      </c>
      <c r="F15" s="112">
        <f>ROUND($E$15*F11/20,2)</f>
        <v>1.25</v>
      </c>
      <c r="G15" s="112">
        <f t="shared" ref="G15:K15" si="8">ROUND($E$15*G11/20,2)</f>
        <v>2.5</v>
      </c>
      <c r="H15" s="112">
        <f t="shared" si="8"/>
        <v>12.49</v>
      </c>
      <c r="I15" s="112">
        <f t="shared" si="8"/>
        <v>24.99</v>
      </c>
      <c r="J15" s="112">
        <f t="shared" si="8"/>
        <v>37.479999999999997</v>
      </c>
      <c r="K15" s="112">
        <f t="shared" si="8"/>
        <v>49.98</v>
      </c>
      <c r="O15" s="56"/>
    </row>
    <row r="16" spans="1:15">
      <c r="A16" s="111" t="s">
        <v>132</v>
      </c>
      <c r="B16" s="18">
        <v>2.0070000000000001</v>
      </c>
      <c r="C16" s="47">
        <v>0.99370000000000003</v>
      </c>
      <c r="D16" s="28">
        <f>B16*C16/20*1000*1000</f>
        <v>99717.795000000013</v>
      </c>
      <c r="E16" s="103">
        <f t="shared" si="6"/>
        <v>498.588975</v>
      </c>
      <c r="F16" s="112">
        <f>ROUND($E$16*F11/20,2)</f>
        <v>1.25</v>
      </c>
      <c r="G16" s="112">
        <f t="shared" ref="G16:K16" si="9">ROUND($E$16*G11/20,2)</f>
        <v>2.4900000000000002</v>
      </c>
      <c r="H16" s="112">
        <f t="shared" si="9"/>
        <v>12.46</v>
      </c>
      <c r="I16" s="112">
        <f t="shared" si="9"/>
        <v>24.93</v>
      </c>
      <c r="J16" s="112">
        <f t="shared" si="9"/>
        <v>37.39</v>
      </c>
      <c r="K16" s="112">
        <f t="shared" si="9"/>
        <v>49.86</v>
      </c>
      <c r="O16" s="56"/>
    </row>
    <row r="19" spans="1:15">
      <c r="A19" s="14">
        <v>46162</v>
      </c>
      <c r="E19" s="6">
        <v>10</v>
      </c>
      <c r="F19" s="6">
        <v>0.05</v>
      </c>
      <c r="G19" s="6">
        <v>0.1</v>
      </c>
      <c r="H19" s="6">
        <v>0.5</v>
      </c>
      <c r="I19" s="6">
        <v>1</v>
      </c>
      <c r="J19" s="6">
        <v>1.5</v>
      </c>
      <c r="K19" s="6">
        <v>2</v>
      </c>
    </row>
    <row r="20" spans="1:15">
      <c r="A20" s="16" t="s">
        <v>0</v>
      </c>
      <c r="B20" s="17" t="s">
        <v>1</v>
      </c>
      <c r="C20" s="111" t="s">
        <v>133</v>
      </c>
      <c r="D20" s="17" t="s">
        <v>117</v>
      </c>
      <c r="E20" s="17" t="s">
        <v>118</v>
      </c>
      <c r="F20" s="102" t="s">
        <v>119</v>
      </c>
      <c r="G20" s="102" t="s">
        <v>120</v>
      </c>
      <c r="H20" s="102" t="s">
        <v>121</v>
      </c>
      <c r="I20" s="102" t="s">
        <v>122</v>
      </c>
      <c r="J20" s="102" t="s">
        <v>123</v>
      </c>
      <c r="K20" s="102" t="s">
        <v>124</v>
      </c>
    </row>
    <row r="21" spans="1:15">
      <c r="A21" s="111" t="s">
        <v>129</v>
      </c>
      <c r="B21" s="18">
        <v>2.0379999999999998</v>
      </c>
      <c r="C21" s="47">
        <v>0.99470000000000003</v>
      </c>
      <c r="D21" s="28">
        <f>B21*C21/20*1000*1000</f>
        <v>101359.93</v>
      </c>
      <c r="E21" s="103">
        <f>D21*1/20*2/20</f>
        <v>506.79964999999993</v>
      </c>
      <c r="F21" s="112">
        <f>ROUND($E$21*F19/20,2)</f>
        <v>1.27</v>
      </c>
      <c r="G21" s="112">
        <f t="shared" ref="G21:K21" si="10">ROUND($E$21*G19/20,2)</f>
        <v>2.5299999999999998</v>
      </c>
      <c r="H21" s="112">
        <f t="shared" si="10"/>
        <v>12.67</v>
      </c>
      <c r="I21" s="112">
        <f t="shared" si="10"/>
        <v>25.34</v>
      </c>
      <c r="J21" s="112">
        <f t="shared" si="10"/>
        <v>38.01</v>
      </c>
      <c r="K21" s="112">
        <f t="shared" si="10"/>
        <v>50.68</v>
      </c>
      <c r="O21" s="56"/>
    </row>
    <row r="22" spans="1:15">
      <c r="A22" s="111" t="s">
        <v>131</v>
      </c>
      <c r="B22" s="18">
        <v>2.0499999999999998</v>
      </c>
      <c r="C22" s="47">
        <v>1</v>
      </c>
      <c r="D22" s="28">
        <f>B22*C22/20*1000*1000</f>
        <v>102500</v>
      </c>
      <c r="E22" s="103">
        <f t="shared" ref="E22:E23" si="11">D22*1/20*2/20</f>
        <v>512.5</v>
      </c>
      <c r="F22" s="112">
        <f>ROUND($E$22*F19/20,2)</f>
        <v>1.28</v>
      </c>
      <c r="G22" s="112">
        <f t="shared" ref="G22:K22" si="12">ROUND($E$22*G19/20,2)</f>
        <v>2.56</v>
      </c>
      <c r="H22" s="112">
        <f t="shared" si="12"/>
        <v>12.81</v>
      </c>
      <c r="I22" s="128">
        <v>25.62</v>
      </c>
      <c r="J22" s="112">
        <f t="shared" si="12"/>
        <v>38.44</v>
      </c>
      <c r="K22" s="112">
        <f t="shared" si="12"/>
        <v>51.25</v>
      </c>
      <c r="O22" s="56"/>
    </row>
    <row r="23" spans="1:15">
      <c r="A23" s="111" t="s">
        <v>132</v>
      </c>
      <c r="B23" s="18">
        <v>2.0489999999999999</v>
      </c>
      <c r="C23" s="47">
        <v>0.99370000000000003</v>
      </c>
      <c r="D23" s="28">
        <f>B23*C23/20*1000*1000</f>
        <v>101804.56499999999</v>
      </c>
      <c r="E23" s="103">
        <f t="shared" si="11"/>
        <v>509.0228249999999</v>
      </c>
      <c r="F23" s="112">
        <f>ROUND($E$23*F19/20,2)</f>
        <v>1.27</v>
      </c>
      <c r="G23" s="112">
        <f t="shared" ref="G23:K23" si="13">ROUND($E$23*G19/20,2)</f>
        <v>2.5499999999999998</v>
      </c>
      <c r="H23" s="112">
        <f t="shared" si="13"/>
        <v>12.73</v>
      </c>
      <c r="I23" s="112">
        <f t="shared" si="13"/>
        <v>25.45</v>
      </c>
      <c r="J23" s="112">
        <f t="shared" si="13"/>
        <v>38.18</v>
      </c>
      <c r="K23" s="112">
        <f t="shared" si="13"/>
        <v>50.9</v>
      </c>
      <c r="O23" s="56"/>
    </row>
    <row r="26" spans="1:15">
      <c r="A26" s="14">
        <v>46163</v>
      </c>
      <c r="E26" s="6">
        <v>10</v>
      </c>
      <c r="F26" s="6">
        <v>0.05</v>
      </c>
      <c r="G26" s="6">
        <v>0.1</v>
      </c>
      <c r="H26" s="6">
        <v>0.5</v>
      </c>
      <c r="I26" s="6">
        <v>1</v>
      </c>
      <c r="J26" s="6">
        <v>1.5</v>
      </c>
      <c r="K26" s="6">
        <v>2</v>
      </c>
    </row>
    <row r="27" spans="1:15">
      <c r="A27" s="16" t="s">
        <v>0</v>
      </c>
      <c r="B27" s="17" t="s">
        <v>1</v>
      </c>
      <c r="C27" s="111" t="s">
        <v>133</v>
      </c>
      <c r="D27" s="17" t="s">
        <v>117</v>
      </c>
      <c r="E27" s="17" t="s">
        <v>118</v>
      </c>
      <c r="F27" s="102" t="s">
        <v>119</v>
      </c>
      <c r="G27" s="102" t="s">
        <v>120</v>
      </c>
      <c r="H27" s="102" t="s">
        <v>121</v>
      </c>
      <c r="I27" s="102" t="s">
        <v>122</v>
      </c>
      <c r="J27" s="102" t="s">
        <v>123</v>
      </c>
      <c r="K27" s="102" t="s">
        <v>124</v>
      </c>
    </row>
    <row r="28" spans="1:15">
      <c r="A28" s="111" t="s">
        <v>129</v>
      </c>
      <c r="B28" s="18">
        <v>2.0219999999999998</v>
      </c>
      <c r="C28" s="47">
        <v>0.99470000000000003</v>
      </c>
      <c r="D28" s="28">
        <f>B28*C28/20*1000*1000</f>
        <v>100564.16999999998</v>
      </c>
      <c r="E28" s="103">
        <f>D28*1/20*2/20</f>
        <v>502.82084999999989</v>
      </c>
      <c r="F28" s="112">
        <f>ROUND($E$28*F26/20,2)</f>
        <v>1.26</v>
      </c>
      <c r="G28" s="112">
        <f t="shared" ref="G28:K28" si="14">ROUND($E$28*G26/20,2)</f>
        <v>2.5099999999999998</v>
      </c>
      <c r="H28" s="112">
        <f t="shared" si="14"/>
        <v>12.57</v>
      </c>
      <c r="I28" s="112">
        <f t="shared" si="14"/>
        <v>25.14</v>
      </c>
      <c r="J28" s="112">
        <f t="shared" si="14"/>
        <v>37.71</v>
      </c>
      <c r="K28" s="112">
        <f t="shared" si="14"/>
        <v>50.28</v>
      </c>
      <c r="O28" s="56"/>
    </row>
    <row r="29" spans="1:15">
      <c r="A29" s="111" t="s">
        <v>131</v>
      </c>
      <c r="B29" s="18">
        <v>2.0270000000000001</v>
      </c>
      <c r="C29" s="47">
        <v>1</v>
      </c>
      <c r="D29" s="28">
        <f>B29*C29/20*1000*1000</f>
        <v>101350.00000000001</v>
      </c>
      <c r="E29" s="103">
        <f t="shared" ref="E29:E30" si="15">D29*1/20*2/20</f>
        <v>506.75000000000011</v>
      </c>
      <c r="F29" s="112">
        <f>ROUND($E$29*F26/20,2)</f>
        <v>1.27</v>
      </c>
      <c r="G29" s="112">
        <f t="shared" ref="G29:K29" si="16">ROUND($E$29*G26/20,2)</f>
        <v>2.5299999999999998</v>
      </c>
      <c r="H29" s="112">
        <f t="shared" si="16"/>
        <v>12.67</v>
      </c>
      <c r="I29" s="112">
        <f t="shared" si="16"/>
        <v>25.34</v>
      </c>
      <c r="J29" s="112">
        <f t="shared" si="16"/>
        <v>38.01</v>
      </c>
      <c r="K29" s="112">
        <f t="shared" si="16"/>
        <v>50.68</v>
      </c>
      <c r="O29" s="56"/>
    </row>
    <row r="30" spans="1:15">
      <c r="A30" s="111" t="s">
        <v>132</v>
      </c>
      <c r="B30" s="18">
        <v>2.0339999999999998</v>
      </c>
      <c r="C30" s="47">
        <v>0.99370000000000003</v>
      </c>
      <c r="D30" s="28">
        <f>B30*C30/20*1000*1000</f>
        <v>101059.29</v>
      </c>
      <c r="E30" s="103">
        <f t="shared" si="15"/>
        <v>505.29644999999999</v>
      </c>
      <c r="F30" s="112">
        <f>ROUND($E$30*F26/20,2)</f>
        <v>1.26</v>
      </c>
      <c r="G30" s="112">
        <f t="shared" ref="G30:K30" si="17">ROUND($E$30*G26/20,2)</f>
        <v>2.5299999999999998</v>
      </c>
      <c r="H30" s="112">
        <f t="shared" si="17"/>
        <v>12.63</v>
      </c>
      <c r="I30" s="112">
        <f t="shared" si="17"/>
        <v>25.26</v>
      </c>
      <c r="J30" s="112">
        <f t="shared" si="17"/>
        <v>37.9</v>
      </c>
      <c r="K30" s="112">
        <f t="shared" si="17"/>
        <v>50.53</v>
      </c>
      <c r="O30" s="56"/>
    </row>
    <row r="32" spans="1:15">
      <c r="F32" s="6">
        <f>ROUND(F28/1,1)</f>
        <v>1.3</v>
      </c>
      <c r="G32" s="6">
        <f>ROUND(G28/1,1)</f>
        <v>2.5</v>
      </c>
    </row>
    <row r="33" spans="1:15">
      <c r="F33" s="6">
        <f t="shared" ref="F33:G34" si="18">ROUND(F29/1,1)</f>
        <v>1.3</v>
      </c>
      <c r="G33" s="6">
        <f t="shared" si="18"/>
        <v>2.5</v>
      </c>
    </row>
    <row r="34" spans="1:15">
      <c r="F34" s="6">
        <f t="shared" si="18"/>
        <v>1.3</v>
      </c>
      <c r="G34" s="6">
        <f t="shared" si="18"/>
        <v>2.5</v>
      </c>
    </row>
    <row r="37" spans="1:15">
      <c r="A37" s="14">
        <v>46199</v>
      </c>
      <c r="E37" s="6">
        <v>10</v>
      </c>
      <c r="F37" s="6">
        <v>0.05</v>
      </c>
      <c r="G37" s="6">
        <v>0.1</v>
      </c>
      <c r="H37" s="6">
        <v>0.5</v>
      </c>
      <c r="I37" s="6">
        <v>1</v>
      </c>
      <c r="J37" s="6">
        <v>1.5</v>
      </c>
      <c r="K37" s="6">
        <v>2</v>
      </c>
    </row>
    <row r="38" spans="1:15">
      <c r="A38" s="16" t="s">
        <v>0</v>
      </c>
      <c r="B38" s="17" t="s">
        <v>1</v>
      </c>
      <c r="C38" s="111" t="s">
        <v>133</v>
      </c>
      <c r="D38" s="17" t="s">
        <v>117</v>
      </c>
      <c r="E38" s="17" t="s">
        <v>118</v>
      </c>
      <c r="F38" s="102" t="s">
        <v>119</v>
      </c>
      <c r="G38" s="102" t="s">
        <v>120</v>
      </c>
      <c r="H38" s="102" t="s">
        <v>121</v>
      </c>
      <c r="I38" s="102" t="s">
        <v>122</v>
      </c>
      <c r="J38" s="102" t="s">
        <v>123</v>
      </c>
      <c r="K38" s="102" t="s">
        <v>124</v>
      </c>
    </row>
    <row r="39" spans="1:15">
      <c r="A39" s="111" t="s">
        <v>129</v>
      </c>
      <c r="B39" s="18">
        <v>2.044</v>
      </c>
      <c r="C39" s="47">
        <v>0.99470000000000003</v>
      </c>
      <c r="D39" s="28">
        <f>B39*C39/20*1000*1000</f>
        <v>101658.34</v>
      </c>
      <c r="E39" s="103">
        <f>D39*1/20*2/20</f>
        <v>508.29169999999993</v>
      </c>
      <c r="F39" s="112">
        <f>ROUND($E$39*F37/20,2)</f>
        <v>1.27</v>
      </c>
      <c r="G39" s="112">
        <f t="shared" ref="G39:K39" si="19">ROUND($E$39*G37/20,2)</f>
        <v>2.54</v>
      </c>
      <c r="H39" s="112">
        <f t="shared" si="19"/>
        <v>12.71</v>
      </c>
      <c r="I39" s="112">
        <f t="shared" si="19"/>
        <v>25.41</v>
      </c>
      <c r="J39" s="112">
        <f t="shared" si="19"/>
        <v>38.119999999999997</v>
      </c>
      <c r="K39" s="112">
        <f t="shared" si="19"/>
        <v>50.83</v>
      </c>
      <c r="O39" s="56"/>
    </row>
    <row r="40" spans="1:15">
      <c r="A40" s="111" t="s">
        <v>131</v>
      </c>
      <c r="B40" s="18">
        <v>2.028</v>
      </c>
      <c r="C40" s="47">
        <v>1</v>
      </c>
      <c r="D40" s="28">
        <f>B40*C40/20*1000*1000</f>
        <v>101400</v>
      </c>
      <c r="E40" s="103">
        <f t="shared" ref="E40:E41" si="20">D40*1/20*2/20</f>
        <v>507</v>
      </c>
      <c r="F40" s="112">
        <f>ROUND($E$40*F37/20,2)</f>
        <v>1.27</v>
      </c>
      <c r="G40" s="112">
        <f t="shared" ref="G40:K40" si="21">ROUND($E$40*G37/20,2)</f>
        <v>2.54</v>
      </c>
      <c r="H40" s="112">
        <f t="shared" si="21"/>
        <v>12.68</v>
      </c>
      <c r="I40" s="112">
        <f t="shared" si="21"/>
        <v>25.35</v>
      </c>
      <c r="J40" s="112">
        <v>38.020000000000003</v>
      </c>
      <c r="K40" s="112">
        <f t="shared" si="21"/>
        <v>50.7</v>
      </c>
      <c r="O40" s="56"/>
    </row>
    <row r="41" spans="1:15">
      <c r="A41" s="111" t="s">
        <v>132</v>
      </c>
      <c r="B41" s="18">
        <v>2.0369999999999999</v>
      </c>
      <c r="C41" s="47">
        <v>0.99370000000000003</v>
      </c>
      <c r="D41" s="28">
        <f>B41*C41/20*1000*1000</f>
        <v>101208.345</v>
      </c>
      <c r="E41" s="103">
        <f t="shared" si="20"/>
        <v>506.04172500000004</v>
      </c>
      <c r="F41" s="112">
        <f>ROUND($E$41*F37/20,2)</f>
        <v>1.27</v>
      </c>
      <c r="G41" s="112">
        <f t="shared" ref="G41:K41" si="22">ROUND($E$41*G37/20,2)</f>
        <v>2.5299999999999998</v>
      </c>
      <c r="H41" s="112">
        <f t="shared" si="22"/>
        <v>12.65</v>
      </c>
      <c r="I41" s="112">
        <f t="shared" si="22"/>
        <v>25.3</v>
      </c>
      <c r="J41" s="112">
        <f t="shared" si="22"/>
        <v>37.950000000000003</v>
      </c>
      <c r="K41" s="112">
        <f t="shared" si="22"/>
        <v>50.6</v>
      </c>
      <c r="O41" s="56"/>
    </row>
    <row r="43" spans="1:15">
      <c r="F43" s="6">
        <f>ROUND(F39/1,1)</f>
        <v>1.3</v>
      </c>
      <c r="G43" s="6">
        <f>ROUND(G39/1,1)</f>
        <v>2.5</v>
      </c>
    </row>
    <row r="44" spans="1:15">
      <c r="F44" s="6">
        <f t="shared" ref="F44:G44" si="23">ROUND(F40/1,1)</f>
        <v>1.3</v>
      </c>
      <c r="G44" s="6">
        <f t="shared" si="23"/>
        <v>2.5</v>
      </c>
    </row>
    <row r="45" spans="1:15">
      <c r="F45" s="6">
        <f t="shared" ref="F45:G45" si="24">ROUND(F41/1,1)</f>
        <v>1.3</v>
      </c>
      <c r="G45" s="6">
        <f t="shared" si="24"/>
        <v>2.5</v>
      </c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5"/>
  <sheetViews>
    <sheetView topLeftCell="B1" workbookViewId="0">
      <selection activeCell="C4" sqref="C4:H10"/>
    </sheetView>
  </sheetViews>
  <sheetFormatPr defaultColWidth="9" defaultRowHeight="21" customHeight="1"/>
  <cols>
    <col min="1" max="1" width="14" customWidth="1"/>
    <col min="2" max="2" width="15.625" customWidth="1"/>
    <col min="3" max="3" width="16" customWidth="1"/>
    <col min="4" max="4" width="13.875" style="24" bestFit="1" customWidth="1"/>
    <col min="5" max="5" width="16" customWidth="1"/>
    <col min="6" max="6" width="18.75" style="24" customWidth="1"/>
    <col min="7" max="7" width="16" customWidth="1"/>
    <col min="8" max="8" width="18.75" style="24" customWidth="1"/>
  </cols>
  <sheetData>
    <row r="2" spans="2:8" ht="21" customHeight="1">
      <c r="C2" s="57" t="s">
        <v>294</v>
      </c>
      <c r="D2" s="131"/>
      <c r="E2" s="57" t="s">
        <v>295</v>
      </c>
      <c r="F2" s="131"/>
      <c r="G2" s="57" t="s">
        <v>296</v>
      </c>
    </row>
    <row r="3" spans="2:8" ht="21" customHeight="1">
      <c r="B3" s="79" t="s">
        <v>44</v>
      </c>
      <c r="C3" s="79" t="s">
        <v>35</v>
      </c>
      <c r="D3" s="79" t="s">
        <v>3</v>
      </c>
      <c r="E3" s="79" t="s">
        <v>35</v>
      </c>
      <c r="F3" s="79" t="s">
        <v>3</v>
      </c>
      <c r="G3" s="79" t="s">
        <v>35</v>
      </c>
      <c r="H3" s="79" t="s">
        <v>3</v>
      </c>
    </row>
    <row r="4" spans="2:8" ht="21" customHeight="1">
      <c r="B4" s="79" t="s">
        <v>36</v>
      </c>
      <c r="C4" s="80">
        <v>6.6420000000000003</v>
      </c>
      <c r="D4" s="81">
        <v>1561895</v>
      </c>
      <c r="E4" s="80">
        <v>7.3529999999999998</v>
      </c>
      <c r="F4" s="81">
        <v>3045826</v>
      </c>
      <c r="G4" s="80">
        <v>8.5280000000000005</v>
      </c>
      <c r="H4" s="81">
        <v>987888</v>
      </c>
    </row>
    <row r="5" spans="2:8" ht="21" customHeight="1">
      <c r="B5" s="79" t="s">
        <v>37</v>
      </c>
      <c r="C5" s="80">
        <v>6.6449999999999996</v>
      </c>
      <c r="D5" s="81">
        <v>1563156</v>
      </c>
      <c r="E5" s="80">
        <v>7.359</v>
      </c>
      <c r="F5" s="81">
        <v>3047952</v>
      </c>
      <c r="G5" s="80">
        <v>8.5359999999999996</v>
      </c>
      <c r="H5" s="81">
        <v>986817</v>
      </c>
    </row>
    <row r="6" spans="2:8" ht="21" customHeight="1">
      <c r="B6" s="79" t="s">
        <v>38</v>
      </c>
      <c r="C6" s="80">
        <v>6.6449999999999996</v>
      </c>
      <c r="D6" s="81">
        <v>1549703</v>
      </c>
      <c r="E6" s="80">
        <v>7.3550000000000004</v>
      </c>
      <c r="F6" s="81">
        <v>3044076</v>
      </c>
      <c r="G6" s="80">
        <v>8.5329999999999995</v>
      </c>
      <c r="H6" s="81">
        <v>970614</v>
      </c>
    </row>
    <row r="7" spans="2:8" ht="21" customHeight="1">
      <c r="B7" s="79" t="s">
        <v>39</v>
      </c>
      <c r="C7" s="80">
        <v>6.6449999999999996</v>
      </c>
      <c r="D7" s="81">
        <v>1555639</v>
      </c>
      <c r="E7" s="80">
        <v>7.3559999999999999</v>
      </c>
      <c r="F7" s="81">
        <v>3041981</v>
      </c>
      <c r="G7" s="80">
        <v>8.532</v>
      </c>
      <c r="H7" s="81">
        <v>982675</v>
      </c>
    </row>
    <row r="8" spans="2:8" ht="21" customHeight="1">
      <c r="B8" s="79" t="s">
        <v>40</v>
      </c>
      <c r="C8" s="80">
        <v>6.6429999999999998</v>
      </c>
      <c r="D8" s="81">
        <v>1564858</v>
      </c>
      <c r="E8" s="80">
        <v>7.3579999999999997</v>
      </c>
      <c r="F8" s="81">
        <v>3063681</v>
      </c>
      <c r="G8" s="80">
        <v>8.5370000000000008</v>
      </c>
      <c r="H8" s="81">
        <v>984509</v>
      </c>
    </row>
    <row r="9" spans="2:8" ht="21" customHeight="1">
      <c r="B9" s="79" t="s">
        <v>41</v>
      </c>
      <c r="C9" s="80">
        <v>6.6440000000000001</v>
      </c>
      <c r="D9" s="81">
        <v>1550255</v>
      </c>
      <c r="E9" s="80">
        <v>7.3540000000000001</v>
      </c>
      <c r="F9" s="81">
        <v>3045932</v>
      </c>
      <c r="G9" s="80">
        <v>8.5329999999999995</v>
      </c>
      <c r="H9" s="81">
        <v>964919</v>
      </c>
    </row>
    <row r="10" spans="2:8" ht="21" customHeight="1">
      <c r="B10" s="82" t="s">
        <v>42</v>
      </c>
      <c r="C10" s="83">
        <v>0.1</v>
      </c>
      <c r="D10" s="83">
        <v>0.5</v>
      </c>
      <c r="E10" s="83">
        <v>0.1</v>
      </c>
      <c r="F10" s="83">
        <v>0.3</v>
      </c>
      <c r="G10" s="83">
        <v>0.1</v>
      </c>
      <c r="H10" s="83">
        <v>1</v>
      </c>
    </row>
    <row r="11" spans="2:8" ht="21" customHeight="1">
      <c r="B11" s="79" t="s">
        <v>4</v>
      </c>
      <c r="C11" s="176"/>
      <c r="D11" s="176"/>
      <c r="E11" s="176"/>
      <c r="F11" s="176"/>
      <c r="G11" s="176"/>
      <c r="H11" s="176"/>
    </row>
    <row r="13" spans="2:8" ht="21" customHeight="1">
      <c r="B13" s="29" t="s">
        <v>5</v>
      </c>
      <c r="C13" s="24">
        <f>AVERAGE(C4:C9)</f>
        <v>6.6439999999999992</v>
      </c>
      <c r="D13" s="24">
        <f t="shared" ref="D13:F13" si="0">AVERAGE(D4:D9)</f>
        <v>1557584.3333333333</v>
      </c>
      <c r="E13" s="24">
        <f>AVERAGE(E4:E9)</f>
        <v>7.355833333333333</v>
      </c>
      <c r="F13" s="24">
        <f t="shared" si="0"/>
        <v>3048241.3333333335</v>
      </c>
      <c r="G13" s="24">
        <f>AVERAGE(G4:G9)</f>
        <v>8.5331666666666681</v>
      </c>
      <c r="H13" s="24">
        <f t="shared" ref="H13" si="1">AVERAGE(H4:H9)</f>
        <v>979570.33333333337</v>
      </c>
    </row>
    <row r="14" spans="2:8" ht="21" customHeight="1">
      <c r="B14" s="29" t="s">
        <v>6</v>
      </c>
      <c r="C14" s="24">
        <f>STDEV(C4:C9)</f>
        <v>1.264911064067072E-3</v>
      </c>
      <c r="D14" s="24">
        <f t="shared" ref="D14:F14" si="2">STDEV(D4:D9)</f>
        <v>6665.5893562885094</v>
      </c>
      <c r="E14" s="24">
        <f>STDEV(E4:E9)</f>
        <v>2.3166067138524833E-3</v>
      </c>
      <c r="F14" s="24">
        <f t="shared" si="2"/>
        <v>7825.2878711691283</v>
      </c>
      <c r="G14" s="24">
        <f>STDEV(G4:G9)</f>
        <v>3.1885210782848102E-3</v>
      </c>
      <c r="H14" s="24">
        <f t="shared" ref="H14" si="3">STDEV(H4:H9)</f>
        <v>9493.2040464042839</v>
      </c>
    </row>
    <row r="15" spans="2:8" ht="21" customHeight="1">
      <c r="B15" s="29" t="s">
        <v>7</v>
      </c>
      <c r="C15" s="53">
        <f t="shared" ref="C15:H15" si="4">C14/C13*100</f>
        <v>1.9038396509137148E-2</v>
      </c>
      <c r="D15" s="53">
        <f t="shared" si="4"/>
        <v>0.42794404217097565</v>
      </c>
      <c r="E15" s="53">
        <f t="shared" si="4"/>
        <v>3.1493463879267929E-2</v>
      </c>
      <c r="F15" s="53">
        <f t="shared" si="4"/>
        <v>0.25671484031128095</v>
      </c>
      <c r="G15" s="53">
        <f t="shared" si="4"/>
        <v>3.7366211194962515E-2</v>
      </c>
      <c r="H15" s="53">
        <f t="shared" si="4"/>
        <v>0.96911918658258156</v>
      </c>
    </row>
  </sheetData>
  <mergeCells count="3">
    <mergeCell ref="C11:D11"/>
    <mergeCell ref="E11:F11"/>
    <mergeCell ref="G11:H11"/>
  </mergeCells>
  <phoneticPr fontId="1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232"/>
  <sheetViews>
    <sheetView topLeftCell="C19" workbookViewId="0">
      <selection activeCell="C216" sqref="C216:G217"/>
    </sheetView>
  </sheetViews>
  <sheetFormatPr defaultColWidth="16" defaultRowHeight="13.5"/>
  <cols>
    <col min="1" max="1" width="25.125" customWidth="1"/>
    <col min="3" max="3" width="16" style="2"/>
    <col min="4" max="5" width="16" style="25"/>
    <col min="7" max="7" width="20.75" style="24" customWidth="1"/>
    <col min="8" max="8" width="16" style="27"/>
    <col min="9" max="9" width="16" style="7"/>
    <col min="10" max="10" width="16" style="8"/>
  </cols>
  <sheetData>
    <row r="3" spans="1:13" ht="14.25" thickBot="1"/>
    <row r="4" spans="1:13" ht="27" thickBot="1">
      <c r="B4" s="30" t="s">
        <v>10</v>
      </c>
      <c r="C4" s="3" t="s">
        <v>11</v>
      </c>
      <c r="D4" s="3" t="s">
        <v>12</v>
      </c>
      <c r="E4" s="31" t="s">
        <v>13</v>
      </c>
      <c r="F4" s="31" t="s">
        <v>14</v>
      </c>
      <c r="G4" s="31" t="s">
        <v>15</v>
      </c>
      <c r="J4" s="53">
        <v>114.36</v>
      </c>
      <c r="K4" s="53">
        <v>249.03</v>
      </c>
      <c r="L4">
        <v>104.12</v>
      </c>
    </row>
    <row r="5" spans="1:13" ht="14.25" thickBot="1">
      <c r="A5" s="132" t="s">
        <v>297</v>
      </c>
      <c r="B5" s="51">
        <v>114.36</v>
      </c>
      <c r="C5" s="43">
        <v>104.6</v>
      </c>
      <c r="D5" s="43">
        <v>114.04</v>
      </c>
      <c r="E5" s="32">
        <v>1.27</v>
      </c>
      <c r="F5" s="133">
        <f>ROUND(E5/1,1)</f>
        <v>1.3</v>
      </c>
      <c r="G5" s="50">
        <f>F5/25*100</f>
        <v>5.2</v>
      </c>
      <c r="H5" s="27">
        <f>G5</f>
        <v>5.2</v>
      </c>
      <c r="J5" s="53">
        <v>104.6</v>
      </c>
      <c r="K5" s="53">
        <v>221.34</v>
      </c>
      <c r="L5">
        <v>72.180000000000007</v>
      </c>
    </row>
    <row r="6" spans="1:13" ht="14.25" thickBot="1">
      <c r="A6" s="132" t="s">
        <v>295</v>
      </c>
      <c r="B6" s="51">
        <v>249.03</v>
      </c>
      <c r="C6" s="108">
        <v>221.34</v>
      </c>
      <c r="D6" s="108">
        <v>240.4</v>
      </c>
      <c r="E6" s="32">
        <v>1.28</v>
      </c>
      <c r="F6" s="133">
        <f t="shared" ref="F6:F7" si="0">ROUND(E6/1,1)</f>
        <v>1.3</v>
      </c>
      <c r="G6" s="50">
        <f t="shared" ref="G6:G7" si="1">F6/25*100</f>
        <v>5.2</v>
      </c>
      <c r="J6" s="53">
        <v>114.04</v>
      </c>
      <c r="K6" s="53">
        <v>240.4</v>
      </c>
      <c r="L6">
        <v>108.07</v>
      </c>
    </row>
    <row r="7" spans="1:13" ht="14.25" thickBot="1">
      <c r="A7" s="132" t="s">
        <v>298</v>
      </c>
      <c r="B7" s="51">
        <v>104.12</v>
      </c>
      <c r="C7" s="108">
        <v>72.180000000000007</v>
      </c>
      <c r="D7" s="108">
        <v>108.07</v>
      </c>
      <c r="E7" s="32">
        <v>1.27</v>
      </c>
      <c r="F7" s="133">
        <f t="shared" si="0"/>
        <v>1.3</v>
      </c>
      <c r="G7" s="50">
        <f t="shared" si="1"/>
        <v>5.2</v>
      </c>
      <c r="J7" s="53"/>
      <c r="K7" s="53"/>
    </row>
    <row r="8" spans="1:13" ht="14.25" thickBot="1">
      <c r="B8" s="33" t="s">
        <v>4</v>
      </c>
      <c r="C8" s="206"/>
      <c r="D8" s="207"/>
      <c r="E8" s="207"/>
      <c r="F8" s="207"/>
      <c r="G8" s="208"/>
      <c r="K8" s="53"/>
    </row>
    <row r="9" spans="1:13" ht="14.25" thickBot="1"/>
    <row r="10" spans="1:13" ht="27" thickBot="1">
      <c r="A10" s="132" t="s">
        <v>297</v>
      </c>
      <c r="B10" s="34" t="s">
        <v>9</v>
      </c>
      <c r="C10" s="35" t="s">
        <v>16</v>
      </c>
      <c r="D10" s="35" t="s">
        <v>3</v>
      </c>
      <c r="E10" s="35" t="s">
        <v>17</v>
      </c>
      <c r="F10" s="35" t="s">
        <v>18</v>
      </c>
      <c r="G10" s="35" t="s">
        <v>19</v>
      </c>
      <c r="H10" s="31" t="s">
        <v>20</v>
      </c>
      <c r="I10" s="38" t="s">
        <v>21</v>
      </c>
      <c r="J10" s="39" t="s">
        <v>22</v>
      </c>
      <c r="K10" s="40" t="s">
        <v>23</v>
      </c>
    </row>
    <row r="11" spans="1:13" ht="15" thickBot="1">
      <c r="A11" s="18"/>
      <c r="B11" s="36">
        <v>1</v>
      </c>
      <c r="C11" s="54">
        <v>207.12</v>
      </c>
      <c r="D11" s="52">
        <v>159081</v>
      </c>
      <c r="E11" s="177">
        <v>0.3</v>
      </c>
      <c r="F11" s="180">
        <v>2.5299999999999998</v>
      </c>
      <c r="G11" s="183">
        <f>ROUND(F11/1,1)</f>
        <v>2.5</v>
      </c>
      <c r="H11" s="186">
        <f>G11/25*100</f>
        <v>10</v>
      </c>
      <c r="I11" s="38">
        <f>AVERAGE(D11:D16)</f>
        <v>159665.33333333334</v>
      </c>
      <c r="J11" s="8">
        <f>STDEV(D11:D16)</f>
        <v>433.37174188757007</v>
      </c>
      <c r="K11" s="53">
        <f>J11/I11*100</f>
        <v>0.27142506944999756</v>
      </c>
      <c r="M11" s="55"/>
    </row>
    <row r="12" spans="1:13" ht="14.25" thickBot="1">
      <c r="B12" s="36">
        <v>2</v>
      </c>
      <c r="C12" s="54">
        <v>208.93</v>
      </c>
      <c r="D12" s="52">
        <v>160198</v>
      </c>
      <c r="E12" s="178"/>
      <c r="F12" s="181"/>
      <c r="G12" s="184"/>
      <c r="H12" s="187"/>
      <c r="M12" s="55"/>
    </row>
    <row r="13" spans="1:13" ht="14.25" thickBot="1">
      <c r="B13" s="36">
        <v>3</v>
      </c>
      <c r="C13" s="54">
        <v>231.06</v>
      </c>
      <c r="D13" s="52">
        <v>159966</v>
      </c>
      <c r="E13" s="178"/>
      <c r="F13" s="181"/>
      <c r="G13" s="184"/>
      <c r="H13" s="187"/>
      <c r="M13" s="55"/>
    </row>
    <row r="14" spans="1:13" ht="14.25" thickBot="1">
      <c r="B14" s="36">
        <v>4</v>
      </c>
      <c r="C14" s="54">
        <v>232.19</v>
      </c>
      <c r="D14" s="52">
        <v>159943</v>
      </c>
      <c r="E14" s="178"/>
      <c r="F14" s="181"/>
      <c r="G14" s="184"/>
      <c r="H14" s="187"/>
      <c r="M14" s="55"/>
    </row>
    <row r="15" spans="1:13" ht="14.25" thickBot="1">
      <c r="B15" s="36">
        <v>5</v>
      </c>
      <c r="C15" s="54">
        <v>211.48</v>
      </c>
      <c r="D15" s="52">
        <v>159464</v>
      </c>
      <c r="E15" s="178"/>
      <c r="F15" s="181"/>
      <c r="G15" s="184"/>
      <c r="H15" s="187"/>
      <c r="M15" s="55"/>
    </row>
    <row r="16" spans="1:13" ht="14.25" thickBot="1">
      <c r="B16" s="36">
        <v>6</v>
      </c>
      <c r="C16" s="54">
        <v>189.44</v>
      </c>
      <c r="D16" s="52">
        <v>159340</v>
      </c>
      <c r="E16" s="179"/>
      <c r="F16" s="182"/>
      <c r="G16" s="185"/>
      <c r="H16" s="188"/>
    </row>
    <row r="17" spans="1:13" ht="14.25" thickBot="1">
      <c r="B17" s="37" t="s">
        <v>4</v>
      </c>
      <c r="C17" s="189"/>
      <c r="D17" s="190"/>
      <c r="E17" s="190"/>
      <c r="F17" s="190"/>
      <c r="G17" s="190"/>
      <c r="H17" s="191"/>
    </row>
    <row r="19" spans="1:13" ht="15" thickBot="1">
      <c r="A19" s="18"/>
    </row>
    <row r="20" spans="1:13" ht="27" thickBot="1">
      <c r="A20" s="132" t="s">
        <v>295</v>
      </c>
      <c r="B20" s="34" t="s">
        <v>9</v>
      </c>
      <c r="C20" s="35" t="s">
        <v>16</v>
      </c>
      <c r="D20" s="35" t="s">
        <v>3</v>
      </c>
      <c r="E20" s="35" t="s">
        <v>17</v>
      </c>
      <c r="F20" s="35" t="s">
        <v>18</v>
      </c>
      <c r="G20" s="35" t="s">
        <v>19</v>
      </c>
      <c r="H20" s="31" t="s">
        <v>20</v>
      </c>
      <c r="I20" s="38" t="s">
        <v>21</v>
      </c>
      <c r="J20" s="39" t="s">
        <v>22</v>
      </c>
      <c r="K20" s="40" t="s">
        <v>23</v>
      </c>
    </row>
    <row r="21" spans="1:13" ht="14.25" thickBot="1">
      <c r="A21" s="40"/>
      <c r="B21" s="36">
        <v>1</v>
      </c>
      <c r="C21" s="54">
        <v>423.01</v>
      </c>
      <c r="D21" s="52">
        <v>312984</v>
      </c>
      <c r="E21" s="177">
        <v>0.6</v>
      </c>
      <c r="F21" s="180">
        <v>2.56</v>
      </c>
      <c r="G21" s="183">
        <f>ROUND(F21/1,1)</f>
        <v>2.6</v>
      </c>
      <c r="H21" s="186">
        <f>G21/25*100</f>
        <v>10.4</v>
      </c>
      <c r="I21" s="38">
        <f>AVERAGE(D21:D26)</f>
        <v>315241.16666666669</v>
      </c>
      <c r="J21" s="8">
        <f>STDEV(D21:D26)</f>
        <v>1886.4118761995394</v>
      </c>
      <c r="K21" s="53">
        <f>J21/I21*100</f>
        <v>0.59840277085201088</v>
      </c>
      <c r="M21" s="55"/>
    </row>
    <row r="22" spans="1:13" ht="14.25" thickBot="1">
      <c r="B22" s="36">
        <v>2</v>
      </c>
      <c r="C22" s="54">
        <v>453.92</v>
      </c>
      <c r="D22" s="52">
        <v>313669</v>
      </c>
      <c r="E22" s="178"/>
      <c r="F22" s="181"/>
      <c r="G22" s="184"/>
      <c r="H22" s="187"/>
      <c r="M22" s="55"/>
    </row>
    <row r="23" spans="1:13" ht="14.25" thickBot="1">
      <c r="B23" s="36">
        <v>3</v>
      </c>
      <c r="C23" s="54">
        <v>494.22</v>
      </c>
      <c r="D23" s="52">
        <v>315523</v>
      </c>
      <c r="E23" s="178"/>
      <c r="F23" s="181"/>
      <c r="G23" s="184"/>
      <c r="H23" s="187"/>
      <c r="M23" s="55"/>
    </row>
    <row r="24" spans="1:13" ht="14.25" thickBot="1">
      <c r="B24" s="36">
        <v>4</v>
      </c>
      <c r="C24" s="54">
        <v>468.61</v>
      </c>
      <c r="D24" s="52">
        <v>318405</v>
      </c>
      <c r="E24" s="178"/>
      <c r="F24" s="181"/>
      <c r="G24" s="184"/>
      <c r="H24" s="187"/>
      <c r="M24" s="55"/>
    </row>
    <row r="25" spans="1:13" ht="14.25" thickBot="1">
      <c r="B25" s="36">
        <v>5</v>
      </c>
      <c r="C25" s="54">
        <v>486.52</v>
      </c>
      <c r="D25" s="52">
        <v>315611</v>
      </c>
      <c r="E25" s="178"/>
      <c r="F25" s="181"/>
      <c r="G25" s="184"/>
      <c r="H25" s="187"/>
      <c r="M25" s="55"/>
    </row>
    <row r="26" spans="1:13" ht="14.25" thickBot="1">
      <c r="B26" s="36">
        <v>6</v>
      </c>
      <c r="C26" s="54">
        <v>495.5</v>
      </c>
      <c r="D26" s="52">
        <v>315255</v>
      </c>
      <c r="E26" s="179"/>
      <c r="F26" s="182"/>
      <c r="G26" s="185"/>
      <c r="H26" s="188"/>
    </row>
    <row r="27" spans="1:13" ht="14.25" thickBot="1">
      <c r="B27" s="37" t="s">
        <v>4</v>
      </c>
      <c r="C27" s="189"/>
      <c r="D27" s="190"/>
      <c r="E27" s="190"/>
      <c r="F27" s="190"/>
      <c r="G27" s="190"/>
      <c r="H27" s="191"/>
    </row>
    <row r="28" spans="1:13" ht="14.25" thickBot="1"/>
    <row r="29" spans="1:13" ht="27" thickBot="1">
      <c r="A29" s="132" t="s">
        <v>296</v>
      </c>
      <c r="B29" s="34" t="s">
        <v>9</v>
      </c>
      <c r="C29" s="35" t="s">
        <v>16</v>
      </c>
      <c r="D29" s="35" t="s">
        <v>3</v>
      </c>
      <c r="E29" s="35" t="s">
        <v>17</v>
      </c>
      <c r="F29" s="35" t="s">
        <v>18</v>
      </c>
      <c r="G29" s="35" t="s">
        <v>19</v>
      </c>
      <c r="H29" s="31" t="s">
        <v>20</v>
      </c>
      <c r="I29" s="38" t="s">
        <v>21</v>
      </c>
      <c r="J29" s="39" t="s">
        <v>22</v>
      </c>
      <c r="K29" s="40" t="s">
        <v>23</v>
      </c>
    </row>
    <row r="30" spans="1:13" ht="14.25" thickBot="1">
      <c r="A30" s="40"/>
      <c r="B30" s="36">
        <v>1</v>
      </c>
      <c r="C30" s="54">
        <v>162.28</v>
      </c>
      <c r="D30" s="52">
        <v>99977</v>
      </c>
      <c r="E30" s="177">
        <v>1.8</v>
      </c>
      <c r="F30" s="180">
        <v>2.5499999999999998</v>
      </c>
      <c r="G30" s="183">
        <f>ROUND(F30/1,1)</f>
        <v>2.6</v>
      </c>
      <c r="H30" s="186">
        <f>G30/25*100</f>
        <v>10.4</v>
      </c>
      <c r="I30" s="38">
        <f>AVERAGE(D30:D35)</f>
        <v>100073.16666666667</v>
      </c>
      <c r="J30" s="8">
        <f>STDEV(D30:D35)</f>
        <v>1775.4050148252559</v>
      </c>
      <c r="K30" s="53">
        <f>J30/I30*100</f>
        <v>1.7741069598995958</v>
      </c>
      <c r="M30" s="55"/>
    </row>
    <row r="31" spans="1:13" ht="14.25" thickBot="1">
      <c r="B31" s="36">
        <v>2</v>
      </c>
      <c r="C31" s="54">
        <v>183.67</v>
      </c>
      <c r="D31" s="52">
        <v>101372</v>
      </c>
      <c r="E31" s="178"/>
      <c r="F31" s="181"/>
      <c r="G31" s="184"/>
      <c r="H31" s="187"/>
      <c r="M31" s="55"/>
    </row>
    <row r="32" spans="1:13" ht="14.25" thickBot="1">
      <c r="B32" s="36">
        <v>3</v>
      </c>
      <c r="C32" s="54">
        <v>194.85</v>
      </c>
      <c r="D32" s="52">
        <v>96583</v>
      </c>
      <c r="E32" s="178"/>
      <c r="F32" s="181"/>
      <c r="G32" s="184"/>
      <c r="H32" s="187"/>
      <c r="M32" s="55"/>
    </row>
    <row r="33" spans="1:15" ht="14.25" thickBot="1">
      <c r="B33" s="36">
        <v>4</v>
      </c>
      <c r="C33" s="54">
        <v>242.34</v>
      </c>
      <c r="D33" s="52">
        <v>101019</v>
      </c>
      <c r="E33" s="178"/>
      <c r="F33" s="181"/>
      <c r="G33" s="184"/>
      <c r="H33" s="187"/>
      <c r="M33" s="55"/>
    </row>
    <row r="34" spans="1:15" ht="14.25" thickBot="1">
      <c r="B34" s="36">
        <v>5</v>
      </c>
      <c r="C34" s="54">
        <v>175.57</v>
      </c>
      <c r="D34" s="52">
        <v>100954</v>
      </c>
      <c r="E34" s="178"/>
      <c r="F34" s="181"/>
      <c r="G34" s="184"/>
      <c r="H34" s="187"/>
      <c r="M34" s="55"/>
    </row>
    <row r="35" spans="1:15" ht="14.25" thickBot="1">
      <c r="B35" s="36">
        <v>6</v>
      </c>
      <c r="C35" s="54">
        <v>166.09</v>
      </c>
      <c r="D35" s="52">
        <v>100534</v>
      </c>
      <c r="E35" s="179"/>
      <c r="F35" s="182"/>
      <c r="G35" s="185"/>
      <c r="H35" s="188"/>
    </row>
    <row r="36" spans="1:15" ht="14.25" thickBot="1">
      <c r="B36" s="37" t="s">
        <v>4</v>
      </c>
      <c r="C36" s="189"/>
      <c r="D36" s="190"/>
      <c r="E36" s="190"/>
      <c r="F36" s="190"/>
      <c r="G36" s="190"/>
      <c r="H36" s="191"/>
    </row>
    <row r="40" spans="1:15" s="6" customFormat="1" ht="14.25">
      <c r="A40" s="14">
        <v>46162</v>
      </c>
      <c r="B40" s="13"/>
      <c r="C40" s="15"/>
      <c r="D40" s="13"/>
      <c r="E40" s="6">
        <v>10</v>
      </c>
      <c r="F40" s="6">
        <v>0.05</v>
      </c>
      <c r="G40" s="6">
        <v>0.1</v>
      </c>
      <c r="H40" s="6">
        <v>0.5</v>
      </c>
      <c r="I40" s="6">
        <v>1</v>
      </c>
      <c r="J40" s="6">
        <v>1.5</v>
      </c>
      <c r="K40" s="6">
        <v>2</v>
      </c>
    </row>
    <row r="41" spans="1:15" s="6" customFormat="1" ht="14.25">
      <c r="A41" s="16" t="s">
        <v>0</v>
      </c>
      <c r="B41" s="17" t="s">
        <v>1</v>
      </c>
      <c r="C41" s="111" t="s">
        <v>133</v>
      </c>
      <c r="D41" s="17" t="s">
        <v>117</v>
      </c>
      <c r="E41" s="17" t="s">
        <v>118</v>
      </c>
      <c r="F41" s="102" t="s">
        <v>119</v>
      </c>
      <c r="G41" s="102" t="s">
        <v>120</v>
      </c>
      <c r="H41" s="102" t="s">
        <v>121</v>
      </c>
      <c r="I41" s="102" t="s">
        <v>122</v>
      </c>
      <c r="J41" s="102" t="s">
        <v>123</v>
      </c>
      <c r="K41" s="102" t="s">
        <v>124</v>
      </c>
    </row>
    <row r="42" spans="1:15" s="6" customFormat="1" ht="14.25">
      <c r="A42" s="111" t="s">
        <v>129</v>
      </c>
      <c r="B42" s="18">
        <v>2.0379999999999998</v>
      </c>
      <c r="C42" s="47">
        <v>0.99470000000000003</v>
      </c>
      <c r="D42" s="28">
        <f>B42*C42/20*1000*1000</f>
        <v>101359.93</v>
      </c>
      <c r="E42" s="103">
        <f>D42*1/20*2/20</f>
        <v>506.79964999999993</v>
      </c>
      <c r="F42" s="112">
        <f>ROUND($E$42*F40/20,2)</f>
        <v>1.27</v>
      </c>
      <c r="G42" s="112">
        <f t="shared" ref="G42:K42" si="2">ROUND($E$42*G40/20,2)</f>
        <v>2.5299999999999998</v>
      </c>
      <c r="H42" s="112">
        <f t="shared" si="2"/>
        <v>12.67</v>
      </c>
      <c r="I42" s="112">
        <f t="shared" si="2"/>
        <v>25.34</v>
      </c>
      <c r="J42" s="112">
        <f t="shared" si="2"/>
        <v>38.01</v>
      </c>
      <c r="K42" s="112">
        <f t="shared" si="2"/>
        <v>50.68</v>
      </c>
      <c r="O42" s="56"/>
    </row>
    <row r="43" spans="1:15" s="6" customFormat="1" ht="14.25">
      <c r="A43" s="111" t="s">
        <v>131</v>
      </c>
      <c r="B43" s="18">
        <v>2.0499999999999998</v>
      </c>
      <c r="C43" s="47">
        <v>1</v>
      </c>
      <c r="D43" s="28">
        <f>B43*C43/20*1000*1000</f>
        <v>102500</v>
      </c>
      <c r="E43" s="103">
        <f t="shared" ref="E43:E44" si="3">D43*1/20*2/20</f>
        <v>512.5</v>
      </c>
      <c r="F43" s="112">
        <f>ROUND($E$43*F40/20,2)</f>
        <v>1.28</v>
      </c>
      <c r="G43" s="112">
        <f>ROUND($E$43*G40/20,2)</f>
        <v>2.56</v>
      </c>
      <c r="H43" s="112">
        <f>ROUND($E$43*H40/20,2)</f>
        <v>12.81</v>
      </c>
      <c r="I43" s="128">
        <v>25.62</v>
      </c>
      <c r="J43" s="112">
        <f>ROUND($E$43*J40/20,2)</f>
        <v>38.44</v>
      </c>
      <c r="K43" s="112">
        <f>ROUND($E$43*K40/20,2)</f>
        <v>51.25</v>
      </c>
      <c r="O43" s="56"/>
    </row>
    <row r="44" spans="1:15" s="6" customFormat="1" ht="14.25">
      <c r="A44" s="111" t="s">
        <v>132</v>
      </c>
      <c r="B44" s="18">
        <v>2.0489999999999999</v>
      </c>
      <c r="C44" s="47">
        <v>0.99370000000000003</v>
      </c>
      <c r="D44" s="28">
        <f>B44*C44/20*1000*1000</f>
        <v>101804.56499999999</v>
      </c>
      <c r="E44" s="103">
        <f t="shared" si="3"/>
        <v>509.0228249999999</v>
      </c>
      <c r="F44" s="112">
        <f>ROUND($E$44*F40/20,2)</f>
        <v>1.27</v>
      </c>
      <c r="G44" s="112">
        <f t="shared" ref="G44:K44" si="4">ROUND($E$44*G40/20,2)</f>
        <v>2.5499999999999998</v>
      </c>
      <c r="H44" s="112">
        <f t="shared" si="4"/>
        <v>12.73</v>
      </c>
      <c r="I44" s="112">
        <f t="shared" si="4"/>
        <v>25.45</v>
      </c>
      <c r="J44" s="112">
        <f t="shared" si="4"/>
        <v>38.18</v>
      </c>
      <c r="K44" s="112">
        <f t="shared" si="4"/>
        <v>50.9</v>
      </c>
      <c r="O44" s="56"/>
    </row>
    <row r="45" spans="1:15">
      <c r="M45" s="61">
        <v>146987</v>
      </c>
    </row>
    <row r="46" spans="1:15" ht="14.25" thickBot="1">
      <c r="M46" s="61">
        <v>296584</v>
      </c>
    </row>
    <row r="47" spans="1:15" ht="17.45" customHeight="1" thickBot="1">
      <c r="A47" s="86" t="s">
        <v>299</v>
      </c>
      <c r="B47" s="87" t="s">
        <v>90</v>
      </c>
      <c r="C47" s="88" t="s">
        <v>91</v>
      </c>
      <c r="D47" s="88" t="s">
        <v>92</v>
      </c>
      <c r="E47" s="88" t="s">
        <v>93</v>
      </c>
      <c r="F47" s="88" t="s">
        <v>94</v>
      </c>
      <c r="G47" s="88" t="s">
        <v>95</v>
      </c>
      <c r="H47"/>
      <c r="I47"/>
      <c r="J47"/>
    </row>
    <row r="48" spans="1:15" ht="17.45" customHeight="1" thickBot="1">
      <c r="A48" s="132" t="s">
        <v>297</v>
      </c>
      <c r="B48" s="37" t="s">
        <v>96</v>
      </c>
      <c r="C48" s="30">
        <v>2.5299999999999998</v>
      </c>
      <c r="D48" s="3">
        <v>12.67</v>
      </c>
      <c r="E48" s="3">
        <v>25.34</v>
      </c>
      <c r="F48" s="3">
        <v>38.01</v>
      </c>
      <c r="G48" s="3">
        <v>50.68</v>
      </c>
      <c r="H48"/>
      <c r="I48"/>
      <c r="J48"/>
    </row>
    <row r="49" spans="1:10" ht="17.45" customHeight="1" thickBot="1">
      <c r="B49" s="37" t="s">
        <v>3</v>
      </c>
      <c r="C49" s="19">
        <v>157524</v>
      </c>
      <c r="D49" s="4">
        <v>782288</v>
      </c>
      <c r="E49" s="4">
        <v>1556490</v>
      </c>
      <c r="F49" s="4">
        <v>2312100</v>
      </c>
      <c r="G49" s="4">
        <v>3070865</v>
      </c>
      <c r="H49"/>
      <c r="I49"/>
      <c r="J49"/>
    </row>
    <row r="50" spans="1:10" ht="17.45" customHeight="1" thickBot="1">
      <c r="B50" s="37" t="s">
        <v>97</v>
      </c>
      <c r="C50" s="67">
        <f xml:space="preserve"> ROUND(60983*C48 + 3461.07,0)</f>
        <v>157748</v>
      </c>
      <c r="D50" s="67">
        <f t="shared" ref="D50:G50" si="5" xml:space="preserve"> ROUND(60983*D48 + 3461.07,0)</f>
        <v>776116</v>
      </c>
      <c r="E50" s="67">
        <f t="shared" si="5"/>
        <v>1548770</v>
      </c>
      <c r="F50" s="67">
        <f t="shared" si="5"/>
        <v>2321425</v>
      </c>
      <c r="G50" s="67">
        <f t="shared" si="5"/>
        <v>3094080</v>
      </c>
      <c r="H50"/>
      <c r="I50"/>
      <c r="J50"/>
    </row>
    <row r="51" spans="1:10" ht="17.45" customHeight="1" thickBot="1">
      <c r="B51" s="37" t="s">
        <v>98</v>
      </c>
      <c r="C51" s="67">
        <f>C49-C50</f>
        <v>-224</v>
      </c>
      <c r="D51" s="67">
        <f t="shared" ref="D51:G51" si="6">D49-D50</f>
        <v>6172</v>
      </c>
      <c r="E51" s="67">
        <f t="shared" si="6"/>
        <v>7720</v>
      </c>
      <c r="F51" s="67">
        <f t="shared" si="6"/>
        <v>-9325</v>
      </c>
      <c r="G51" s="67">
        <f t="shared" si="6"/>
        <v>-23215</v>
      </c>
      <c r="H51"/>
      <c r="I51"/>
      <c r="J51"/>
    </row>
    <row r="52" spans="1:10" ht="17.45" customHeight="1" thickBot="1">
      <c r="B52" s="37" t="s">
        <v>99</v>
      </c>
      <c r="C52" s="93">
        <f>ROUND(C51/C50*100,3)</f>
        <v>-0.14199999999999999</v>
      </c>
      <c r="D52" s="93">
        <f t="shared" ref="D52:G52" si="7">ROUND(D51/D50*100,3)</f>
        <v>0.79500000000000004</v>
      </c>
      <c r="E52" s="93">
        <f t="shared" si="7"/>
        <v>0.498</v>
      </c>
      <c r="F52" s="93">
        <f t="shared" si="7"/>
        <v>-0.40200000000000002</v>
      </c>
      <c r="G52" s="93">
        <f t="shared" si="7"/>
        <v>-0.75</v>
      </c>
      <c r="H52"/>
      <c r="I52"/>
      <c r="J52"/>
    </row>
    <row r="53" spans="1:10" ht="17.45" customHeight="1" thickBot="1">
      <c r="B53" s="37" t="s">
        <v>100</v>
      </c>
      <c r="C53" s="192"/>
      <c r="D53" s="193"/>
      <c r="E53" s="193"/>
      <c r="F53" s="193"/>
      <c r="G53" s="194"/>
      <c r="H53"/>
      <c r="I53"/>
      <c r="J53"/>
    </row>
    <row r="54" spans="1:10" ht="17.45" customHeight="1" thickBot="1">
      <c r="B54" s="37" t="s">
        <v>101</v>
      </c>
      <c r="C54" s="192"/>
      <c r="D54" s="193"/>
      <c r="E54" s="193"/>
      <c r="F54" s="193"/>
      <c r="G54" s="194"/>
      <c r="H54"/>
      <c r="I54"/>
      <c r="J54"/>
    </row>
    <row r="55" spans="1:10" ht="17.45" customHeight="1" thickBot="1">
      <c r="B55" s="37" t="s">
        <v>102</v>
      </c>
      <c r="C55" s="195" t="s">
        <v>300</v>
      </c>
      <c r="D55" s="196"/>
      <c r="E55" s="196"/>
      <c r="F55" s="196"/>
      <c r="G55" s="197"/>
      <c r="H55"/>
      <c r="I55"/>
      <c r="J55"/>
    </row>
    <row r="56" spans="1:10" ht="17.45" customHeight="1" thickBot="1">
      <c r="B56" s="37" t="s">
        <v>103</v>
      </c>
      <c r="C56" s="195">
        <v>0.99990000000000001</v>
      </c>
      <c r="D56" s="196"/>
      <c r="E56" s="196"/>
      <c r="F56" s="196"/>
      <c r="G56" s="197"/>
      <c r="H56"/>
      <c r="I56"/>
      <c r="J56"/>
    </row>
    <row r="57" spans="1:10" ht="42.6" customHeight="1">
      <c r="B57" s="198" t="s">
        <v>4</v>
      </c>
      <c r="C57" s="200"/>
      <c r="D57" s="201"/>
      <c r="E57" s="201"/>
      <c r="F57" s="201"/>
      <c r="G57" s="202"/>
      <c r="H57"/>
      <c r="I57"/>
      <c r="J57"/>
    </row>
    <row r="58" spans="1:10" ht="56.1" customHeight="1" thickBot="1">
      <c r="B58" s="199"/>
      <c r="C58" s="203" t="s">
        <v>104</v>
      </c>
      <c r="D58" s="204"/>
      <c r="E58" s="204"/>
      <c r="F58" s="204"/>
      <c r="G58" s="205"/>
      <c r="H58"/>
      <c r="I58"/>
      <c r="J58"/>
    </row>
    <row r="59" spans="1:10" ht="17.45" customHeight="1">
      <c r="C59"/>
      <c r="D59"/>
      <c r="E59"/>
      <c r="G59"/>
      <c r="H59"/>
      <c r="I59"/>
      <c r="J59"/>
    </row>
    <row r="62" spans="1:10">
      <c r="A62" s="53">
        <v>2.5299999999999998</v>
      </c>
      <c r="B62">
        <v>157524</v>
      </c>
    </row>
    <row r="63" spans="1:10">
      <c r="A63" s="53">
        <v>12.67</v>
      </c>
      <c r="B63">
        <v>782288</v>
      </c>
      <c r="G63" s="24" t="s">
        <v>110</v>
      </c>
      <c r="H63" s="27">
        <v>3461.07</v>
      </c>
    </row>
    <row r="64" spans="1:10">
      <c r="A64" s="53">
        <v>25.34</v>
      </c>
      <c r="B64">
        <v>1556490</v>
      </c>
      <c r="G64" s="24" t="s">
        <v>111</v>
      </c>
      <c r="H64" s="27">
        <f>60983*25 + 3461.07</f>
        <v>1528036.07</v>
      </c>
    </row>
    <row r="65" spans="1:10">
      <c r="A65" s="53">
        <v>38.01</v>
      </c>
      <c r="B65">
        <v>2312100</v>
      </c>
      <c r="G65" s="98" t="s">
        <v>112</v>
      </c>
      <c r="H65" s="99">
        <f>H63/H64*100</f>
        <v>0.22650446988466705</v>
      </c>
    </row>
    <row r="66" spans="1:10">
      <c r="A66" s="53">
        <v>50.68</v>
      </c>
      <c r="B66">
        <v>3070865</v>
      </c>
    </row>
    <row r="77" spans="1:10" ht="14.25" thickBot="1"/>
    <row r="78" spans="1:10" ht="17.45" customHeight="1" thickBot="1">
      <c r="A78" s="86" t="s">
        <v>299</v>
      </c>
      <c r="B78" s="87" t="s">
        <v>90</v>
      </c>
      <c r="C78" s="88" t="s">
        <v>91</v>
      </c>
      <c r="D78" s="88" t="s">
        <v>92</v>
      </c>
      <c r="E78" s="88" t="s">
        <v>93</v>
      </c>
      <c r="F78" s="88" t="s">
        <v>94</v>
      </c>
      <c r="G78" s="88" t="s">
        <v>95</v>
      </c>
      <c r="H78"/>
      <c r="I78"/>
      <c r="J78"/>
    </row>
    <row r="79" spans="1:10" ht="17.45" customHeight="1" thickBot="1">
      <c r="A79" s="132" t="s">
        <v>295</v>
      </c>
      <c r="B79" s="37" t="s">
        <v>96</v>
      </c>
      <c r="C79" s="89">
        <v>2.56</v>
      </c>
      <c r="D79" s="90">
        <v>12.81</v>
      </c>
      <c r="E79" s="90">
        <v>25.62</v>
      </c>
      <c r="F79" s="90">
        <v>38.44</v>
      </c>
      <c r="G79" s="90">
        <v>51.25</v>
      </c>
      <c r="H79"/>
      <c r="I79"/>
      <c r="J79"/>
    </row>
    <row r="80" spans="1:10" ht="17.45" customHeight="1" thickBot="1">
      <c r="B80" s="37" t="s">
        <v>3</v>
      </c>
      <c r="C80" s="91">
        <v>310048</v>
      </c>
      <c r="D80" s="92">
        <v>1553302</v>
      </c>
      <c r="E80" s="92">
        <v>3043807</v>
      </c>
      <c r="F80" s="92">
        <v>4589359</v>
      </c>
      <c r="G80" s="92">
        <v>6096396</v>
      </c>
      <c r="H80"/>
      <c r="I80"/>
      <c r="J80"/>
    </row>
    <row r="81" spans="1:10" ht="17.45" customHeight="1" thickBot="1">
      <c r="B81" s="37" t="s">
        <v>97</v>
      </c>
      <c r="C81" s="67">
        <f xml:space="preserve"> ROUND(119348*C79 +5027.65,0)</f>
        <v>310559</v>
      </c>
      <c r="D81" s="67">
        <f t="shared" ref="D81:G81" si="8" xml:space="preserve"> ROUND(119348*D79 +5027.65,0)</f>
        <v>1533876</v>
      </c>
      <c r="E81" s="67">
        <f t="shared" si="8"/>
        <v>3062723</v>
      </c>
      <c r="F81" s="67">
        <f t="shared" si="8"/>
        <v>4592765</v>
      </c>
      <c r="G81" s="67">
        <f t="shared" si="8"/>
        <v>6121613</v>
      </c>
      <c r="H81"/>
      <c r="I81"/>
      <c r="J81"/>
    </row>
    <row r="82" spans="1:10" ht="17.45" customHeight="1" thickBot="1">
      <c r="B82" s="37" t="s">
        <v>98</v>
      </c>
      <c r="C82" s="67">
        <f>C80-C81</f>
        <v>-511</v>
      </c>
      <c r="D82" s="67">
        <f t="shared" ref="D82:G82" si="9">D80-D81</f>
        <v>19426</v>
      </c>
      <c r="E82" s="67">
        <f t="shared" si="9"/>
        <v>-18916</v>
      </c>
      <c r="F82" s="67">
        <f t="shared" si="9"/>
        <v>-3406</v>
      </c>
      <c r="G82" s="67">
        <f t="shared" si="9"/>
        <v>-25217</v>
      </c>
      <c r="H82"/>
      <c r="I82"/>
      <c r="J82"/>
    </row>
    <row r="83" spans="1:10" ht="17.45" customHeight="1" thickBot="1">
      <c r="B83" s="37" t="s">
        <v>99</v>
      </c>
      <c r="C83" s="93">
        <f>ROUND(C82/C81*100,3)</f>
        <v>-0.16500000000000001</v>
      </c>
      <c r="D83" s="93">
        <f t="shared" ref="D83:G83" si="10">ROUND(D82/D81*100,3)</f>
        <v>1.266</v>
      </c>
      <c r="E83" s="93">
        <f t="shared" si="10"/>
        <v>-0.61799999999999999</v>
      </c>
      <c r="F83" s="93">
        <f t="shared" si="10"/>
        <v>-7.3999999999999996E-2</v>
      </c>
      <c r="G83" s="93">
        <f t="shared" si="10"/>
        <v>-0.41199999999999998</v>
      </c>
      <c r="H83"/>
      <c r="I83"/>
      <c r="J83"/>
    </row>
    <row r="84" spans="1:10" ht="17.45" customHeight="1" thickBot="1">
      <c r="B84" s="37" t="s">
        <v>100</v>
      </c>
      <c r="C84" s="192"/>
      <c r="D84" s="193"/>
      <c r="E84" s="193"/>
      <c r="F84" s="193"/>
      <c r="G84" s="194"/>
      <c r="H84"/>
      <c r="I84"/>
      <c r="J84"/>
    </row>
    <row r="85" spans="1:10" ht="17.45" customHeight="1" thickBot="1">
      <c r="B85" s="37" t="s">
        <v>101</v>
      </c>
      <c r="C85" s="192"/>
      <c r="D85" s="193"/>
      <c r="E85" s="193"/>
      <c r="F85" s="193"/>
      <c r="G85" s="194"/>
      <c r="H85"/>
      <c r="I85"/>
      <c r="J85"/>
    </row>
    <row r="86" spans="1:10" ht="17.45" customHeight="1" thickBot="1">
      <c r="B86" s="37" t="s">
        <v>102</v>
      </c>
      <c r="C86" s="195" t="s">
        <v>301</v>
      </c>
      <c r="D86" s="196"/>
      <c r="E86" s="196"/>
      <c r="F86" s="196"/>
      <c r="G86" s="197"/>
      <c r="H86"/>
      <c r="I86"/>
      <c r="J86"/>
    </row>
    <row r="87" spans="1:10" ht="17.45" customHeight="1" thickBot="1">
      <c r="B87" s="37" t="s">
        <v>103</v>
      </c>
      <c r="C87" s="195">
        <v>0.99990000000000001</v>
      </c>
      <c r="D87" s="196"/>
      <c r="E87" s="196"/>
      <c r="F87" s="196"/>
      <c r="G87" s="197"/>
      <c r="H87"/>
      <c r="I87"/>
      <c r="J87"/>
    </row>
    <row r="88" spans="1:10" ht="42.6" customHeight="1">
      <c r="B88" s="198" t="s">
        <v>4</v>
      </c>
      <c r="C88" s="200"/>
      <c r="D88" s="201"/>
      <c r="E88" s="201"/>
      <c r="F88" s="201"/>
      <c r="G88" s="202"/>
      <c r="H88"/>
      <c r="I88"/>
      <c r="J88"/>
    </row>
    <row r="89" spans="1:10" ht="56.1" customHeight="1" thickBot="1">
      <c r="B89" s="199"/>
      <c r="C89" s="203" t="s">
        <v>104</v>
      </c>
      <c r="D89" s="204"/>
      <c r="E89" s="204"/>
      <c r="F89" s="204"/>
      <c r="G89" s="205"/>
      <c r="H89"/>
      <c r="I89"/>
      <c r="J89"/>
    </row>
    <row r="93" spans="1:10">
      <c r="A93">
        <v>2.56</v>
      </c>
      <c r="B93">
        <v>310048</v>
      </c>
      <c r="G93" s="24" t="s">
        <v>110</v>
      </c>
      <c r="H93" s="27">
        <v>5027.6499999999996</v>
      </c>
    </row>
    <row r="94" spans="1:10">
      <c r="A94">
        <v>12.81</v>
      </c>
      <c r="B94">
        <v>1553302</v>
      </c>
      <c r="G94" s="24" t="s">
        <v>111</v>
      </c>
      <c r="H94" s="27">
        <f>119348*25+5027.65</f>
        <v>2988727.65</v>
      </c>
    </row>
    <row r="95" spans="1:10">
      <c r="A95">
        <v>25.62</v>
      </c>
      <c r="B95">
        <v>3043807</v>
      </c>
      <c r="G95" s="98" t="s">
        <v>112</v>
      </c>
      <c r="H95" s="99">
        <f>H93/H94*100</f>
        <v>0.16822041312462846</v>
      </c>
    </row>
    <row r="96" spans="1:10">
      <c r="A96">
        <v>38.44</v>
      </c>
      <c r="B96">
        <v>4589359</v>
      </c>
    </row>
    <row r="97" spans="1:10">
      <c r="A97">
        <v>51.25</v>
      </c>
      <c r="B97">
        <v>6096396</v>
      </c>
    </row>
    <row r="108" spans="1:10" ht="14.25" thickBot="1"/>
    <row r="109" spans="1:10" ht="17.45" customHeight="1" thickBot="1">
      <c r="A109" s="86" t="s">
        <v>299</v>
      </c>
      <c r="B109" s="87" t="s">
        <v>90</v>
      </c>
      <c r="C109" s="88" t="s">
        <v>91</v>
      </c>
      <c r="D109" s="88" t="s">
        <v>92</v>
      </c>
      <c r="E109" s="88" t="s">
        <v>93</v>
      </c>
      <c r="F109" s="88" t="s">
        <v>94</v>
      </c>
      <c r="G109" s="88" t="s">
        <v>95</v>
      </c>
      <c r="H109"/>
      <c r="I109"/>
      <c r="J109"/>
    </row>
    <row r="110" spans="1:10" ht="17.45" customHeight="1" thickBot="1">
      <c r="A110" s="132" t="s">
        <v>296</v>
      </c>
      <c r="B110" s="37" t="s">
        <v>96</v>
      </c>
      <c r="C110" s="30">
        <v>2.5499999999999998</v>
      </c>
      <c r="D110" s="3">
        <v>12.73</v>
      </c>
      <c r="E110" s="3">
        <v>25.45</v>
      </c>
      <c r="F110" s="3">
        <v>38.18</v>
      </c>
      <c r="G110" s="3">
        <v>50.9</v>
      </c>
      <c r="H110"/>
      <c r="I110"/>
      <c r="J110"/>
    </row>
    <row r="111" spans="1:10" ht="17.45" customHeight="1" thickBot="1">
      <c r="B111" s="37" t="s">
        <v>3</v>
      </c>
      <c r="C111" s="19">
        <v>96891</v>
      </c>
      <c r="D111" s="4">
        <v>485608</v>
      </c>
      <c r="E111" s="4">
        <v>985017</v>
      </c>
      <c r="F111" s="4">
        <v>1460350</v>
      </c>
      <c r="G111" s="4">
        <v>1937067</v>
      </c>
      <c r="H111"/>
      <c r="I111"/>
      <c r="J111"/>
    </row>
    <row r="112" spans="1:10" ht="17.45" customHeight="1" thickBot="1">
      <c r="B112" s="37" t="s">
        <v>97</v>
      </c>
      <c r="C112" s="67">
        <f xml:space="preserve"> ROUND( 38321.8*C110 - 821.088,0)</f>
        <v>96900</v>
      </c>
      <c r="D112" s="67">
        <f t="shared" ref="D112:G112" si="11" xml:space="preserve"> ROUND( 38321.8*D110 - 821.088,0)</f>
        <v>487015</v>
      </c>
      <c r="E112" s="67">
        <f t="shared" si="11"/>
        <v>974469</v>
      </c>
      <c r="F112" s="67">
        <f t="shared" si="11"/>
        <v>1462305</v>
      </c>
      <c r="G112" s="67">
        <f t="shared" si="11"/>
        <v>1949759</v>
      </c>
      <c r="H112"/>
      <c r="I112"/>
      <c r="J112"/>
    </row>
    <row r="113" spans="1:10" ht="17.45" customHeight="1" thickBot="1">
      <c r="B113" s="37" t="s">
        <v>98</v>
      </c>
      <c r="C113" s="67">
        <f>C111-C112</f>
        <v>-9</v>
      </c>
      <c r="D113" s="67">
        <f t="shared" ref="D113:G113" si="12">D111-D112</f>
        <v>-1407</v>
      </c>
      <c r="E113" s="67">
        <f t="shared" si="12"/>
        <v>10548</v>
      </c>
      <c r="F113" s="67">
        <f t="shared" si="12"/>
        <v>-1955</v>
      </c>
      <c r="G113" s="67">
        <f t="shared" si="12"/>
        <v>-12692</v>
      </c>
      <c r="H113"/>
      <c r="I113"/>
      <c r="J113"/>
    </row>
    <row r="114" spans="1:10" ht="17.45" customHeight="1" thickBot="1">
      <c r="B114" s="37" t="s">
        <v>99</v>
      </c>
      <c r="C114" s="93">
        <f>ROUND(C113/C112*100,3)</f>
        <v>-8.9999999999999993E-3</v>
      </c>
      <c r="D114" s="93">
        <f t="shared" ref="D114:G114" si="13">ROUND(D113/D112*100,3)</f>
        <v>-0.28899999999999998</v>
      </c>
      <c r="E114" s="93">
        <f t="shared" si="13"/>
        <v>1.0820000000000001</v>
      </c>
      <c r="F114" s="93">
        <f t="shared" si="13"/>
        <v>-0.13400000000000001</v>
      </c>
      <c r="G114" s="93">
        <f t="shared" si="13"/>
        <v>-0.65100000000000002</v>
      </c>
      <c r="H114"/>
      <c r="I114"/>
      <c r="J114"/>
    </row>
    <row r="115" spans="1:10" ht="17.45" customHeight="1" thickBot="1">
      <c r="B115" s="37" t="s">
        <v>100</v>
      </c>
      <c r="C115" s="192"/>
      <c r="D115" s="193"/>
      <c r="E115" s="193"/>
      <c r="F115" s="193"/>
      <c r="G115" s="194"/>
      <c r="H115"/>
      <c r="I115"/>
      <c r="J115"/>
    </row>
    <row r="116" spans="1:10" ht="17.45" customHeight="1" thickBot="1">
      <c r="B116" s="37" t="s">
        <v>101</v>
      </c>
      <c r="C116" s="192"/>
      <c r="D116" s="193"/>
      <c r="E116" s="193"/>
      <c r="F116" s="193"/>
      <c r="G116" s="194"/>
      <c r="H116"/>
      <c r="I116"/>
      <c r="J116"/>
    </row>
    <row r="117" spans="1:10" ht="17.45" customHeight="1" thickBot="1">
      <c r="B117" s="37" t="s">
        <v>102</v>
      </c>
      <c r="C117" s="195" t="s">
        <v>302</v>
      </c>
      <c r="D117" s="196"/>
      <c r="E117" s="196"/>
      <c r="F117" s="196"/>
      <c r="G117" s="197"/>
      <c r="H117"/>
      <c r="I117"/>
      <c r="J117"/>
    </row>
    <row r="118" spans="1:10" ht="17.45" customHeight="1" thickBot="1">
      <c r="B118" s="37" t="s">
        <v>103</v>
      </c>
      <c r="C118" s="195">
        <v>0.99990000000000001</v>
      </c>
      <c r="D118" s="196"/>
      <c r="E118" s="196"/>
      <c r="F118" s="196"/>
      <c r="G118" s="197"/>
      <c r="H118"/>
      <c r="I118"/>
      <c r="J118"/>
    </row>
    <row r="119" spans="1:10" ht="42.6" customHeight="1">
      <c r="B119" s="198" t="s">
        <v>4</v>
      </c>
      <c r="C119" s="200"/>
      <c r="D119" s="201"/>
      <c r="E119" s="201"/>
      <c r="F119" s="201"/>
      <c r="G119" s="202"/>
      <c r="H119"/>
      <c r="I119"/>
      <c r="J119"/>
    </row>
    <row r="120" spans="1:10" ht="56.1" customHeight="1" thickBot="1">
      <c r="B120" s="199"/>
      <c r="C120" s="203" t="s">
        <v>104</v>
      </c>
      <c r="D120" s="204"/>
      <c r="E120" s="204"/>
      <c r="F120" s="204"/>
      <c r="G120" s="205"/>
      <c r="H120"/>
      <c r="I120"/>
      <c r="J120"/>
    </row>
    <row r="121" spans="1:10" ht="17.45" customHeight="1">
      <c r="C121"/>
      <c r="D121"/>
      <c r="E121"/>
      <c r="G121"/>
      <c r="H121"/>
      <c r="I121"/>
      <c r="J121"/>
    </row>
    <row r="124" spans="1:10">
      <c r="A124" s="53">
        <v>2.5499999999999998</v>
      </c>
      <c r="B124">
        <v>96891</v>
      </c>
    </row>
    <row r="125" spans="1:10">
      <c r="A125" s="53">
        <v>12.73</v>
      </c>
      <c r="B125">
        <v>485608</v>
      </c>
      <c r="G125" s="24" t="s">
        <v>110</v>
      </c>
      <c r="H125" s="27">
        <v>821.08799999999997</v>
      </c>
    </row>
    <row r="126" spans="1:10">
      <c r="A126" s="53">
        <v>25.45</v>
      </c>
      <c r="B126">
        <v>985017</v>
      </c>
      <c r="G126" s="24" t="s">
        <v>111</v>
      </c>
      <c r="H126" s="27">
        <f>38321.8*25 - 821.088</f>
        <v>957223.91200000013</v>
      </c>
    </row>
    <row r="127" spans="1:10">
      <c r="A127" s="53">
        <v>38.18</v>
      </c>
      <c r="B127">
        <v>1460350</v>
      </c>
      <c r="G127" s="98" t="s">
        <v>112</v>
      </c>
      <c r="H127" s="99">
        <f>H125/H126*100</f>
        <v>8.5778049389138106E-2</v>
      </c>
    </row>
    <row r="128" spans="1:10">
      <c r="A128" s="53">
        <v>50.9</v>
      </c>
      <c r="B128">
        <v>1937067</v>
      </c>
    </row>
    <row r="144" spans="1:11" s="6" customFormat="1" ht="14.25">
      <c r="A144" s="14">
        <v>46163</v>
      </c>
      <c r="B144" s="13"/>
      <c r="C144" s="15"/>
      <c r="D144" s="13"/>
      <c r="E144" s="6">
        <v>10</v>
      </c>
      <c r="F144" s="6">
        <v>0.05</v>
      </c>
      <c r="G144" s="6">
        <v>0.1</v>
      </c>
      <c r="H144" s="6">
        <v>0.5</v>
      </c>
      <c r="I144" s="6">
        <v>1</v>
      </c>
      <c r="J144" s="6">
        <v>1.5</v>
      </c>
      <c r="K144" s="6">
        <v>2</v>
      </c>
    </row>
    <row r="145" spans="1:15" s="6" customFormat="1" ht="14.25">
      <c r="A145" s="16" t="s">
        <v>0</v>
      </c>
      <c r="B145" s="17" t="s">
        <v>1</v>
      </c>
      <c r="C145" s="111" t="s">
        <v>133</v>
      </c>
      <c r="D145" s="17" t="s">
        <v>117</v>
      </c>
      <c r="E145" s="17" t="s">
        <v>118</v>
      </c>
      <c r="F145" s="102" t="s">
        <v>119</v>
      </c>
      <c r="G145" s="102" t="s">
        <v>120</v>
      </c>
      <c r="H145" s="102" t="s">
        <v>121</v>
      </c>
      <c r="I145" s="102" t="s">
        <v>122</v>
      </c>
      <c r="J145" s="102" t="s">
        <v>123</v>
      </c>
      <c r="K145" s="102" t="s">
        <v>124</v>
      </c>
    </row>
    <row r="146" spans="1:15" s="6" customFormat="1" ht="14.25">
      <c r="A146" s="111" t="s">
        <v>129</v>
      </c>
      <c r="B146" s="18">
        <v>2.0219999999999998</v>
      </c>
      <c r="C146" s="47">
        <v>0.99470000000000003</v>
      </c>
      <c r="D146" s="28">
        <f>B146*C146/20*1000*1000</f>
        <v>100564.16999999998</v>
      </c>
      <c r="E146" s="103">
        <f>D146*1/20*2/20</f>
        <v>502.82084999999989</v>
      </c>
      <c r="F146" s="112">
        <f>ROUND($E$146*F144/20,2)</f>
        <v>1.26</v>
      </c>
      <c r="G146" s="112">
        <f t="shared" ref="G146:K146" si="14">ROUND($E$146*G144/20,2)</f>
        <v>2.5099999999999998</v>
      </c>
      <c r="H146" s="112">
        <f t="shared" si="14"/>
        <v>12.57</v>
      </c>
      <c r="I146" s="112">
        <f t="shared" si="14"/>
        <v>25.14</v>
      </c>
      <c r="J146" s="112">
        <f t="shared" si="14"/>
        <v>37.71</v>
      </c>
      <c r="K146" s="112">
        <f t="shared" si="14"/>
        <v>50.28</v>
      </c>
      <c r="O146" s="56"/>
    </row>
    <row r="147" spans="1:15" s="6" customFormat="1" ht="14.25">
      <c r="A147" s="111" t="s">
        <v>131</v>
      </c>
      <c r="B147" s="18">
        <v>2.0270000000000001</v>
      </c>
      <c r="C147" s="47">
        <v>1</v>
      </c>
      <c r="D147" s="28">
        <f>B147*C147/20*1000*1000</f>
        <v>101350.00000000001</v>
      </c>
      <c r="E147" s="103">
        <f t="shared" ref="E147:E148" si="15">D147*1/20*2/20</f>
        <v>506.75000000000011</v>
      </c>
      <c r="F147" s="112">
        <f>ROUND($E$147*F144/20,2)</f>
        <v>1.27</v>
      </c>
      <c r="G147" s="112">
        <f t="shared" ref="G147:K147" si="16">ROUND($E$147*G144/20,2)</f>
        <v>2.5299999999999998</v>
      </c>
      <c r="H147" s="112">
        <f t="shared" si="16"/>
        <v>12.67</v>
      </c>
      <c r="I147" s="112">
        <f t="shared" si="16"/>
        <v>25.34</v>
      </c>
      <c r="J147" s="112">
        <f t="shared" si="16"/>
        <v>38.01</v>
      </c>
      <c r="K147" s="112">
        <f t="shared" si="16"/>
        <v>50.68</v>
      </c>
      <c r="O147" s="56"/>
    </row>
    <row r="148" spans="1:15" s="6" customFormat="1" ht="14.25">
      <c r="A148" s="111" t="s">
        <v>132</v>
      </c>
      <c r="B148" s="18">
        <v>2.0339999999999998</v>
      </c>
      <c r="C148" s="47">
        <v>0.99370000000000003</v>
      </c>
      <c r="D148" s="28">
        <f>B148*C148/20*1000*1000</f>
        <v>101059.29</v>
      </c>
      <c r="E148" s="103">
        <f t="shared" si="15"/>
        <v>505.29644999999999</v>
      </c>
      <c r="F148" s="112">
        <f>ROUND($E$148*F144/20,2)</f>
        <v>1.26</v>
      </c>
      <c r="G148" s="112">
        <f t="shared" ref="G148:K148" si="17">ROUND($E$148*G144/20,2)</f>
        <v>2.5299999999999998</v>
      </c>
      <c r="H148" s="112">
        <f t="shared" si="17"/>
        <v>12.63</v>
      </c>
      <c r="I148" s="112">
        <f t="shared" si="17"/>
        <v>25.26</v>
      </c>
      <c r="J148" s="112">
        <f t="shared" si="17"/>
        <v>37.9</v>
      </c>
      <c r="K148" s="112">
        <f t="shared" si="17"/>
        <v>50.53</v>
      </c>
      <c r="O148" s="56"/>
    </row>
    <row r="149" spans="1:15">
      <c r="M149" s="61">
        <v>146987</v>
      </c>
    </row>
    <row r="150" spans="1:15" ht="14.25" thickBot="1">
      <c r="M150" s="61">
        <v>296584</v>
      </c>
    </row>
    <row r="151" spans="1:15" ht="17.45" customHeight="1" thickBot="1">
      <c r="A151" s="86" t="s">
        <v>320</v>
      </c>
      <c r="B151" s="87" t="s">
        <v>90</v>
      </c>
      <c r="C151" s="88" t="s">
        <v>91</v>
      </c>
      <c r="D151" s="88" t="s">
        <v>92</v>
      </c>
      <c r="E151" s="88" t="s">
        <v>93</v>
      </c>
      <c r="F151" s="88" t="s">
        <v>94</v>
      </c>
      <c r="G151" s="88" t="s">
        <v>95</v>
      </c>
      <c r="H151"/>
      <c r="I151"/>
      <c r="J151"/>
    </row>
    <row r="152" spans="1:15" ht="17.45" customHeight="1" thickBot="1">
      <c r="A152" s="132" t="s">
        <v>129</v>
      </c>
      <c r="B152" s="37" t="s">
        <v>96</v>
      </c>
      <c r="C152" s="30">
        <v>2.5099999999999998</v>
      </c>
      <c r="D152" s="3">
        <v>12.57</v>
      </c>
      <c r="E152" s="3">
        <v>25.14</v>
      </c>
      <c r="F152" s="3">
        <v>37.71</v>
      </c>
      <c r="G152" s="3">
        <v>50.28</v>
      </c>
      <c r="H152"/>
      <c r="I152"/>
      <c r="J152"/>
    </row>
    <row r="153" spans="1:15" ht="17.45" customHeight="1" thickBot="1">
      <c r="B153" s="37" t="s">
        <v>3</v>
      </c>
      <c r="C153" s="19">
        <v>167727</v>
      </c>
      <c r="D153" s="4">
        <v>822338</v>
      </c>
      <c r="E153" s="4">
        <v>1638398</v>
      </c>
      <c r="F153" s="4">
        <v>2429677</v>
      </c>
      <c r="G153" s="4">
        <v>3218106</v>
      </c>
      <c r="H153"/>
      <c r="I153"/>
      <c r="J153"/>
    </row>
    <row r="154" spans="1:15" ht="17.45" customHeight="1" thickBot="1">
      <c r="B154" s="37" t="s">
        <v>97</v>
      </c>
      <c r="C154" s="67">
        <f xml:space="preserve"> ROUND(64480.4*C152 + 6110.44,0)</f>
        <v>167956</v>
      </c>
      <c r="D154" s="67">
        <f t="shared" ref="D154:G154" si="18" xml:space="preserve"> ROUND(64480.4*D152 + 6110.44,0)</f>
        <v>816629</v>
      </c>
      <c r="E154" s="67">
        <f t="shared" si="18"/>
        <v>1627148</v>
      </c>
      <c r="F154" s="67">
        <f t="shared" si="18"/>
        <v>2437666</v>
      </c>
      <c r="G154" s="67">
        <f t="shared" si="18"/>
        <v>3248185</v>
      </c>
      <c r="H154"/>
      <c r="I154"/>
      <c r="J154"/>
    </row>
    <row r="155" spans="1:15" ht="17.45" customHeight="1" thickBot="1">
      <c r="B155" s="37" t="s">
        <v>98</v>
      </c>
      <c r="C155" s="67">
        <f>C153-C154</f>
        <v>-229</v>
      </c>
      <c r="D155" s="67">
        <f t="shared" ref="D155:G155" si="19">D153-D154</f>
        <v>5709</v>
      </c>
      <c r="E155" s="67">
        <f t="shared" si="19"/>
        <v>11250</v>
      </c>
      <c r="F155" s="67">
        <f t="shared" si="19"/>
        <v>-7989</v>
      </c>
      <c r="G155" s="67">
        <f t="shared" si="19"/>
        <v>-30079</v>
      </c>
      <c r="H155"/>
      <c r="I155"/>
      <c r="J155"/>
    </row>
    <row r="156" spans="1:15" ht="17.45" customHeight="1" thickBot="1">
      <c r="B156" s="37" t="s">
        <v>99</v>
      </c>
      <c r="C156" s="93">
        <f>ROUND(C155/C154*100,3)</f>
        <v>-0.13600000000000001</v>
      </c>
      <c r="D156" s="93">
        <f t="shared" ref="D156:G156" si="20">ROUND(D155/D154*100,3)</f>
        <v>0.69899999999999995</v>
      </c>
      <c r="E156" s="93">
        <f t="shared" si="20"/>
        <v>0.69099999999999995</v>
      </c>
      <c r="F156" s="93">
        <f t="shared" si="20"/>
        <v>-0.32800000000000001</v>
      </c>
      <c r="G156" s="93">
        <f t="shared" si="20"/>
        <v>-0.92600000000000005</v>
      </c>
      <c r="H156"/>
      <c r="I156"/>
      <c r="J156"/>
    </row>
    <row r="157" spans="1:15" ht="17.45" customHeight="1" thickBot="1">
      <c r="B157" s="37" t="s">
        <v>100</v>
      </c>
      <c r="C157" s="192"/>
      <c r="D157" s="193"/>
      <c r="E157" s="193"/>
      <c r="F157" s="193"/>
      <c r="G157" s="194"/>
      <c r="H157"/>
      <c r="I157"/>
      <c r="J157"/>
    </row>
    <row r="158" spans="1:15" ht="17.45" customHeight="1" thickBot="1">
      <c r="B158" s="37" t="s">
        <v>101</v>
      </c>
      <c r="C158" s="192"/>
      <c r="D158" s="193"/>
      <c r="E158" s="193"/>
      <c r="F158" s="193"/>
      <c r="G158" s="194"/>
      <c r="H158"/>
      <c r="I158"/>
      <c r="J158"/>
    </row>
    <row r="159" spans="1:15" ht="17.45" customHeight="1" thickBot="1">
      <c r="B159" s="37" t="s">
        <v>102</v>
      </c>
      <c r="C159" s="195" t="s">
        <v>321</v>
      </c>
      <c r="D159" s="196"/>
      <c r="E159" s="196"/>
      <c r="F159" s="196"/>
      <c r="G159" s="197"/>
      <c r="H159"/>
      <c r="I159"/>
      <c r="J159"/>
    </row>
    <row r="160" spans="1:15" ht="17.45" customHeight="1" thickBot="1">
      <c r="B160" s="37" t="s">
        <v>103</v>
      </c>
      <c r="C160" s="195">
        <v>0.99990000000000001</v>
      </c>
      <c r="D160" s="196"/>
      <c r="E160" s="196"/>
      <c r="F160" s="196"/>
      <c r="G160" s="197"/>
      <c r="H160"/>
      <c r="I160"/>
      <c r="J160"/>
    </row>
    <row r="161" spans="1:10" ht="42.6" customHeight="1">
      <c r="B161" s="198" t="s">
        <v>4</v>
      </c>
      <c r="C161" s="200"/>
      <c r="D161" s="201"/>
      <c r="E161" s="201"/>
      <c r="F161" s="201"/>
      <c r="G161" s="202"/>
      <c r="H161"/>
      <c r="I161"/>
      <c r="J161"/>
    </row>
    <row r="162" spans="1:10" ht="56.1" customHeight="1" thickBot="1">
      <c r="B162" s="199"/>
      <c r="C162" s="203" t="s">
        <v>104</v>
      </c>
      <c r="D162" s="204"/>
      <c r="E162" s="204"/>
      <c r="F162" s="204"/>
      <c r="G162" s="205"/>
      <c r="H162"/>
      <c r="I162"/>
      <c r="J162"/>
    </row>
    <row r="163" spans="1:10" ht="17.45" customHeight="1">
      <c r="C163"/>
      <c r="D163"/>
      <c r="E163"/>
      <c r="G163"/>
      <c r="H163"/>
      <c r="I163"/>
      <c r="J163"/>
    </row>
    <row r="166" spans="1:10">
      <c r="A166" s="53">
        <v>2.5099999999999998</v>
      </c>
      <c r="B166">
        <v>167727</v>
      </c>
    </row>
    <row r="167" spans="1:10">
      <c r="A167" s="53">
        <v>12.57</v>
      </c>
      <c r="B167">
        <v>822338</v>
      </c>
      <c r="G167" s="24" t="s">
        <v>110</v>
      </c>
      <c r="H167" s="27">
        <v>6110.44</v>
      </c>
    </row>
    <row r="168" spans="1:10">
      <c r="A168" s="53">
        <v>25.14</v>
      </c>
      <c r="B168">
        <v>1638398</v>
      </c>
      <c r="G168" s="24" t="s">
        <v>111</v>
      </c>
      <c r="H168" s="27">
        <f>64480.4*25 + 6110.44</f>
        <v>1618120.44</v>
      </c>
    </row>
    <row r="169" spans="1:10">
      <c r="A169" s="53">
        <v>37.71</v>
      </c>
      <c r="B169">
        <v>2429677</v>
      </c>
      <c r="G169" s="98" t="s">
        <v>112</v>
      </c>
      <c r="H169" s="99">
        <f>H167/H168*100</f>
        <v>0.37762578414743964</v>
      </c>
    </row>
    <row r="170" spans="1:10">
      <c r="A170" s="53">
        <v>50.28</v>
      </c>
      <c r="B170">
        <v>3218106</v>
      </c>
    </row>
    <row r="181" spans="1:10" ht="14.25" thickBot="1"/>
    <row r="182" spans="1:10" ht="17.45" customHeight="1" thickBot="1">
      <c r="A182" s="86" t="s">
        <v>320</v>
      </c>
      <c r="B182" s="87" t="s">
        <v>90</v>
      </c>
      <c r="C182" s="88" t="s">
        <v>91</v>
      </c>
      <c r="D182" s="88" t="s">
        <v>92</v>
      </c>
      <c r="E182" s="88" t="s">
        <v>93</v>
      </c>
      <c r="F182" s="88" t="s">
        <v>94</v>
      </c>
      <c r="G182" s="88" t="s">
        <v>95</v>
      </c>
      <c r="H182"/>
      <c r="I182"/>
      <c r="J182"/>
    </row>
    <row r="183" spans="1:10" ht="17.45" customHeight="1" thickBot="1">
      <c r="A183" s="132" t="s">
        <v>131</v>
      </c>
      <c r="B183" s="37" t="s">
        <v>96</v>
      </c>
      <c r="C183" s="89">
        <v>2.5299999999999998</v>
      </c>
      <c r="D183" s="90">
        <v>12.67</v>
      </c>
      <c r="E183" s="90">
        <v>25.34</v>
      </c>
      <c r="F183" s="90">
        <v>38.01</v>
      </c>
      <c r="G183" s="90">
        <v>50.68</v>
      </c>
      <c r="H183"/>
      <c r="I183"/>
      <c r="J183"/>
    </row>
    <row r="184" spans="1:10" ht="17.45" customHeight="1" thickBot="1">
      <c r="B184" s="37" t="s">
        <v>3</v>
      </c>
      <c r="C184" s="91">
        <v>327888</v>
      </c>
      <c r="D184" s="92">
        <v>1629183</v>
      </c>
      <c r="E184" s="92">
        <v>3251310</v>
      </c>
      <c r="F184" s="92">
        <v>4849336</v>
      </c>
      <c r="G184" s="92">
        <v>6396024</v>
      </c>
      <c r="H184"/>
      <c r="I184"/>
      <c r="J184"/>
    </row>
    <row r="185" spans="1:10" ht="17.45" customHeight="1" thickBot="1">
      <c r="B185" s="37" t="s">
        <v>97</v>
      </c>
      <c r="C185" s="67">
        <f xml:space="preserve"> ROUND(127386*C183 +5986.01,0)</f>
        <v>328273</v>
      </c>
      <c r="D185" s="67">
        <f t="shared" ref="D185:G185" si="21" xml:space="preserve"> ROUND(127386*D183 +5986.01,0)</f>
        <v>1619967</v>
      </c>
      <c r="E185" s="67">
        <f t="shared" si="21"/>
        <v>3233947</v>
      </c>
      <c r="F185" s="67">
        <f t="shared" si="21"/>
        <v>4847928</v>
      </c>
      <c r="G185" s="67">
        <f t="shared" si="21"/>
        <v>6461908</v>
      </c>
      <c r="H185"/>
      <c r="I185"/>
      <c r="J185"/>
    </row>
    <row r="186" spans="1:10" ht="17.45" customHeight="1" thickBot="1">
      <c r="B186" s="37" t="s">
        <v>98</v>
      </c>
      <c r="C186" s="67">
        <f>C184-C185</f>
        <v>-385</v>
      </c>
      <c r="D186" s="67">
        <f t="shared" ref="D186:G186" si="22">D184-D185</f>
        <v>9216</v>
      </c>
      <c r="E186" s="67">
        <f t="shared" si="22"/>
        <v>17363</v>
      </c>
      <c r="F186" s="67">
        <f t="shared" si="22"/>
        <v>1408</v>
      </c>
      <c r="G186" s="67">
        <f t="shared" si="22"/>
        <v>-65884</v>
      </c>
      <c r="H186"/>
      <c r="I186"/>
      <c r="J186"/>
    </row>
    <row r="187" spans="1:10" ht="17.45" customHeight="1" thickBot="1">
      <c r="B187" s="37" t="s">
        <v>99</v>
      </c>
      <c r="C187" s="93">
        <f>ROUND(C186/C185*100,3)</f>
        <v>-0.11700000000000001</v>
      </c>
      <c r="D187" s="93">
        <f t="shared" ref="D187:G187" si="23">ROUND(D186/D185*100,3)</f>
        <v>0.56899999999999995</v>
      </c>
      <c r="E187" s="93">
        <f t="shared" si="23"/>
        <v>0.53700000000000003</v>
      </c>
      <c r="F187" s="93">
        <f t="shared" si="23"/>
        <v>2.9000000000000001E-2</v>
      </c>
      <c r="G187" s="93">
        <f t="shared" si="23"/>
        <v>-1.02</v>
      </c>
      <c r="H187"/>
      <c r="I187"/>
      <c r="J187"/>
    </row>
    <row r="188" spans="1:10" ht="17.45" customHeight="1" thickBot="1">
      <c r="B188" s="37" t="s">
        <v>100</v>
      </c>
      <c r="C188" s="192"/>
      <c r="D188" s="193"/>
      <c r="E188" s="193"/>
      <c r="F188" s="193"/>
      <c r="G188" s="194"/>
      <c r="H188"/>
      <c r="I188"/>
      <c r="J188"/>
    </row>
    <row r="189" spans="1:10" ht="17.45" customHeight="1" thickBot="1">
      <c r="B189" s="37" t="s">
        <v>101</v>
      </c>
      <c r="C189" s="192"/>
      <c r="D189" s="193"/>
      <c r="E189" s="193"/>
      <c r="F189" s="193"/>
      <c r="G189" s="194"/>
      <c r="H189"/>
      <c r="I189"/>
      <c r="J189"/>
    </row>
    <row r="190" spans="1:10" ht="17.45" customHeight="1" thickBot="1">
      <c r="B190" s="37" t="s">
        <v>102</v>
      </c>
      <c r="C190" s="195" t="s">
        <v>322</v>
      </c>
      <c r="D190" s="196"/>
      <c r="E190" s="196"/>
      <c r="F190" s="196"/>
      <c r="G190" s="197"/>
      <c r="H190"/>
      <c r="I190"/>
      <c r="J190"/>
    </row>
    <row r="191" spans="1:10" ht="17.45" customHeight="1" thickBot="1">
      <c r="B191" s="37" t="s">
        <v>103</v>
      </c>
      <c r="C191" s="195">
        <v>0.99990000000000001</v>
      </c>
      <c r="D191" s="196"/>
      <c r="E191" s="196"/>
      <c r="F191" s="196"/>
      <c r="G191" s="197"/>
      <c r="H191"/>
      <c r="I191"/>
      <c r="J191"/>
    </row>
    <row r="192" spans="1:10" ht="42.6" customHeight="1">
      <c r="B192" s="198" t="s">
        <v>4</v>
      </c>
      <c r="C192" s="200"/>
      <c r="D192" s="201"/>
      <c r="E192" s="201"/>
      <c r="F192" s="201"/>
      <c r="G192" s="202"/>
      <c r="H192"/>
      <c r="I192"/>
      <c r="J192"/>
    </row>
    <row r="193" spans="1:10" ht="56.1" customHeight="1" thickBot="1">
      <c r="B193" s="199"/>
      <c r="C193" s="203" t="s">
        <v>104</v>
      </c>
      <c r="D193" s="204"/>
      <c r="E193" s="204"/>
      <c r="F193" s="204"/>
      <c r="G193" s="205"/>
      <c r="H193"/>
      <c r="I193"/>
      <c r="J193"/>
    </row>
    <row r="197" spans="1:10">
      <c r="A197">
        <v>2.5299999999999998</v>
      </c>
      <c r="B197">
        <v>327888</v>
      </c>
      <c r="G197" s="24" t="s">
        <v>110</v>
      </c>
      <c r="H197" s="27">
        <v>5986.01</v>
      </c>
    </row>
    <row r="198" spans="1:10">
      <c r="A198">
        <v>12.67</v>
      </c>
      <c r="B198">
        <v>1629183</v>
      </c>
      <c r="G198" s="24" t="s">
        <v>111</v>
      </c>
      <c r="H198" s="27">
        <f>127386*25+5986.01</f>
        <v>3190636.01</v>
      </c>
    </row>
    <row r="199" spans="1:10">
      <c r="A199">
        <v>25.34</v>
      </c>
      <c r="B199">
        <v>3251310</v>
      </c>
      <c r="G199" s="98" t="s">
        <v>112</v>
      </c>
      <c r="H199" s="99">
        <f>H197/H198*100</f>
        <v>0.18761181097558041</v>
      </c>
    </row>
    <row r="200" spans="1:10">
      <c r="A200">
        <v>38.01</v>
      </c>
      <c r="B200">
        <v>4849336</v>
      </c>
    </row>
    <row r="201" spans="1:10">
      <c r="A201">
        <v>50.68</v>
      </c>
      <c r="B201">
        <v>6396024</v>
      </c>
    </row>
    <row r="212" spans="1:10" ht="14.25" thickBot="1"/>
    <row r="213" spans="1:10" ht="17.45" customHeight="1" thickBot="1">
      <c r="A213" s="86" t="s">
        <v>320</v>
      </c>
      <c r="B213" s="87" t="s">
        <v>90</v>
      </c>
      <c r="C213" s="88" t="s">
        <v>91</v>
      </c>
      <c r="D213" s="88" t="s">
        <v>92</v>
      </c>
      <c r="E213" s="88" t="s">
        <v>93</v>
      </c>
      <c r="F213" s="88" t="s">
        <v>94</v>
      </c>
      <c r="G213" s="88" t="s">
        <v>95</v>
      </c>
      <c r="H213"/>
      <c r="I213"/>
      <c r="J213"/>
    </row>
    <row r="214" spans="1:10" ht="17.45" customHeight="1" thickBot="1">
      <c r="A214" s="132" t="s">
        <v>132</v>
      </c>
      <c r="B214" s="37" t="s">
        <v>96</v>
      </c>
      <c r="C214" s="30">
        <v>2.5299999999999998</v>
      </c>
      <c r="D214" s="3">
        <v>12.63</v>
      </c>
      <c r="E214" s="3">
        <v>25.26</v>
      </c>
      <c r="F214" s="3">
        <v>37.9</v>
      </c>
      <c r="G214" s="3">
        <v>50.53</v>
      </c>
      <c r="H214"/>
      <c r="I214"/>
      <c r="J214"/>
    </row>
    <row r="215" spans="1:10" ht="17.45" customHeight="1" thickBot="1">
      <c r="B215" s="37" t="s">
        <v>3</v>
      </c>
      <c r="C215" s="19">
        <v>101354</v>
      </c>
      <c r="D215" s="4">
        <v>509918</v>
      </c>
      <c r="E215" s="4">
        <v>1021974</v>
      </c>
      <c r="F215" s="4">
        <v>1511288</v>
      </c>
      <c r="G215" s="4">
        <v>1990727</v>
      </c>
      <c r="H215"/>
      <c r="I215"/>
      <c r="J215"/>
    </row>
    <row r="216" spans="1:10" ht="17.45" customHeight="1" thickBot="1">
      <c r="B216" s="37" t="s">
        <v>97</v>
      </c>
      <c r="C216" s="67">
        <f xml:space="preserve"> ROUND( 39991.4*C214 + 371.1,0)</f>
        <v>101549</v>
      </c>
      <c r="D216" s="67">
        <f t="shared" ref="D216:G216" si="24" xml:space="preserve"> ROUND( 39991.4*D214 + 371.1,0)</f>
        <v>505462</v>
      </c>
      <c r="E216" s="67">
        <f t="shared" si="24"/>
        <v>1010554</v>
      </c>
      <c r="F216" s="67">
        <f t="shared" si="24"/>
        <v>1516045</v>
      </c>
      <c r="G216" s="67">
        <f t="shared" si="24"/>
        <v>2021137</v>
      </c>
      <c r="H216"/>
      <c r="I216"/>
      <c r="J216"/>
    </row>
    <row r="217" spans="1:10" ht="17.45" customHeight="1" thickBot="1">
      <c r="B217" s="37" t="s">
        <v>98</v>
      </c>
      <c r="C217" s="67">
        <f>C215-C216</f>
        <v>-195</v>
      </c>
      <c r="D217" s="67">
        <f t="shared" ref="D217:G217" si="25">D215-D216</f>
        <v>4456</v>
      </c>
      <c r="E217" s="67">
        <f t="shared" si="25"/>
        <v>11420</v>
      </c>
      <c r="F217" s="67">
        <f t="shared" si="25"/>
        <v>-4757</v>
      </c>
      <c r="G217" s="67">
        <f t="shared" si="25"/>
        <v>-30410</v>
      </c>
      <c r="H217"/>
      <c r="I217"/>
      <c r="J217"/>
    </row>
    <row r="218" spans="1:10" ht="17.45" customHeight="1" thickBot="1">
      <c r="B218" s="37" t="s">
        <v>99</v>
      </c>
      <c r="C218" s="93">
        <f>ROUND(C217/C216*100,3)</f>
        <v>-0.192</v>
      </c>
      <c r="D218" s="93">
        <f t="shared" ref="D218:G218" si="26">ROUND(D217/D216*100,3)</f>
        <v>0.88200000000000001</v>
      </c>
      <c r="E218" s="93">
        <f t="shared" si="26"/>
        <v>1.1299999999999999</v>
      </c>
      <c r="F218" s="93">
        <f t="shared" si="26"/>
        <v>-0.314</v>
      </c>
      <c r="G218" s="93">
        <f t="shared" si="26"/>
        <v>-1.5049999999999999</v>
      </c>
      <c r="H218"/>
      <c r="I218"/>
      <c r="J218"/>
    </row>
    <row r="219" spans="1:10" ht="17.45" customHeight="1" thickBot="1">
      <c r="B219" s="37" t="s">
        <v>100</v>
      </c>
      <c r="C219" s="192"/>
      <c r="D219" s="193"/>
      <c r="E219" s="193"/>
      <c r="F219" s="193"/>
      <c r="G219" s="194"/>
      <c r="H219"/>
      <c r="I219"/>
      <c r="J219"/>
    </row>
    <row r="220" spans="1:10" ht="17.45" customHeight="1" thickBot="1">
      <c r="B220" s="37" t="s">
        <v>101</v>
      </c>
      <c r="C220" s="192"/>
      <c r="D220" s="193"/>
      <c r="E220" s="193"/>
      <c r="F220" s="193"/>
      <c r="G220" s="194"/>
      <c r="H220"/>
      <c r="I220"/>
      <c r="J220"/>
    </row>
    <row r="221" spans="1:10" ht="17.45" customHeight="1" thickBot="1">
      <c r="B221" s="37" t="s">
        <v>102</v>
      </c>
      <c r="C221" s="195" t="s">
        <v>323</v>
      </c>
      <c r="D221" s="196"/>
      <c r="E221" s="196"/>
      <c r="F221" s="196"/>
      <c r="G221" s="197"/>
      <c r="H221"/>
      <c r="I221"/>
      <c r="J221"/>
    </row>
    <row r="222" spans="1:10" ht="17.45" customHeight="1" thickBot="1">
      <c r="B222" s="37" t="s">
        <v>103</v>
      </c>
      <c r="C222" s="195">
        <v>0.99990000000000001</v>
      </c>
      <c r="D222" s="196"/>
      <c r="E222" s="196"/>
      <c r="F222" s="196"/>
      <c r="G222" s="197"/>
      <c r="H222"/>
      <c r="I222"/>
      <c r="J222"/>
    </row>
    <row r="223" spans="1:10" ht="42.6" customHeight="1">
      <c r="B223" s="198" t="s">
        <v>4</v>
      </c>
      <c r="C223" s="200"/>
      <c r="D223" s="201"/>
      <c r="E223" s="201"/>
      <c r="F223" s="201"/>
      <c r="G223" s="202"/>
      <c r="H223"/>
      <c r="I223"/>
      <c r="J223"/>
    </row>
    <row r="224" spans="1:10" ht="56.1" customHeight="1" thickBot="1">
      <c r="B224" s="199"/>
      <c r="C224" s="203" t="s">
        <v>104</v>
      </c>
      <c r="D224" s="204"/>
      <c r="E224" s="204"/>
      <c r="F224" s="204"/>
      <c r="G224" s="205"/>
      <c r="H224"/>
      <c r="I224"/>
      <c r="J224"/>
    </row>
    <row r="225" spans="1:10" ht="17.45" customHeight="1">
      <c r="C225"/>
      <c r="D225"/>
      <c r="E225"/>
      <c r="G225"/>
      <c r="H225"/>
      <c r="I225"/>
      <c r="J225"/>
    </row>
    <row r="228" spans="1:10">
      <c r="A228" s="53">
        <v>2.5299999999999998</v>
      </c>
      <c r="B228">
        <v>101354</v>
      </c>
    </row>
    <row r="229" spans="1:10">
      <c r="A229" s="53">
        <v>12.63</v>
      </c>
      <c r="B229">
        <v>509918</v>
      </c>
      <c r="G229" s="24" t="s">
        <v>110</v>
      </c>
      <c r="H229" s="27">
        <v>371.1</v>
      </c>
    </row>
    <row r="230" spans="1:10">
      <c r="A230" s="53">
        <v>25.26</v>
      </c>
      <c r="B230">
        <v>1021974</v>
      </c>
      <c r="G230" s="24" t="s">
        <v>111</v>
      </c>
      <c r="H230" s="27">
        <f>39991.4*25+ 371.1</f>
        <v>1000156.1</v>
      </c>
    </row>
    <row r="231" spans="1:10">
      <c r="A231" s="53">
        <v>37.9</v>
      </c>
      <c r="B231">
        <v>1511288</v>
      </c>
      <c r="G231" s="98" t="s">
        <v>112</v>
      </c>
      <c r="H231" s="99">
        <f>H229/H230*100</f>
        <v>3.7104208033126036E-2</v>
      </c>
    </row>
    <row r="232" spans="1:10">
      <c r="A232" s="53">
        <v>50.53</v>
      </c>
      <c r="B232">
        <v>1990727</v>
      </c>
    </row>
  </sheetData>
  <mergeCells count="58">
    <mergeCell ref="C219:G219"/>
    <mergeCell ref="C220:G220"/>
    <mergeCell ref="C221:G221"/>
    <mergeCell ref="C222:G222"/>
    <mergeCell ref="B223:B224"/>
    <mergeCell ref="C223:G223"/>
    <mergeCell ref="C224:G224"/>
    <mergeCell ref="C188:G188"/>
    <mergeCell ref="C189:G189"/>
    <mergeCell ref="C190:G190"/>
    <mergeCell ref="C191:G191"/>
    <mergeCell ref="B192:B193"/>
    <mergeCell ref="C192:G192"/>
    <mergeCell ref="C193:G193"/>
    <mergeCell ref="C157:G157"/>
    <mergeCell ref="C158:G158"/>
    <mergeCell ref="C159:G159"/>
    <mergeCell ref="C160:G160"/>
    <mergeCell ref="B161:B162"/>
    <mergeCell ref="C161:G161"/>
    <mergeCell ref="C162:G162"/>
    <mergeCell ref="C115:G115"/>
    <mergeCell ref="C116:G116"/>
    <mergeCell ref="C117:G117"/>
    <mergeCell ref="C118:G118"/>
    <mergeCell ref="B119:B120"/>
    <mergeCell ref="C119:G119"/>
    <mergeCell ref="C120:G120"/>
    <mergeCell ref="H21:H26"/>
    <mergeCell ref="C27:H27"/>
    <mergeCell ref="C8:G8"/>
    <mergeCell ref="E21:E26"/>
    <mergeCell ref="F21:F26"/>
    <mergeCell ref="G21:G26"/>
    <mergeCell ref="E11:E16"/>
    <mergeCell ref="F11:F16"/>
    <mergeCell ref="G11:G16"/>
    <mergeCell ref="H11:H16"/>
    <mergeCell ref="C17:H17"/>
    <mergeCell ref="C53:G53"/>
    <mergeCell ref="C54:G54"/>
    <mergeCell ref="C55:G55"/>
    <mergeCell ref="C56:G56"/>
    <mergeCell ref="B57:B58"/>
    <mergeCell ref="C57:G57"/>
    <mergeCell ref="C58:G58"/>
    <mergeCell ref="C84:G84"/>
    <mergeCell ref="C85:G85"/>
    <mergeCell ref="C86:G86"/>
    <mergeCell ref="C87:G87"/>
    <mergeCell ref="B88:B89"/>
    <mergeCell ref="C88:G88"/>
    <mergeCell ref="C89:G89"/>
    <mergeCell ref="E30:E35"/>
    <mergeCell ref="F30:F35"/>
    <mergeCell ref="G30:G35"/>
    <mergeCell ref="H30:H35"/>
    <mergeCell ref="C36:H36"/>
  </mergeCells>
  <phoneticPr fontId="16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21"/>
  <sheetViews>
    <sheetView topLeftCell="A76" zoomScale="90" zoomScaleNormal="90" workbookViewId="0">
      <selection activeCell="E13" sqref="E13"/>
    </sheetView>
  </sheetViews>
  <sheetFormatPr defaultColWidth="19.625" defaultRowHeight="15"/>
  <cols>
    <col min="1" max="1" width="11.25" style="5" customWidth="1"/>
    <col min="2" max="2" width="11.125" style="5" customWidth="1"/>
    <col min="3" max="3" width="17" style="5" customWidth="1"/>
    <col min="4" max="4" width="13" style="5" customWidth="1"/>
    <col min="5" max="5" width="16.375" style="21" customWidth="1"/>
    <col min="6" max="6" width="17" style="21" customWidth="1"/>
    <col min="7" max="7" width="15.75" style="22" customWidth="1"/>
    <col min="8" max="10" width="19.625" style="5"/>
    <col min="11" max="11" width="7" style="5" customWidth="1"/>
    <col min="12" max="16384" width="19.625" style="5"/>
  </cols>
  <sheetData>
    <row r="3" spans="1:9" ht="15.75" thickBot="1">
      <c r="A3" s="147" t="s">
        <v>297</v>
      </c>
      <c r="B3" s="69" t="s">
        <v>299</v>
      </c>
      <c r="C3" s="60"/>
    </row>
    <row r="4" spans="1:9" ht="27" thickBot="1">
      <c r="B4" s="145" t="s">
        <v>30</v>
      </c>
      <c r="C4" s="30" t="s">
        <v>9</v>
      </c>
      <c r="D4" s="41" t="s">
        <v>303</v>
      </c>
      <c r="E4" s="45" t="s">
        <v>24</v>
      </c>
      <c r="F4" s="31" t="s">
        <v>3</v>
      </c>
      <c r="G4" s="31" t="s">
        <v>25</v>
      </c>
      <c r="H4" s="31" t="s">
        <v>14</v>
      </c>
    </row>
    <row r="5" spans="1:9" ht="15.75" thickBot="1">
      <c r="A5" s="143">
        <v>20.03</v>
      </c>
      <c r="B5" s="143">
        <v>0</v>
      </c>
      <c r="C5" s="19">
        <v>1</v>
      </c>
      <c r="D5" s="138">
        <f>A5-B5</f>
        <v>20.03</v>
      </c>
      <c r="E5" s="26">
        <v>6.6520000000000001</v>
      </c>
      <c r="F5" s="48">
        <v>1579851</v>
      </c>
      <c r="G5" s="139">
        <v>25.85</v>
      </c>
      <c r="H5" s="62">
        <f>ROUND(G5*20/D5,1)</f>
        <v>25.8</v>
      </c>
      <c r="I5" s="5">
        <f>H5/25*100</f>
        <v>103.2</v>
      </c>
    </row>
    <row r="6" spans="1:9" ht="15.75" thickBot="1">
      <c r="A6" s="143">
        <v>20.28</v>
      </c>
      <c r="B6" s="143">
        <v>0.23</v>
      </c>
      <c r="C6" s="19">
        <v>2</v>
      </c>
      <c r="D6" s="138">
        <f t="shared" ref="D6:D10" si="0">A6-B6</f>
        <v>20.05</v>
      </c>
      <c r="E6" s="26">
        <v>6.6539999999999999</v>
      </c>
      <c r="F6" s="48">
        <v>1565401</v>
      </c>
      <c r="G6" s="139">
        <v>25.61</v>
      </c>
      <c r="H6" s="62">
        <f t="shared" ref="H6:H10" si="1">ROUND(G6*20/D6,1)</f>
        <v>25.5</v>
      </c>
      <c r="I6" s="5">
        <f t="shared" ref="I6:I10" si="2">H6/25*100</f>
        <v>102</v>
      </c>
    </row>
    <row r="7" spans="1:9" ht="15.75" thickBot="1">
      <c r="A7" s="143">
        <v>20.34</v>
      </c>
      <c r="B7" s="143">
        <v>0</v>
      </c>
      <c r="C7" s="19">
        <v>3</v>
      </c>
      <c r="D7" s="138">
        <f t="shared" si="0"/>
        <v>20.34</v>
      </c>
      <c r="E7" s="26">
        <v>6.6509999999999998</v>
      </c>
      <c r="F7" s="48">
        <v>1575384</v>
      </c>
      <c r="G7" s="139">
        <v>25.78</v>
      </c>
      <c r="H7" s="62">
        <f t="shared" si="1"/>
        <v>25.3</v>
      </c>
      <c r="I7" s="5">
        <f t="shared" si="2"/>
        <v>101.2</v>
      </c>
    </row>
    <row r="8" spans="1:9" ht="15.75" thickBot="1">
      <c r="A8" s="143">
        <v>20.38</v>
      </c>
      <c r="B8" s="143">
        <v>0.04</v>
      </c>
      <c r="C8" s="19">
        <v>4</v>
      </c>
      <c r="D8" s="138">
        <f t="shared" si="0"/>
        <v>20.34</v>
      </c>
      <c r="E8" s="26">
        <v>6.6509999999999998</v>
      </c>
      <c r="F8" s="48">
        <v>1557578</v>
      </c>
      <c r="G8" s="139">
        <v>25.48</v>
      </c>
      <c r="H8" s="62">
        <f t="shared" si="1"/>
        <v>25.1</v>
      </c>
      <c r="I8" s="5">
        <f t="shared" si="2"/>
        <v>100.4</v>
      </c>
    </row>
    <row r="9" spans="1:9" ht="15.75" thickBot="1">
      <c r="A9" s="143">
        <v>20.22</v>
      </c>
      <c r="B9" s="143">
        <v>0</v>
      </c>
      <c r="C9" s="19">
        <v>5</v>
      </c>
      <c r="D9" s="138">
        <f t="shared" si="0"/>
        <v>20.22</v>
      </c>
      <c r="E9" s="26">
        <v>6.6520000000000001</v>
      </c>
      <c r="F9" s="48">
        <v>1576255</v>
      </c>
      <c r="G9" s="139">
        <v>25.79</v>
      </c>
      <c r="H9" s="62">
        <f t="shared" si="1"/>
        <v>25.5</v>
      </c>
      <c r="I9" s="5">
        <f t="shared" si="2"/>
        <v>102</v>
      </c>
    </row>
    <row r="10" spans="1:9" ht="15.75" thickBot="1">
      <c r="A10" s="143">
        <v>20.07</v>
      </c>
      <c r="B10" s="143">
        <v>0</v>
      </c>
      <c r="C10" s="19">
        <v>6</v>
      </c>
      <c r="D10" s="138">
        <f t="shared" si="0"/>
        <v>20.07</v>
      </c>
      <c r="E10" s="26">
        <v>6.649</v>
      </c>
      <c r="F10" s="48">
        <v>1569074</v>
      </c>
      <c r="G10" s="139">
        <v>25.67</v>
      </c>
      <c r="H10" s="62">
        <f t="shared" si="1"/>
        <v>25.6</v>
      </c>
      <c r="I10" s="5">
        <f t="shared" si="2"/>
        <v>102.4</v>
      </c>
    </row>
    <row r="11" spans="1:9">
      <c r="C11" s="77" t="s">
        <v>26</v>
      </c>
      <c r="D11" s="94" t="s">
        <v>8</v>
      </c>
      <c r="E11" s="95">
        <v>0.1</v>
      </c>
      <c r="F11" s="94"/>
      <c r="G11" s="94"/>
      <c r="H11" s="142">
        <v>1</v>
      </c>
    </row>
    <row r="12" spans="1:9" ht="15" customHeight="1">
      <c r="C12" s="75" t="s">
        <v>105</v>
      </c>
      <c r="D12" s="211">
        <f>H11*SQRT(5/_xlfn.CHISQ.INV(0.975,5))</f>
        <v>0.62420800225898265</v>
      </c>
      <c r="E12" s="211"/>
      <c r="F12" s="49" t="s">
        <v>106</v>
      </c>
      <c r="G12" s="211">
        <f>H11*SQRT(5/_xlfn.CHISQ.INV(0.025,5))</f>
        <v>2.4526139885482969</v>
      </c>
      <c r="H12" s="211"/>
    </row>
    <row r="13" spans="1:9" ht="15" customHeight="1">
      <c r="C13" s="209" t="s">
        <v>113</v>
      </c>
      <c r="D13" s="214"/>
      <c r="E13" s="140">
        <f>AVERAGE(H5:H10)-_xlfn.T.INV(1-0.05/2,6-1)*STDEV(H5:H10)/SQRT(6)</f>
        <v>25.212480731727975</v>
      </c>
      <c r="F13" s="209" t="s">
        <v>114</v>
      </c>
      <c r="G13" s="214"/>
      <c r="H13" s="140">
        <f>AVERAGE(H5:H10)+_xlfn.T.INV(1-0.05/2,6-1)*STDEV(H5:H10)/SQRT(6)</f>
        <v>25.720852601605355</v>
      </c>
    </row>
    <row r="14" spans="1:9">
      <c r="C14" s="215" t="s">
        <v>115</v>
      </c>
      <c r="D14" s="216"/>
      <c r="E14" s="141">
        <f>E13/25*100</f>
        <v>100.8499229269119</v>
      </c>
      <c r="F14" s="215" t="s">
        <v>116</v>
      </c>
      <c r="G14" s="216"/>
      <c r="H14" s="141">
        <f>H13/25*100</f>
        <v>102.88341040642142</v>
      </c>
    </row>
    <row r="15" spans="1:9">
      <c r="C15" s="100"/>
      <c r="D15" s="101"/>
      <c r="F15" s="100"/>
      <c r="G15" s="101"/>
      <c r="H15" s="21"/>
    </row>
    <row r="16" spans="1:9">
      <c r="D16" s="42" t="s">
        <v>21</v>
      </c>
      <c r="E16" s="44">
        <f>AVERAGE(E5:E10)</f>
        <v>6.6514999999999995</v>
      </c>
      <c r="F16" s="20">
        <f>AVERAGE(F5:F10)</f>
        <v>1570590.5</v>
      </c>
      <c r="G16" s="20">
        <f>AVERAGE(G5:G10)</f>
        <v>25.696666666666669</v>
      </c>
      <c r="H16" s="44">
        <f>AVERAGE(H5:H10)</f>
        <v>25.466666666666665</v>
      </c>
    </row>
    <row r="17" spans="1:9">
      <c r="D17" s="5" t="s">
        <v>22</v>
      </c>
      <c r="E17" s="20">
        <f>STDEV(E5:E10)</f>
        <v>1.6431676725155067E-3</v>
      </c>
      <c r="F17" s="20">
        <f>STDEV(F5:F10)</f>
        <v>8238.6516069075278</v>
      </c>
      <c r="G17" s="20">
        <f>STDEV(G5:G10)</f>
        <v>0.13735598518691031</v>
      </c>
      <c r="H17" s="20">
        <f>STDEV(H5:H10)</f>
        <v>0.24221202832779914</v>
      </c>
    </row>
    <row r="18" spans="1:9">
      <c r="D18" s="5" t="s">
        <v>27</v>
      </c>
      <c r="E18" s="46">
        <f>E17/E16*100</f>
        <v>2.4703716041727532E-2</v>
      </c>
      <c r="F18" s="20">
        <f t="shared" ref="F18" si="3">F17/F16*100</f>
        <v>0.52455758562830523</v>
      </c>
      <c r="G18" s="20">
        <f t="shared" ref="G18" si="4">G17/G16*100</f>
        <v>0.53452841556716935</v>
      </c>
      <c r="H18" s="44">
        <f t="shared" ref="H18" si="5">H17/H16*100</f>
        <v>0.95109435207250981</v>
      </c>
    </row>
    <row r="21" spans="1:9" ht="15.75" thickBot="1">
      <c r="C21" s="60"/>
    </row>
    <row r="22" spans="1:9" ht="27" thickBot="1">
      <c r="B22" s="145" t="s">
        <v>43</v>
      </c>
      <c r="C22" s="30" t="s">
        <v>9</v>
      </c>
      <c r="D22" s="41" t="s">
        <v>303</v>
      </c>
      <c r="E22" s="45" t="s">
        <v>24</v>
      </c>
      <c r="F22" s="31" t="s">
        <v>3</v>
      </c>
      <c r="G22" s="31" t="s">
        <v>25</v>
      </c>
      <c r="H22" s="31" t="s">
        <v>14</v>
      </c>
    </row>
    <row r="23" spans="1:9" ht="15.75" thickBot="1">
      <c r="A23" s="110">
        <v>20.190000000000001</v>
      </c>
      <c r="B23" s="110">
        <v>0</v>
      </c>
      <c r="C23" s="19">
        <v>1</v>
      </c>
      <c r="D23" s="138">
        <f>A23-B23</f>
        <v>20.190000000000001</v>
      </c>
      <c r="E23" s="26">
        <v>6.6669999999999998</v>
      </c>
      <c r="F23" s="48">
        <v>1587135</v>
      </c>
      <c r="G23" s="139">
        <v>24.52</v>
      </c>
      <c r="H23" s="62">
        <f>ROUND(G23*20/D23,1)</f>
        <v>24.3</v>
      </c>
      <c r="I23" s="5">
        <f>H23/25*100</f>
        <v>97.2</v>
      </c>
    </row>
    <row r="24" spans="1:9" ht="15.75" thickBot="1">
      <c r="A24" s="110">
        <v>20.399999999999999</v>
      </c>
      <c r="B24" s="110">
        <v>0.05</v>
      </c>
      <c r="C24" s="19">
        <v>2</v>
      </c>
      <c r="D24" s="138">
        <f t="shared" ref="D24:D28" si="6">A24-B24</f>
        <v>20.349999999999998</v>
      </c>
      <c r="E24" s="26">
        <v>6.665</v>
      </c>
      <c r="F24" s="48">
        <v>1580924</v>
      </c>
      <c r="G24" s="139">
        <v>24.42</v>
      </c>
      <c r="H24" s="62">
        <f t="shared" ref="H24:H28" si="7">ROUND(G24*20/D24,1)</f>
        <v>24</v>
      </c>
      <c r="I24" s="5">
        <f t="shared" ref="I24:I28" si="8">H24/25*100</f>
        <v>96</v>
      </c>
    </row>
    <row r="25" spans="1:9" ht="15.75" thickBot="1">
      <c r="A25" s="110">
        <v>20.36</v>
      </c>
      <c r="B25" s="110">
        <v>0</v>
      </c>
      <c r="C25" s="19">
        <v>3</v>
      </c>
      <c r="D25" s="138">
        <f t="shared" si="6"/>
        <v>20.36</v>
      </c>
      <c r="E25" s="26">
        <v>6.6660000000000004</v>
      </c>
      <c r="F25" s="48">
        <v>1574182</v>
      </c>
      <c r="G25" s="139">
        <v>24.32</v>
      </c>
      <c r="H25" s="62">
        <f t="shared" si="7"/>
        <v>23.9</v>
      </c>
      <c r="I25" s="5">
        <f t="shared" si="8"/>
        <v>95.6</v>
      </c>
    </row>
    <row r="26" spans="1:9" ht="15.75" thickBot="1">
      <c r="A26" s="110">
        <v>20.22</v>
      </c>
      <c r="B26" s="110">
        <v>0</v>
      </c>
      <c r="C26" s="19">
        <v>4</v>
      </c>
      <c r="D26" s="138">
        <f t="shared" si="6"/>
        <v>20.22</v>
      </c>
      <c r="E26" s="26">
        <v>6.6660000000000004</v>
      </c>
      <c r="F26" s="48">
        <v>1578286</v>
      </c>
      <c r="G26" s="139">
        <v>24.38</v>
      </c>
      <c r="H26" s="62">
        <f t="shared" si="7"/>
        <v>24.1</v>
      </c>
      <c r="I26" s="5">
        <f t="shared" si="8"/>
        <v>96.4</v>
      </c>
    </row>
    <row r="27" spans="1:9" ht="15.75" thickBot="1">
      <c r="A27" s="110">
        <v>20.329999999999998</v>
      </c>
      <c r="B27" s="110">
        <v>0</v>
      </c>
      <c r="C27" s="19">
        <v>5</v>
      </c>
      <c r="D27" s="138">
        <f t="shared" si="6"/>
        <v>20.329999999999998</v>
      </c>
      <c r="E27" s="26">
        <v>6.6669999999999998</v>
      </c>
      <c r="F27" s="48">
        <v>1576486</v>
      </c>
      <c r="G27" s="139">
        <v>24.35</v>
      </c>
      <c r="H27" s="62">
        <f t="shared" si="7"/>
        <v>24</v>
      </c>
      <c r="I27" s="5">
        <f t="shared" si="8"/>
        <v>96</v>
      </c>
    </row>
    <row r="28" spans="1:9" ht="15.75" thickBot="1">
      <c r="A28" s="110">
        <v>20.18</v>
      </c>
      <c r="B28" s="110">
        <v>0</v>
      </c>
      <c r="C28" s="19">
        <v>6</v>
      </c>
      <c r="D28" s="138">
        <f t="shared" si="6"/>
        <v>20.18</v>
      </c>
      <c r="E28" s="26">
        <v>6.6639999999999997</v>
      </c>
      <c r="F28" s="48">
        <v>1580765</v>
      </c>
      <c r="G28" s="139">
        <v>24.42</v>
      </c>
      <c r="H28" s="62">
        <f t="shared" si="7"/>
        <v>24.2</v>
      </c>
      <c r="I28" s="5">
        <f t="shared" si="8"/>
        <v>96.8</v>
      </c>
    </row>
    <row r="29" spans="1:9" ht="15.75" thickBot="1">
      <c r="C29" s="19" t="s">
        <v>26</v>
      </c>
      <c r="D29" s="32" t="s">
        <v>8</v>
      </c>
      <c r="E29" s="84">
        <v>0.1</v>
      </c>
      <c r="F29" s="84"/>
      <c r="G29" s="84"/>
      <c r="H29" s="96">
        <v>0.7</v>
      </c>
    </row>
    <row r="30" spans="1:9" ht="15" customHeight="1">
      <c r="C30" s="75" t="s">
        <v>105</v>
      </c>
      <c r="D30" s="212">
        <f>H29*SQRT(5/_xlfn.CHISQ.INV(0.975,5))</f>
        <v>0.43694560158128781</v>
      </c>
      <c r="E30" s="213"/>
      <c r="F30" s="49" t="s">
        <v>106</v>
      </c>
      <c r="G30" s="212">
        <f>H29*SQRT(5/_xlfn.CHISQ.INV(0.025,5))</f>
        <v>1.7168297919838078</v>
      </c>
      <c r="H30" s="213"/>
    </row>
    <row r="31" spans="1:9" ht="15" customHeight="1">
      <c r="C31" s="209" t="s">
        <v>113</v>
      </c>
      <c r="D31" s="210"/>
      <c r="E31" s="140">
        <f>AVERAGE(H23:H28)-_xlfn.T.INV(1-0.05/2,6-1)*STDEV(H23:H28)/SQRT(6)</f>
        <v>23.928860589730611</v>
      </c>
      <c r="F31" s="209" t="s">
        <v>114</v>
      </c>
      <c r="G31" s="210"/>
      <c r="H31" s="140">
        <f>AVERAGE(H23:H28)+_xlfn.T.INV(1-0.05/2,6-1)*STDEV(H23:H28)/SQRT(6)</f>
        <v>24.237806076936046</v>
      </c>
    </row>
    <row r="32" spans="1:9">
      <c r="C32" s="217" t="s">
        <v>115</v>
      </c>
      <c r="D32" s="218"/>
      <c r="E32" s="141">
        <f>E31/25*100</f>
        <v>95.715442358922445</v>
      </c>
      <c r="F32" s="217" t="s">
        <v>116</v>
      </c>
      <c r="G32" s="218"/>
      <c r="H32" s="141">
        <f>H31/25*100</f>
        <v>96.951224307744184</v>
      </c>
    </row>
    <row r="34" spans="1:9">
      <c r="D34" s="42" t="s">
        <v>21</v>
      </c>
      <c r="E34" s="44">
        <f>AVERAGE(E23:E28)</f>
        <v>6.6658333333333344</v>
      </c>
      <c r="F34" s="20">
        <f>AVERAGE(F23:F28)</f>
        <v>1579629.6666666667</v>
      </c>
      <c r="G34" s="20">
        <f>AVERAGE(G23:G28)</f>
        <v>24.40166666666666</v>
      </c>
      <c r="H34" s="44">
        <f>AVERAGE(H23:H28)</f>
        <v>24.083333333333329</v>
      </c>
      <c r="I34" s="68">
        <f>AVERAGE(H5:H10,H23:H28)</f>
        <v>24.775000000000002</v>
      </c>
    </row>
    <row r="35" spans="1:9">
      <c r="D35" s="5" t="s">
        <v>22</v>
      </c>
      <c r="E35" s="20">
        <f>STDEV(E23:E28)</f>
        <v>1.1690451944500479E-3</v>
      </c>
      <c r="F35" s="20">
        <f>STDEV(F23:F28)</f>
        <v>4486.8577274821919</v>
      </c>
      <c r="G35" s="20">
        <f>STDEV(G23:G28)</f>
        <v>6.9976186425573669E-2</v>
      </c>
      <c r="H35" s="20">
        <f>STDEV(H23:H28)</f>
        <v>0.14719601443879793</v>
      </c>
      <c r="I35" s="5">
        <f>STDEV(H5:H10,H23:H28)</f>
        <v>0.74726775048110539</v>
      </c>
    </row>
    <row r="36" spans="1:9">
      <c r="D36" s="5" t="s">
        <v>23</v>
      </c>
      <c r="E36" s="46">
        <f>E35/E34*100</f>
        <v>1.7537870150519531E-2</v>
      </c>
      <c r="F36" s="20">
        <f t="shared" ref="F36:H36" si="9">F35/F34*100</f>
        <v>0.2840449139544432</v>
      </c>
      <c r="G36" s="20">
        <f t="shared" si="9"/>
        <v>0.28676806130280863</v>
      </c>
      <c r="H36" s="44">
        <f t="shared" si="9"/>
        <v>0.61119452362130633</v>
      </c>
      <c r="I36" s="69">
        <f>I35/I34*100</f>
        <v>3.0162169545150568</v>
      </c>
    </row>
    <row r="37" spans="1:9">
      <c r="I37" s="97">
        <v>3.1</v>
      </c>
    </row>
    <row r="38" spans="1:9" ht="15" customHeight="1">
      <c r="B38" s="5" t="s">
        <v>107</v>
      </c>
      <c r="C38" s="75" t="s">
        <v>105</v>
      </c>
      <c r="D38" s="211">
        <f>I37*SQRT(11/_xlfn.CHISQ.INV(0.975,11))</f>
        <v>2.1960249676730239</v>
      </c>
      <c r="E38" s="211"/>
      <c r="F38" s="49" t="s">
        <v>106</v>
      </c>
      <c r="G38" s="211">
        <f>I37*SQRT(11/_xlfn.CHISQ.INV(0.025,11))</f>
        <v>5.2634218549444194</v>
      </c>
      <c r="H38" s="211"/>
    </row>
    <row r="39" spans="1:9" ht="15" customHeight="1">
      <c r="C39" s="209" t="s">
        <v>113</v>
      </c>
      <c r="D39" s="214"/>
      <c r="E39" s="140">
        <f>AVERAGE(H5:H10,H23:H28)-_xlfn.T.INV(1-0.05/2,12-1)*STDEV(H5:H10,H23:H28)/SQRT(12)</f>
        <v>24.300208723024554</v>
      </c>
      <c r="F39" s="209" t="s">
        <v>114</v>
      </c>
      <c r="G39" s="214"/>
      <c r="H39" s="155">
        <f>AVERAGE(H5:H10,H23:H28)+_xlfn.T.INV(1-0.05/2,12-1)*STDEV(H5:H10,H23:H28)/SQRT(12)</f>
        <v>25.249791276975451</v>
      </c>
    </row>
    <row r="40" spans="1:9">
      <c r="C40" s="215" t="s">
        <v>115</v>
      </c>
      <c r="D40" s="216"/>
      <c r="E40" s="141">
        <f>E39/25*100</f>
        <v>97.200834892098214</v>
      </c>
      <c r="F40" s="215" t="s">
        <v>116</v>
      </c>
      <c r="G40" s="216"/>
      <c r="H40" s="141">
        <f>H39/25*100</f>
        <v>100.99916510790182</v>
      </c>
    </row>
    <row r="44" spans="1:9" ht="15.75" thickBot="1">
      <c r="A44" s="147" t="s">
        <v>304</v>
      </c>
      <c r="B44" s="69" t="s">
        <v>299</v>
      </c>
      <c r="C44" s="60"/>
    </row>
    <row r="45" spans="1:9" ht="27" thickBot="1">
      <c r="B45" s="145" t="s">
        <v>30</v>
      </c>
      <c r="C45" s="30" t="s">
        <v>9</v>
      </c>
      <c r="D45" s="41" t="s">
        <v>134</v>
      </c>
      <c r="E45" s="45" t="s">
        <v>24</v>
      </c>
      <c r="F45" s="31" t="s">
        <v>3</v>
      </c>
      <c r="G45" s="31" t="s">
        <v>25</v>
      </c>
      <c r="H45" s="31" t="s">
        <v>14</v>
      </c>
    </row>
    <row r="46" spans="1:9" ht="15.75" thickBot="1">
      <c r="A46" s="143">
        <v>20.03</v>
      </c>
      <c r="B46" s="143">
        <v>0</v>
      </c>
      <c r="C46" s="19">
        <v>1</v>
      </c>
      <c r="D46" s="138">
        <f>A46-B46</f>
        <v>20.03</v>
      </c>
      <c r="E46" s="26">
        <v>7.3650000000000002</v>
      </c>
      <c r="F46" s="48">
        <v>3459985</v>
      </c>
      <c r="G46" s="139">
        <v>28.95</v>
      </c>
      <c r="H46" s="62">
        <f>ROUND(G46*20/D46,1)</f>
        <v>28.9</v>
      </c>
      <c r="I46" s="5">
        <f>H46/25*100</f>
        <v>115.6</v>
      </c>
    </row>
    <row r="47" spans="1:9" ht="15.75" thickBot="1">
      <c r="A47" s="143">
        <v>20.28</v>
      </c>
      <c r="B47" s="143">
        <v>0.23</v>
      </c>
      <c r="C47" s="19">
        <v>2</v>
      </c>
      <c r="D47" s="138">
        <f t="shared" ref="D47:D51" si="10">A47-B47</f>
        <v>20.05</v>
      </c>
      <c r="E47" s="26">
        <v>7.3659999999999997</v>
      </c>
      <c r="F47" s="48">
        <v>3481046</v>
      </c>
      <c r="G47" s="139">
        <v>29.13</v>
      </c>
      <c r="H47" s="62">
        <f t="shared" ref="H47:H51" si="11">ROUND(G47*20/D47,1)</f>
        <v>29.1</v>
      </c>
      <c r="I47" s="5">
        <f t="shared" ref="I47:I51" si="12">H47/25*100</f>
        <v>116.40000000000002</v>
      </c>
    </row>
    <row r="48" spans="1:9" ht="15.75" thickBot="1">
      <c r="A48" s="143">
        <v>20.34</v>
      </c>
      <c r="B48" s="143">
        <v>0</v>
      </c>
      <c r="C48" s="19">
        <v>3</v>
      </c>
      <c r="D48" s="138">
        <f t="shared" si="10"/>
        <v>20.34</v>
      </c>
      <c r="E48" s="26">
        <v>7.3650000000000002</v>
      </c>
      <c r="F48" s="48">
        <v>3452124</v>
      </c>
      <c r="G48" s="139">
        <v>28.88</v>
      </c>
      <c r="H48" s="62">
        <f t="shared" si="11"/>
        <v>28.4</v>
      </c>
      <c r="I48" s="5">
        <f t="shared" si="12"/>
        <v>113.6</v>
      </c>
    </row>
    <row r="49" spans="1:9" ht="15.75" thickBot="1">
      <c r="A49" s="143">
        <v>20.38</v>
      </c>
      <c r="B49" s="143">
        <v>0.04</v>
      </c>
      <c r="C49" s="19">
        <v>4</v>
      </c>
      <c r="D49" s="138">
        <f t="shared" si="10"/>
        <v>20.34</v>
      </c>
      <c r="E49" s="26">
        <v>7.3680000000000003</v>
      </c>
      <c r="F49" s="48">
        <v>3464053</v>
      </c>
      <c r="G49" s="139">
        <v>28.98</v>
      </c>
      <c r="H49" s="62">
        <f t="shared" si="11"/>
        <v>28.5</v>
      </c>
      <c r="I49" s="5">
        <f t="shared" si="12"/>
        <v>113.99999999999999</v>
      </c>
    </row>
    <row r="50" spans="1:9" ht="15.75" thickBot="1">
      <c r="A50" s="143">
        <v>20.22</v>
      </c>
      <c r="B50" s="143">
        <v>0</v>
      </c>
      <c r="C50" s="19">
        <v>5</v>
      </c>
      <c r="D50" s="138">
        <f t="shared" si="10"/>
        <v>20.22</v>
      </c>
      <c r="E50" s="26">
        <v>7.3630000000000004</v>
      </c>
      <c r="F50" s="48">
        <v>3441481</v>
      </c>
      <c r="G50" s="139">
        <v>28.79</v>
      </c>
      <c r="H50" s="62">
        <f t="shared" si="11"/>
        <v>28.5</v>
      </c>
      <c r="I50" s="5">
        <f t="shared" si="12"/>
        <v>113.99999999999999</v>
      </c>
    </row>
    <row r="51" spans="1:9" ht="15.75" thickBot="1">
      <c r="A51" s="143">
        <v>20.07</v>
      </c>
      <c r="B51" s="143">
        <v>0</v>
      </c>
      <c r="C51" s="19">
        <v>6</v>
      </c>
      <c r="D51" s="138">
        <f t="shared" si="10"/>
        <v>20.07</v>
      </c>
      <c r="E51" s="26">
        <v>7.3659999999999997</v>
      </c>
      <c r="F51" s="48">
        <v>3483571</v>
      </c>
      <c r="G51" s="139">
        <v>29.15</v>
      </c>
      <c r="H51" s="62">
        <f t="shared" si="11"/>
        <v>29</v>
      </c>
      <c r="I51" s="5">
        <f t="shared" si="12"/>
        <v>115.99999999999999</v>
      </c>
    </row>
    <row r="52" spans="1:9">
      <c r="C52" s="77" t="s">
        <v>26</v>
      </c>
      <c r="D52" s="94" t="s">
        <v>8</v>
      </c>
      <c r="E52" s="95">
        <v>0.1</v>
      </c>
      <c r="F52" s="94"/>
      <c r="G52" s="94"/>
      <c r="H52" s="142">
        <v>1.1000000000000001</v>
      </c>
    </row>
    <row r="53" spans="1:9" ht="15" customHeight="1">
      <c r="C53" s="75" t="s">
        <v>105</v>
      </c>
      <c r="D53" s="211">
        <f>H52*SQRT(5/_xlfn.CHISQ.INV(0.975,5))</f>
        <v>0.68662880248488101</v>
      </c>
      <c r="E53" s="211"/>
      <c r="F53" s="49" t="s">
        <v>106</v>
      </c>
      <c r="G53" s="211">
        <f>H52*SQRT(5/_xlfn.CHISQ.INV(0.025,5))</f>
        <v>2.6978753874031267</v>
      </c>
      <c r="H53" s="211"/>
    </row>
    <row r="54" spans="1:9" ht="15" customHeight="1">
      <c r="C54" s="209" t="s">
        <v>113</v>
      </c>
      <c r="D54" s="214"/>
      <c r="E54" s="140">
        <f>AVERAGE(H46:H51)-_xlfn.T.INV(1-0.05/2,6-1)*STDEV(H46:H51)/SQRT(6)</f>
        <v>28.417338753136551</v>
      </c>
      <c r="F54" s="209" t="s">
        <v>114</v>
      </c>
      <c r="G54" s="214"/>
      <c r="H54" s="140">
        <f>AVERAGE(H46:H51)+_xlfn.T.INV(1-0.05/2,6-1)*STDEV(H46:H51)/SQRT(6)</f>
        <v>29.049327913530117</v>
      </c>
    </row>
    <row r="55" spans="1:9">
      <c r="C55" s="215" t="s">
        <v>115</v>
      </c>
      <c r="D55" s="216"/>
      <c r="E55" s="141">
        <f>E54/27.6*100</f>
        <v>102.961372293973</v>
      </c>
      <c r="F55" s="215" t="s">
        <v>116</v>
      </c>
      <c r="G55" s="216"/>
      <c r="H55" s="141">
        <f>H54/27.6*100</f>
        <v>105.25118809250043</v>
      </c>
    </row>
    <row r="56" spans="1:9">
      <c r="C56" s="100"/>
      <c r="D56" s="101"/>
      <c r="F56" s="100"/>
      <c r="G56" s="101"/>
      <c r="H56" s="21"/>
    </row>
    <row r="57" spans="1:9">
      <c r="D57" s="42" t="s">
        <v>21</v>
      </c>
      <c r="E57" s="44">
        <f>AVERAGE(E46:E51)</f>
        <v>7.3654999999999999</v>
      </c>
      <c r="F57" s="20">
        <f>AVERAGE(F46:F51)</f>
        <v>3463710</v>
      </c>
      <c r="G57" s="20">
        <f>AVERAGE(G46:G51)</f>
        <v>28.98</v>
      </c>
      <c r="H57" s="44">
        <f>AVERAGE(H46:H51)</f>
        <v>28.733333333333334</v>
      </c>
    </row>
    <row r="58" spans="1:9">
      <c r="D58" s="5" t="s">
        <v>22</v>
      </c>
      <c r="E58" s="20">
        <f>STDEV(E46:E51)</f>
        <v>1.6431676725153985E-3</v>
      </c>
      <c r="F58" s="20">
        <f>STDEV(F46:F51)</f>
        <v>16354.530430434254</v>
      </c>
      <c r="G58" s="20">
        <f>STDEV(G46:G51)</f>
        <v>0.14028542333400129</v>
      </c>
      <c r="H58" s="20">
        <f>STDEV(H46:H51)</f>
        <v>0.30110906108363289</v>
      </c>
    </row>
    <row r="59" spans="1:9">
      <c r="D59" s="5" t="s">
        <v>23</v>
      </c>
      <c r="E59" s="46">
        <f>E58/E57*100</f>
        <v>2.2308976614152449E-2</v>
      </c>
      <c r="F59" s="20">
        <f t="shared" ref="F59:H59" si="13">F58/F57*100</f>
        <v>0.47216800570585454</v>
      </c>
      <c r="G59" s="20">
        <f t="shared" si="13"/>
        <v>0.48407668507246826</v>
      </c>
      <c r="H59" s="44">
        <f t="shared" si="13"/>
        <v>1.0479433680404857</v>
      </c>
    </row>
    <row r="62" spans="1:9" ht="15.75" thickBot="1">
      <c r="C62" s="60"/>
    </row>
    <row r="63" spans="1:9" ht="27" thickBot="1">
      <c r="B63" s="145" t="s">
        <v>43</v>
      </c>
      <c r="C63" s="30" t="s">
        <v>9</v>
      </c>
      <c r="D63" s="41" t="s">
        <v>134</v>
      </c>
      <c r="E63" s="45" t="s">
        <v>24</v>
      </c>
      <c r="F63" s="31" t="s">
        <v>3</v>
      </c>
      <c r="G63" s="31" t="s">
        <v>25</v>
      </c>
      <c r="H63" s="31" t="s">
        <v>14</v>
      </c>
    </row>
    <row r="64" spans="1:9" ht="15.75" thickBot="1">
      <c r="A64" s="110">
        <v>20.190000000000001</v>
      </c>
      <c r="B64" s="110">
        <v>0</v>
      </c>
      <c r="C64" s="19">
        <v>1</v>
      </c>
      <c r="D64" s="138">
        <f>A64-B64</f>
        <v>20.190000000000001</v>
      </c>
      <c r="E64" s="26">
        <v>7.3789999999999996</v>
      </c>
      <c r="F64" s="48">
        <v>3486327</v>
      </c>
      <c r="G64" s="139">
        <v>27.32</v>
      </c>
      <c r="H64" s="62">
        <f>ROUND(G64*20/D64,1)</f>
        <v>27.1</v>
      </c>
      <c r="I64" s="5">
        <f>H64/25*100</f>
        <v>108.4</v>
      </c>
    </row>
    <row r="65" spans="1:9" ht="15.75" thickBot="1">
      <c r="A65" s="110">
        <v>20.399999999999999</v>
      </c>
      <c r="B65" s="110">
        <v>0.05</v>
      </c>
      <c r="C65" s="19">
        <v>2</v>
      </c>
      <c r="D65" s="138">
        <f t="shared" ref="D65:D69" si="14">A65-B65</f>
        <v>20.349999999999998</v>
      </c>
      <c r="E65" s="26">
        <v>7.38</v>
      </c>
      <c r="F65" s="48">
        <v>3495715</v>
      </c>
      <c r="G65" s="139">
        <v>27.4</v>
      </c>
      <c r="H65" s="62">
        <f t="shared" ref="H65:H69" si="15">ROUND(G65*20/D65,1)</f>
        <v>26.9</v>
      </c>
      <c r="I65" s="5">
        <f t="shared" ref="I65:I69" si="16">H65/25*100</f>
        <v>107.59999999999998</v>
      </c>
    </row>
    <row r="66" spans="1:9" ht="15.75" thickBot="1">
      <c r="A66" s="110">
        <v>20.36</v>
      </c>
      <c r="B66" s="110">
        <v>0</v>
      </c>
      <c r="C66" s="19">
        <v>3</v>
      </c>
      <c r="D66" s="138">
        <f t="shared" si="14"/>
        <v>20.36</v>
      </c>
      <c r="E66" s="26">
        <v>7.3769999999999998</v>
      </c>
      <c r="F66" s="48">
        <v>3503628</v>
      </c>
      <c r="G66" s="139">
        <v>27.46</v>
      </c>
      <c r="H66" s="62">
        <f t="shared" si="15"/>
        <v>27</v>
      </c>
      <c r="I66" s="5">
        <f t="shared" si="16"/>
        <v>108</v>
      </c>
    </row>
    <row r="67" spans="1:9" ht="15.75" thickBot="1">
      <c r="A67" s="110">
        <v>20.22</v>
      </c>
      <c r="B67" s="110">
        <v>0</v>
      </c>
      <c r="C67" s="19">
        <v>4</v>
      </c>
      <c r="D67" s="138">
        <f t="shared" si="14"/>
        <v>20.22</v>
      </c>
      <c r="E67" s="26">
        <v>7.3810000000000002</v>
      </c>
      <c r="F67" s="48">
        <v>3484316</v>
      </c>
      <c r="G67" s="139">
        <v>27.31</v>
      </c>
      <c r="H67" s="62">
        <f t="shared" si="15"/>
        <v>27</v>
      </c>
      <c r="I67" s="5">
        <f t="shared" si="16"/>
        <v>108</v>
      </c>
    </row>
    <row r="68" spans="1:9" ht="15.75" thickBot="1">
      <c r="A68" s="110">
        <v>20.329999999999998</v>
      </c>
      <c r="B68" s="110">
        <v>0</v>
      </c>
      <c r="C68" s="19">
        <v>5</v>
      </c>
      <c r="D68" s="138">
        <f t="shared" si="14"/>
        <v>20.329999999999998</v>
      </c>
      <c r="E68" s="26">
        <v>7.3769999999999998</v>
      </c>
      <c r="F68" s="48">
        <v>3504367</v>
      </c>
      <c r="G68" s="139">
        <v>27.46</v>
      </c>
      <c r="H68" s="62">
        <f t="shared" si="15"/>
        <v>27</v>
      </c>
      <c r="I68" s="5">
        <f t="shared" si="16"/>
        <v>108</v>
      </c>
    </row>
    <row r="69" spans="1:9" ht="15.75" thickBot="1">
      <c r="A69" s="110">
        <v>20.18</v>
      </c>
      <c r="B69" s="110">
        <v>0</v>
      </c>
      <c r="C69" s="19">
        <v>6</v>
      </c>
      <c r="D69" s="138">
        <f t="shared" si="14"/>
        <v>20.18</v>
      </c>
      <c r="E69" s="26">
        <v>7.3760000000000003</v>
      </c>
      <c r="F69" s="48">
        <v>3515603</v>
      </c>
      <c r="G69" s="139">
        <v>27.55</v>
      </c>
      <c r="H69" s="62">
        <f t="shared" si="15"/>
        <v>27.3</v>
      </c>
      <c r="I69" s="5">
        <f t="shared" si="16"/>
        <v>109.2</v>
      </c>
    </row>
    <row r="70" spans="1:9" ht="15.75" thickBot="1">
      <c r="C70" s="19" t="s">
        <v>26</v>
      </c>
      <c r="D70" s="32" t="s">
        <v>8</v>
      </c>
      <c r="E70" s="84">
        <v>0.1</v>
      </c>
      <c r="F70" s="84"/>
      <c r="G70" s="84"/>
      <c r="H70" s="96">
        <v>0.6</v>
      </c>
    </row>
    <row r="71" spans="1:9" ht="15" customHeight="1">
      <c r="C71" s="75" t="s">
        <v>105</v>
      </c>
      <c r="D71" s="212">
        <f>H70*SQRT(5/_xlfn.CHISQ.INV(0.975,5))</f>
        <v>0.37452480135538957</v>
      </c>
      <c r="E71" s="213"/>
      <c r="F71" s="49" t="s">
        <v>106</v>
      </c>
      <c r="G71" s="212">
        <f>H70*SQRT(5/_xlfn.CHISQ.INV(0.025,5))</f>
        <v>1.471568393128978</v>
      </c>
      <c r="H71" s="213"/>
    </row>
    <row r="72" spans="1:9" ht="15" customHeight="1">
      <c r="C72" s="209" t="s">
        <v>113</v>
      </c>
      <c r="D72" s="210"/>
      <c r="E72" s="140">
        <f>AVERAGE(H64:H69)-_xlfn.T.INV(1-0.05/2,6-1)*STDEV(H64:H69)/SQRT(6)</f>
        <v>26.905345279774927</v>
      </c>
      <c r="F72" s="209" t="s">
        <v>114</v>
      </c>
      <c r="G72" s="210"/>
      <c r="H72" s="140">
        <f>AVERAGE(H64:H69)+_xlfn.T.INV(1-0.05/2,6-1)*STDEV(H64:H69)/SQRT(6)</f>
        <v>27.194654720225074</v>
      </c>
    </row>
    <row r="73" spans="1:9">
      <c r="C73" s="217" t="s">
        <v>115</v>
      </c>
      <c r="D73" s="218"/>
      <c r="E73" s="141">
        <f>E72/27.6*100</f>
        <v>97.483135071648292</v>
      </c>
      <c r="F73" s="217" t="s">
        <v>116</v>
      </c>
      <c r="G73" s="218"/>
      <c r="H73" s="141">
        <f>H72/27.6*100</f>
        <v>98.531357681974896</v>
      </c>
    </row>
    <row r="75" spans="1:9">
      <c r="D75" s="42" t="s">
        <v>21</v>
      </c>
      <c r="E75" s="44">
        <f>AVERAGE(E64:E69)</f>
        <v>7.378333333333333</v>
      </c>
      <c r="F75" s="20">
        <f>AVERAGE(F64:F69)</f>
        <v>3498326</v>
      </c>
      <c r="G75" s="20">
        <f>AVERAGE(G64:G69)</f>
        <v>27.416666666666671</v>
      </c>
      <c r="H75" s="44">
        <f>AVERAGE(H64:H69)</f>
        <v>27.05</v>
      </c>
      <c r="I75" s="68">
        <f>AVERAGE(H46:H51,H64:H69)</f>
        <v>27.891666666666666</v>
      </c>
    </row>
    <row r="76" spans="1:9">
      <c r="D76" s="5" t="s">
        <v>22</v>
      </c>
      <c r="E76" s="20">
        <f>STDEV(E64:E69)</f>
        <v>1.9663841605003442E-3</v>
      </c>
      <c r="F76" s="20">
        <f>STDEV(F64:F69)</f>
        <v>11917.827285205974</v>
      </c>
      <c r="G76" s="20">
        <f>STDEV(G64:G69)</f>
        <v>9.2231592562780712E-2</v>
      </c>
      <c r="H76" s="20">
        <f>STDEV(H64:H69)</f>
        <v>0.13784048752090289</v>
      </c>
      <c r="I76" s="5">
        <f>STDEV(H46:H51,H64:H69)</f>
        <v>0.90700138652127482</v>
      </c>
    </row>
    <row r="77" spans="1:9">
      <c r="D77" s="5" t="s">
        <v>23</v>
      </c>
      <c r="E77" s="46">
        <f>E76/E75*100</f>
        <v>2.665079051954386E-2</v>
      </c>
      <c r="F77" s="20">
        <f t="shared" ref="F77:H77" si="17">F76/F75*100</f>
        <v>0.34067228969529922</v>
      </c>
      <c r="G77" s="20">
        <f t="shared" si="17"/>
        <v>0.33640702454509674</v>
      </c>
      <c r="H77" s="44">
        <f t="shared" si="17"/>
        <v>0.50957666366322696</v>
      </c>
      <c r="I77" s="69">
        <f>I76/I75*100</f>
        <v>3.2518723149851505</v>
      </c>
    </row>
    <row r="78" spans="1:9">
      <c r="I78" s="97">
        <v>3.3</v>
      </c>
    </row>
    <row r="79" spans="1:9" ht="15" customHeight="1">
      <c r="B79" s="5" t="s">
        <v>107</v>
      </c>
      <c r="C79" s="75" t="s">
        <v>105</v>
      </c>
      <c r="D79" s="211">
        <f>I78*SQRT(11/_xlfn.CHISQ.INV(0.975,11))</f>
        <v>2.3377039978454768</v>
      </c>
      <c r="E79" s="211"/>
      <c r="F79" s="49" t="s">
        <v>106</v>
      </c>
      <c r="G79" s="211">
        <f>I78*SQRT(11/_xlfn.CHISQ.INV(0.025,11))</f>
        <v>5.6029974584892202</v>
      </c>
      <c r="H79" s="211"/>
    </row>
    <row r="80" spans="1:9" ht="15" customHeight="1">
      <c r="C80" s="209" t="s">
        <v>113</v>
      </c>
      <c r="D80" s="214"/>
      <c r="E80" s="140">
        <f>AVERAGE(H46:H51,H64:H69)-_xlfn.T.INV(1-0.05/2,12-1)*STDEV(H46:H51,H64:H69)/SQRT(12)</f>
        <v>27.315385479304187</v>
      </c>
      <c r="F80" s="209" t="s">
        <v>114</v>
      </c>
      <c r="G80" s="214"/>
      <c r="H80" s="140">
        <f>AVERAGE(H46:H51,H64:H69)+_xlfn.T.INV(1-0.05/2,12-1)*STDEV(H46:H51,H64:H69)/SQRT(12)</f>
        <v>28.467947854029145</v>
      </c>
    </row>
    <row r="81" spans="1:9">
      <c r="C81" s="215" t="s">
        <v>115</v>
      </c>
      <c r="D81" s="216"/>
      <c r="E81" s="141">
        <f>E80/27.6*100</f>
        <v>98.968787968493416</v>
      </c>
      <c r="F81" s="215" t="s">
        <v>116</v>
      </c>
      <c r="G81" s="216"/>
      <c r="H81" s="141">
        <f>H80/27.6*100</f>
        <v>103.14473860155486</v>
      </c>
    </row>
    <row r="84" spans="1:9" ht="15.75" thickBot="1">
      <c r="A84" s="146" t="s">
        <v>305</v>
      </c>
      <c r="B84" s="148" t="s">
        <v>299</v>
      </c>
      <c r="C84" s="60"/>
    </row>
    <row r="85" spans="1:9" ht="27" thickBot="1">
      <c r="B85" s="60" t="s">
        <v>30</v>
      </c>
      <c r="C85" s="30" t="s">
        <v>9</v>
      </c>
      <c r="D85" s="41" t="s">
        <v>134</v>
      </c>
      <c r="E85" s="45" t="s">
        <v>24</v>
      </c>
      <c r="F85" s="31" t="s">
        <v>3</v>
      </c>
      <c r="G85" s="31" t="s">
        <v>25</v>
      </c>
      <c r="H85" s="31" t="s">
        <v>14</v>
      </c>
    </row>
    <row r="86" spans="1:9" ht="15.75" thickBot="1">
      <c r="A86" s="143">
        <v>20.03</v>
      </c>
      <c r="B86" s="143">
        <v>0</v>
      </c>
      <c r="C86" s="19">
        <v>1</v>
      </c>
      <c r="D86" s="138">
        <f>A86-B86</f>
        <v>20.03</v>
      </c>
      <c r="E86" s="26">
        <v>8.5619999999999994</v>
      </c>
      <c r="F86" s="48">
        <v>985117</v>
      </c>
      <c r="G86" s="139">
        <v>25.73</v>
      </c>
      <c r="H86" s="62">
        <f>ROUND(G86*20/D86,1)</f>
        <v>25.7</v>
      </c>
      <c r="I86" s="5">
        <f>H86/25*100</f>
        <v>102.8</v>
      </c>
    </row>
    <row r="87" spans="1:9" ht="15.75" thickBot="1">
      <c r="A87" s="143">
        <v>20.28</v>
      </c>
      <c r="B87" s="143">
        <v>0.23</v>
      </c>
      <c r="C87" s="19">
        <v>2</v>
      </c>
      <c r="D87" s="138">
        <f t="shared" ref="D87:D91" si="18">A87-B87</f>
        <v>20.05</v>
      </c>
      <c r="E87" s="26">
        <v>8.5619999999999994</v>
      </c>
      <c r="F87" s="48">
        <v>996219</v>
      </c>
      <c r="G87" s="139">
        <v>26.02</v>
      </c>
      <c r="H87" s="62">
        <f t="shared" ref="H87:H91" si="19">ROUND(G87*20/D87,1)</f>
        <v>26</v>
      </c>
      <c r="I87" s="5">
        <f t="shared" ref="I87:I91" si="20">H87/25*100</f>
        <v>104</v>
      </c>
    </row>
    <row r="88" spans="1:9" ht="15.75" thickBot="1">
      <c r="A88" s="143">
        <v>20.34</v>
      </c>
      <c r="B88" s="143">
        <v>0</v>
      </c>
      <c r="C88" s="19">
        <v>3</v>
      </c>
      <c r="D88" s="138">
        <f t="shared" si="18"/>
        <v>20.34</v>
      </c>
      <c r="E88" s="26">
        <v>8.5619999999999994</v>
      </c>
      <c r="F88" s="48">
        <v>982035</v>
      </c>
      <c r="G88" s="139">
        <v>25.65</v>
      </c>
      <c r="H88" s="62">
        <f t="shared" si="19"/>
        <v>25.2</v>
      </c>
      <c r="I88" s="5">
        <f t="shared" si="20"/>
        <v>100.8</v>
      </c>
    </row>
    <row r="89" spans="1:9" ht="15.75" thickBot="1">
      <c r="A89" s="143">
        <v>20.38</v>
      </c>
      <c r="B89" s="143">
        <v>0.04</v>
      </c>
      <c r="C89" s="19">
        <v>4</v>
      </c>
      <c r="D89" s="138">
        <f t="shared" si="18"/>
        <v>20.34</v>
      </c>
      <c r="E89" s="26">
        <v>8.5670000000000002</v>
      </c>
      <c r="F89" s="48">
        <v>991418</v>
      </c>
      <c r="G89" s="139">
        <v>25.89</v>
      </c>
      <c r="H89" s="62">
        <f t="shared" si="19"/>
        <v>25.5</v>
      </c>
      <c r="I89" s="5">
        <f t="shared" si="20"/>
        <v>102</v>
      </c>
    </row>
    <row r="90" spans="1:9" ht="15.75" thickBot="1">
      <c r="A90" s="143">
        <v>20.22</v>
      </c>
      <c r="B90" s="143">
        <v>0</v>
      </c>
      <c r="C90" s="19">
        <v>5</v>
      </c>
      <c r="D90" s="138">
        <f t="shared" si="18"/>
        <v>20.22</v>
      </c>
      <c r="E90" s="26">
        <v>8.56</v>
      </c>
      <c r="F90" s="48">
        <v>985294</v>
      </c>
      <c r="G90" s="139">
        <v>25.73</v>
      </c>
      <c r="H90" s="62">
        <f t="shared" si="19"/>
        <v>25.5</v>
      </c>
      <c r="I90" s="5">
        <f t="shared" si="20"/>
        <v>102</v>
      </c>
    </row>
    <row r="91" spans="1:9" ht="15.75" thickBot="1">
      <c r="A91" s="143">
        <v>20.07</v>
      </c>
      <c r="B91" s="143">
        <v>0</v>
      </c>
      <c r="C91" s="19">
        <v>6</v>
      </c>
      <c r="D91" s="138">
        <f t="shared" si="18"/>
        <v>20.07</v>
      </c>
      <c r="E91" s="26">
        <v>8.5660000000000007</v>
      </c>
      <c r="F91" s="48">
        <v>977752</v>
      </c>
      <c r="G91" s="139">
        <v>25.54</v>
      </c>
      <c r="H91" s="62">
        <f t="shared" si="19"/>
        <v>25.5</v>
      </c>
      <c r="I91" s="5">
        <f t="shared" si="20"/>
        <v>102</v>
      </c>
    </row>
    <row r="92" spans="1:9">
      <c r="C92" s="77" t="s">
        <v>26</v>
      </c>
      <c r="D92" s="94" t="s">
        <v>8</v>
      </c>
      <c r="E92" s="95">
        <v>0.1</v>
      </c>
      <c r="F92" s="94"/>
      <c r="G92" s="94"/>
      <c r="H92" s="142">
        <v>1.1000000000000001</v>
      </c>
    </row>
    <row r="93" spans="1:9" ht="15" customHeight="1">
      <c r="C93" s="75" t="s">
        <v>105</v>
      </c>
      <c r="D93" s="211">
        <f>H92*SQRT(5/_xlfn.CHISQ.INV(0.975,5))</f>
        <v>0.68662880248488101</v>
      </c>
      <c r="E93" s="211"/>
      <c r="F93" s="49" t="s">
        <v>106</v>
      </c>
      <c r="G93" s="211">
        <f>H92*SQRT(5/_xlfn.CHISQ.INV(0.025,5))</f>
        <v>2.6978753874031267</v>
      </c>
      <c r="H93" s="211"/>
    </row>
    <row r="94" spans="1:9" ht="15" customHeight="1">
      <c r="C94" s="209" t="s">
        <v>113</v>
      </c>
      <c r="D94" s="214"/>
      <c r="E94" s="140">
        <f>AVERAGE(H86:H91)-_xlfn.T.INV(1-0.05/2,6-1)*STDEV(H86:H91)/SQRT(6)</f>
        <v>25.28769306313389</v>
      </c>
      <c r="F94" s="209" t="s">
        <v>114</v>
      </c>
      <c r="G94" s="214"/>
      <c r="H94" s="140">
        <f>AVERAGE(H86:H91)+_xlfn.T.INV(1-0.05/2,6-1)*STDEV(H86:H91)/SQRT(6)</f>
        <v>25.845640270199443</v>
      </c>
    </row>
    <row r="95" spans="1:9">
      <c r="C95" s="215" t="s">
        <v>115</v>
      </c>
      <c r="D95" s="216"/>
      <c r="E95" s="141">
        <f>E94/25*100</f>
        <v>101.15077225253557</v>
      </c>
      <c r="F95" s="215" t="s">
        <v>116</v>
      </c>
      <c r="G95" s="216"/>
      <c r="H95" s="141">
        <f>H94/25*100</f>
        <v>103.38256108079777</v>
      </c>
    </row>
    <row r="96" spans="1:9">
      <c r="C96" s="100"/>
      <c r="D96" s="101"/>
      <c r="F96" s="100"/>
      <c r="G96" s="101"/>
      <c r="H96" s="21"/>
    </row>
    <row r="97" spans="1:9">
      <c r="D97" s="42" t="s">
        <v>21</v>
      </c>
      <c r="E97" s="44">
        <f>AVERAGE(E86:E91)</f>
        <v>8.5631666666666675</v>
      </c>
      <c r="F97" s="20">
        <f>AVERAGE(F86:F91)</f>
        <v>986305.83333333337</v>
      </c>
      <c r="G97" s="20">
        <f>AVERAGE(G86:G91)</f>
        <v>25.76</v>
      </c>
      <c r="H97" s="44">
        <f>AVERAGE(H86:H91)</f>
        <v>25.566666666666666</v>
      </c>
    </row>
    <row r="98" spans="1:9">
      <c r="D98" s="5" t="s">
        <v>22</v>
      </c>
      <c r="E98" s="20">
        <f>STDEV(E86:E91)</f>
        <v>2.7141603981098786E-3</v>
      </c>
      <c r="F98" s="20">
        <f>STDEV(F86:F91)</f>
        <v>6606.8197316611167</v>
      </c>
      <c r="G98" s="20">
        <f>STDEV(G86:G91)</f>
        <v>0.17134759992483148</v>
      </c>
      <c r="H98" s="20">
        <f>STDEV(H86:H91)</f>
        <v>0.2658320271650253</v>
      </c>
    </row>
    <row r="99" spans="1:9">
      <c r="D99" s="5" t="s">
        <v>23</v>
      </c>
      <c r="E99" s="46">
        <f>E98/E97*100</f>
        <v>3.169575583148615E-2</v>
      </c>
      <c r="F99" s="20">
        <f t="shared" ref="F99:H99" si="21">F98/F97*100</f>
        <v>0.66985508027795126</v>
      </c>
      <c r="G99" s="20">
        <f t="shared" si="21"/>
        <v>0.66516925436658181</v>
      </c>
      <c r="H99" s="44">
        <f t="shared" si="21"/>
        <v>1.0397602105542059</v>
      </c>
    </row>
    <row r="102" spans="1:9" ht="15.75" thickBot="1">
      <c r="C102" s="60"/>
    </row>
    <row r="103" spans="1:9" ht="27" thickBot="1">
      <c r="B103" s="145" t="s">
        <v>43</v>
      </c>
      <c r="C103" s="30" t="s">
        <v>9</v>
      </c>
      <c r="D103" s="41" t="s">
        <v>134</v>
      </c>
      <c r="E103" s="45" t="s">
        <v>24</v>
      </c>
      <c r="F103" s="31" t="s">
        <v>3</v>
      </c>
      <c r="G103" s="31" t="s">
        <v>25</v>
      </c>
      <c r="H103" s="31" t="s">
        <v>14</v>
      </c>
    </row>
    <row r="104" spans="1:9" ht="15.75" thickBot="1">
      <c r="A104" s="110">
        <v>20.190000000000001</v>
      </c>
      <c r="B104" s="110">
        <v>0</v>
      </c>
      <c r="C104" s="19">
        <v>1</v>
      </c>
      <c r="D104" s="138">
        <f>A104-B104</f>
        <v>20.190000000000001</v>
      </c>
      <c r="E104" s="26">
        <v>8.5980000000000008</v>
      </c>
      <c r="F104" s="48">
        <v>999940</v>
      </c>
      <c r="G104" s="139">
        <v>24.99</v>
      </c>
      <c r="H104" s="62">
        <f>ROUND(G104*20/D104,1)</f>
        <v>24.8</v>
      </c>
      <c r="I104" s="5">
        <f>H104/25*100</f>
        <v>99.2</v>
      </c>
    </row>
    <row r="105" spans="1:9" ht="15.75" thickBot="1">
      <c r="A105" s="110">
        <v>20.399999999999999</v>
      </c>
      <c r="B105" s="110">
        <v>0.05</v>
      </c>
      <c r="C105" s="19">
        <v>2</v>
      </c>
      <c r="D105" s="138">
        <f t="shared" ref="D105:D109" si="22">A105-B105</f>
        <v>20.349999999999998</v>
      </c>
      <c r="E105" s="26">
        <v>8.6</v>
      </c>
      <c r="F105" s="48">
        <v>986600</v>
      </c>
      <c r="G105" s="139">
        <v>24.66</v>
      </c>
      <c r="H105" s="62">
        <f t="shared" ref="H105:H109" si="23">ROUND(G105*20/D105,1)</f>
        <v>24.2</v>
      </c>
      <c r="I105" s="5">
        <f t="shared" ref="I105:I109" si="24">H105/25*100</f>
        <v>96.8</v>
      </c>
    </row>
    <row r="106" spans="1:9" ht="15.75" thickBot="1">
      <c r="A106" s="110">
        <v>20.36</v>
      </c>
      <c r="B106" s="110">
        <v>0</v>
      </c>
      <c r="C106" s="19">
        <v>3</v>
      </c>
      <c r="D106" s="138">
        <f t="shared" si="22"/>
        <v>20.36</v>
      </c>
      <c r="E106" s="26">
        <v>8.5960000000000001</v>
      </c>
      <c r="F106" s="48">
        <v>989784</v>
      </c>
      <c r="G106" s="139">
        <v>24.74</v>
      </c>
      <c r="H106" s="62">
        <f t="shared" si="23"/>
        <v>24.3</v>
      </c>
      <c r="I106" s="5">
        <f t="shared" si="24"/>
        <v>97.2</v>
      </c>
    </row>
    <row r="107" spans="1:9" ht="15.75" thickBot="1">
      <c r="A107" s="110">
        <v>20.22</v>
      </c>
      <c r="B107" s="110">
        <v>0</v>
      </c>
      <c r="C107" s="19">
        <v>4</v>
      </c>
      <c r="D107" s="138">
        <f t="shared" si="22"/>
        <v>20.22</v>
      </c>
      <c r="E107" s="26">
        <v>8.6</v>
      </c>
      <c r="F107" s="48">
        <v>1008423</v>
      </c>
      <c r="G107" s="139">
        <v>25.21</v>
      </c>
      <c r="H107" s="62">
        <f t="shared" si="23"/>
        <v>24.9</v>
      </c>
      <c r="I107" s="5">
        <f t="shared" si="24"/>
        <v>99.6</v>
      </c>
    </row>
    <row r="108" spans="1:9" ht="15.75" thickBot="1">
      <c r="A108" s="110">
        <v>20.329999999999998</v>
      </c>
      <c r="B108" s="110">
        <v>0</v>
      </c>
      <c r="C108" s="19">
        <v>5</v>
      </c>
      <c r="D108" s="138">
        <f t="shared" si="22"/>
        <v>20.329999999999998</v>
      </c>
      <c r="E108" s="26">
        <v>8.5960000000000001</v>
      </c>
      <c r="F108" s="48">
        <v>991222</v>
      </c>
      <c r="G108" s="139">
        <v>24.78</v>
      </c>
      <c r="H108" s="62">
        <f t="shared" si="23"/>
        <v>24.4</v>
      </c>
      <c r="I108" s="5">
        <f t="shared" si="24"/>
        <v>97.6</v>
      </c>
    </row>
    <row r="109" spans="1:9" ht="15.75" thickBot="1">
      <c r="A109" s="110">
        <v>20.18</v>
      </c>
      <c r="B109" s="110">
        <v>0</v>
      </c>
      <c r="C109" s="19">
        <v>6</v>
      </c>
      <c r="D109" s="138">
        <f t="shared" si="22"/>
        <v>20.18</v>
      </c>
      <c r="E109" s="26">
        <v>8.5960000000000001</v>
      </c>
      <c r="F109" s="48">
        <v>998989</v>
      </c>
      <c r="G109" s="139">
        <v>24.97</v>
      </c>
      <c r="H109" s="62">
        <f t="shared" si="23"/>
        <v>24.7</v>
      </c>
      <c r="I109" s="5">
        <f t="shared" si="24"/>
        <v>98.8</v>
      </c>
    </row>
    <row r="110" spans="1:9" ht="15.75" thickBot="1">
      <c r="C110" s="19" t="s">
        <v>26</v>
      </c>
      <c r="D110" s="32" t="s">
        <v>8</v>
      </c>
      <c r="E110" s="84">
        <v>0.1</v>
      </c>
      <c r="F110" s="84"/>
      <c r="G110" s="84"/>
      <c r="H110" s="96">
        <v>1.2</v>
      </c>
    </row>
    <row r="111" spans="1:9" ht="15" customHeight="1">
      <c r="C111" s="75" t="s">
        <v>105</v>
      </c>
      <c r="D111" s="212">
        <f>H110*SQRT(5/_xlfn.CHISQ.INV(0.975,5))</f>
        <v>0.74904960271077914</v>
      </c>
      <c r="E111" s="213"/>
      <c r="F111" s="49" t="s">
        <v>106</v>
      </c>
      <c r="G111" s="212">
        <f>H110*SQRT(5/_xlfn.CHISQ.INV(0.025,5))</f>
        <v>2.9431367862579561</v>
      </c>
      <c r="H111" s="213"/>
    </row>
    <row r="112" spans="1:9" ht="15" customHeight="1">
      <c r="C112" s="209" t="s">
        <v>113</v>
      </c>
      <c r="D112" s="210"/>
      <c r="E112" s="140">
        <f>AVERAGE(H104:H109)-_xlfn.T.INV(1-0.05/2,6-1)*STDEV(H104:H109)/SQRT(6)</f>
        <v>24.247660524460393</v>
      </c>
      <c r="F112" s="209" t="s">
        <v>114</v>
      </c>
      <c r="G112" s="210"/>
      <c r="H112" s="140">
        <f>AVERAGE(H104:H109)+_xlfn.T.INV(1-0.05/2,6-1)*STDEV(H104:H109)/SQRT(6)</f>
        <v>24.852339475539601</v>
      </c>
    </row>
    <row r="113" spans="2:9">
      <c r="C113" s="217" t="s">
        <v>115</v>
      </c>
      <c r="D113" s="218"/>
      <c r="E113" s="141">
        <f>E112/25*100</f>
        <v>96.990642097841572</v>
      </c>
      <c r="F113" s="217" t="s">
        <v>116</v>
      </c>
      <c r="G113" s="218"/>
      <c r="H113" s="141">
        <f>H112/25*100</f>
        <v>99.409357902158405</v>
      </c>
    </row>
    <row r="115" spans="2:9">
      <c r="D115" s="42" t="s">
        <v>21</v>
      </c>
      <c r="E115" s="44">
        <f>AVERAGE(E104:E109)</f>
        <v>8.597666666666667</v>
      </c>
      <c r="F115" s="20">
        <f>AVERAGE(F104:F109)</f>
        <v>995826.33333333337</v>
      </c>
      <c r="G115" s="20">
        <f>AVERAGE(G104:G109)</f>
        <v>24.891666666666666</v>
      </c>
      <c r="H115" s="44">
        <f>AVERAGE(H104:H109)</f>
        <v>24.549999999999997</v>
      </c>
      <c r="I115" s="68">
        <f>AVERAGE(H86:H91,H104:H109)</f>
        <v>25.058333333333334</v>
      </c>
    </row>
    <row r="116" spans="2:9">
      <c r="D116" s="5" t="s">
        <v>22</v>
      </c>
      <c r="E116" s="20">
        <f>STDEV(E104:E109)</f>
        <v>1.9663841605001638E-3</v>
      </c>
      <c r="F116" s="20">
        <f>STDEV(F104:F109)</f>
        <v>8104.7594576684787</v>
      </c>
      <c r="G116" s="20">
        <f>STDEV(G104:G109)</f>
        <v>0.2031173716516308</v>
      </c>
      <c r="H116" s="20">
        <f>STDEV(H104:H109)</f>
        <v>0.28809720581775855</v>
      </c>
      <c r="I116" s="5">
        <f>STDEV(H86:H91,H104:H109)</f>
        <v>0.59307876731714515</v>
      </c>
    </row>
    <row r="117" spans="2:9">
      <c r="D117" s="5" t="s">
        <v>23</v>
      </c>
      <c r="E117" s="46">
        <f>E116/E115*100</f>
        <v>2.287113744620824E-2</v>
      </c>
      <c r="F117" s="20">
        <f t="shared" ref="F117:H117" si="25">F116/F115*100</f>
        <v>0.81387277945737646</v>
      </c>
      <c r="G117" s="20">
        <f t="shared" si="25"/>
        <v>0.8160055104852928</v>
      </c>
      <c r="H117" s="44">
        <f t="shared" si="25"/>
        <v>1.1735120399908701</v>
      </c>
      <c r="I117" s="69">
        <f>I116/I115*100</f>
        <v>2.3667925533108551</v>
      </c>
    </row>
    <row r="118" spans="2:9">
      <c r="I118" s="97">
        <v>2.4</v>
      </c>
    </row>
    <row r="119" spans="2:9" ht="15" customHeight="1">
      <c r="B119" s="5" t="s">
        <v>107</v>
      </c>
      <c r="C119" s="75" t="s">
        <v>105</v>
      </c>
      <c r="D119" s="211">
        <f>I118*SQRT(11/_xlfn.CHISQ.INV(0.975,11))</f>
        <v>1.7001483620694378</v>
      </c>
      <c r="E119" s="211"/>
      <c r="F119" s="49" t="s">
        <v>106</v>
      </c>
      <c r="G119" s="211">
        <f>I118*SQRT(11/_xlfn.CHISQ.INV(0.025,11))</f>
        <v>4.0749072425376145</v>
      </c>
      <c r="H119" s="211"/>
    </row>
    <row r="120" spans="2:9" ht="15" customHeight="1">
      <c r="C120" s="209" t="s">
        <v>113</v>
      </c>
      <c r="D120" s="214"/>
      <c r="E120" s="140">
        <f>AVERAGE(H86:H91,H104:H109)-_xlfn.T.INV(1-0.05/2,12-1)*STDEV(H86:H91,H104:H109)/SQRT(12)</f>
        <v>24.681509062380599</v>
      </c>
      <c r="F120" s="209" t="s">
        <v>114</v>
      </c>
      <c r="G120" s="214"/>
      <c r="H120" s="140">
        <f>AVERAGE(H86:H91,H104:H109)+_xlfn.T.INV(1-0.05/2,12-1)*STDEV(H86:H91,H104:H109)/SQRT(12)</f>
        <v>25.435157604286069</v>
      </c>
    </row>
    <row r="121" spans="2:9">
      <c r="C121" s="215" t="s">
        <v>115</v>
      </c>
      <c r="D121" s="216"/>
      <c r="E121" s="141">
        <f>E120/25*100</f>
        <v>98.726036249522394</v>
      </c>
      <c r="F121" s="215" t="s">
        <v>116</v>
      </c>
      <c r="G121" s="216"/>
      <c r="H121" s="141">
        <f>H120/25*100</f>
        <v>101.74063041714427</v>
      </c>
    </row>
  </sheetData>
  <mergeCells count="54">
    <mergeCell ref="D119:E119"/>
    <mergeCell ref="G119:H119"/>
    <mergeCell ref="C120:D120"/>
    <mergeCell ref="F120:G120"/>
    <mergeCell ref="C121:D121"/>
    <mergeCell ref="F121:G121"/>
    <mergeCell ref="D111:E111"/>
    <mergeCell ref="G111:H111"/>
    <mergeCell ref="C112:D112"/>
    <mergeCell ref="F112:G112"/>
    <mergeCell ref="C113:D113"/>
    <mergeCell ref="F113:G113"/>
    <mergeCell ref="D93:E93"/>
    <mergeCell ref="G93:H93"/>
    <mergeCell ref="C94:D94"/>
    <mergeCell ref="F94:G94"/>
    <mergeCell ref="C95:D95"/>
    <mergeCell ref="F95:G95"/>
    <mergeCell ref="D79:E79"/>
    <mergeCell ref="G79:H79"/>
    <mergeCell ref="C80:D80"/>
    <mergeCell ref="F80:G80"/>
    <mergeCell ref="C81:D81"/>
    <mergeCell ref="F81:G81"/>
    <mergeCell ref="D71:E71"/>
    <mergeCell ref="G71:H71"/>
    <mergeCell ref="C72:D72"/>
    <mergeCell ref="F72:G72"/>
    <mergeCell ref="C73:D73"/>
    <mergeCell ref="F73:G73"/>
    <mergeCell ref="D53:E53"/>
    <mergeCell ref="G53:H53"/>
    <mergeCell ref="C54:D54"/>
    <mergeCell ref="F54:G54"/>
    <mergeCell ref="C55:D55"/>
    <mergeCell ref="F55:G55"/>
    <mergeCell ref="C32:D32"/>
    <mergeCell ref="F32:G32"/>
    <mergeCell ref="C39:D39"/>
    <mergeCell ref="F39:G39"/>
    <mergeCell ref="C40:D40"/>
    <mergeCell ref="F40:G40"/>
    <mergeCell ref="D38:E38"/>
    <mergeCell ref="G38:H38"/>
    <mergeCell ref="C31:D31"/>
    <mergeCell ref="F31:G31"/>
    <mergeCell ref="D12:E12"/>
    <mergeCell ref="G12:H12"/>
    <mergeCell ref="D30:E30"/>
    <mergeCell ref="G30:H30"/>
    <mergeCell ref="C13:D13"/>
    <mergeCell ref="F13:G13"/>
    <mergeCell ref="C14:D14"/>
    <mergeCell ref="F14:G14"/>
  </mergeCells>
  <phoneticPr fontId="1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8"/>
  <sheetViews>
    <sheetView topLeftCell="F72" zoomScale="80" zoomScaleNormal="80" workbookViewId="0">
      <selection activeCell="M88" sqref="M88"/>
    </sheetView>
  </sheetViews>
  <sheetFormatPr defaultColWidth="15.375" defaultRowHeight="13.5"/>
  <cols>
    <col min="1" max="1" width="15.375" style="7"/>
    <col min="2" max="2" width="12.25" style="7" customWidth="1"/>
    <col min="3" max="3" width="17.75" style="7" customWidth="1"/>
    <col min="4" max="4" width="12.75" style="8" customWidth="1"/>
    <col min="5" max="5" width="14.875" style="8" customWidth="1"/>
    <col min="6" max="6" width="14.5" style="8" customWidth="1"/>
    <col min="7" max="7" width="11.875" style="7" customWidth="1"/>
    <col min="8" max="8" width="12.5" style="7" customWidth="1"/>
    <col min="9" max="9" width="12.25" style="7" customWidth="1"/>
    <col min="10" max="10" width="12.125" style="9" customWidth="1"/>
    <col min="11" max="12" width="12" style="7" customWidth="1"/>
    <col min="13" max="13" width="11.5" style="7" customWidth="1"/>
    <col min="14" max="14" width="13.625" style="10" customWidth="1"/>
    <col min="15" max="15" width="15.375" style="7"/>
    <col min="16" max="16" width="15.375" style="11"/>
    <col min="17" max="16384" width="15.375" style="7"/>
  </cols>
  <sheetData>
    <row r="1" spans="2:18">
      <c r="B1" s="11" t="s">
        <v>126</v>
      </c>
    </row>
    <row r="2" spans="2:18" ht="15.75">
      <c r="B2" s="117" t="s">
        <v>154</v>
      </c>
      <c r="C2" s="117" t="s">
        <v>155</v>
      </c>
      <c r="D2" s="118" t="s">
        <v>156</v>
      </c>
      <c r="E2" s="118" t="s">
        <v>157</v>
      </c>
      <c r="F2" s="118" t="s">
        <v>158</v>
      </c>
      <c r="G2" s="118" t="s">
        <v>159</v>
      </c>
      <c r="H2" s="161"/>
      <c r="I2" s="104"/>
      <c r="J2" s="7"/>
      <c r="L2" s="9"/>
      <c r="N2" s="7"/>
      <c r="P2" s="10"/>
      <c r="R2" s="11"/>
    </row>
    <row r="3" spans="2:18" ht="15.75">
      <c r="B3" s="219" t="s">
        <v>160</v>
      </c>
      <c r="C3" s="117" t="s">
        <v>161</v>
      </c>
      <c r="D3" s="119">
        <v>16340</v>
      </c>
      <c r="E3" s="117">
        <v>0</v>
      </c>
      <c r="F3" s="117">
        <v>0</v>
      </c>
      <c r="G3" s="119" t="s">
        <v>125</v>
      </c>
      <c r="J3" s="7"/>
      <c r="L3" s="9"/>
      <c r="N3" s="7"/>
      <c r="P3" s="10"/>
      <c r="R3" s="11"/>
    </row>
    <row r="4" spans="2:18" ht="15.75">
      <c r="B4" s="219"/>
      <c r="C4" s="117" t="s">
        <v>162</v>
      </c>
      <c r="D4" s="119">
        <v>1448121</v>
      </c>
      <c r="E4" s="117">
        <v>23.96</v>
      </c>
      <c r="F4" s="117">
        <v>26.15</v>
      </c>
      <c r="G4" s="120">
        <f>E4/F4*100</f>
        <v>91.625239005736148</v>
      </c>
      <c r="J4" s="7"/>
      <c r="L4" s="9"/>
      <c r="N4" s="7"/>
      <c r="P4" s="10"/>
      <c r="R4" s="11"/>
    </row>
    <row r="5" spans="2:18" ht="15.75">
      <c r="B5" s="219"/>
      <c r="C5" s="117" t="s">
        <v>163</v>
      </c>
      <c r="D5" s="119">
        <v>163593</v>
      </c>
      <c r="E5" s="117">
        <v>2.35</v>
      </c>
      <c r="F5" s="117">
        <v>2.61</v>
      </c>
      <c r="G5" s="120">
        <f t="shared" ref="G5" si="0">E5/F5*100</f>
        <v>90.038314176245223</v>
      </c>
      <c r="J5" s="7"/>
      <c r="L5" s="9"/>
      <c r="N5" s="7"/>
      <c r="P5" s="10"/>
      <c r="R5" s="11"/>
    </row>
    <row r="6" spans="2:18" ht="15.75">
      <c r="B6" s="219" t="s">
        <v>164</v>
      </c>
      <c r="C6" s="117" t="s">
        <v>161</v>
      </c>
      <c r="D6" s="119">
        <v>0</v>
      </c>
      <c r="E6" s="117">
        <v>0</v>
      </c>
      <c r="F6" s="117">
        <v>0</v>
      </c>
      <c r="G6" s="119" t="s">
        <v>125</v>
      </c>
      <c r="J6" s="7"/>
      <c r="L6" s="9"/>
      <c r="N6" s="7"/>
      <c r="P6" s="10"/>
      <c r="R6" s="11"/>
    </row>
    <row r="7" spans="2:18" ht="15.75">
      <c r="B7" s="219"/>
      <c r="C7" s="117" t="s">
        <v>162</v>
      </c>
      <c r="D7" s="119">
        <v>102720</v>
      </c>
      <c r="E7" s="117">
        <v>25.62</v>
      </c>
      <c r="F7" s="117">
        <v>25.14</v>
      </c>
      <c r="G7" s="120">
        <f>E7/F7*100</f>
        <v>101.90930787589498</v>
      </c>
      <c r="J7" s="7"/>
      <c r="L7" s="9"/>
      <c r="N7" s="7"/>
      <c r="P7" s="10"/>
      <c r="R7" s="11"/>
    </row>
    <row r="8" spans="2:18" ht="15.75">
      <c r="B8" s="219"/>
      <c r="C8" s="117" t="s">
        <v>163</v>
      </c>
      <c r="D8" s="119">
        <v>11970</v>
      </c>
      <c r="E8" s="117">
        <v>2.88</v>
      </c>
      <c r="F8" s="117">
        <v>2.5099999999999998</v>
      </c>
      <c r="G8" s="120">
        <f t="shared" ref="G8" si="1">E8/F8*100</f>
        <v>114.74103585657372</v>
      </c>
      <c r="J8" s="7"/>
      <c r="L8" s="9"/>
      <c r="N8" s="7"/>
      <c r="P8" s="10"/>
      <c r="R8" s="11"/>
    </row>
    <row r="9" spans="2:18" ht="15.75">
      <c r="B9" s="219" t="s">
        <v>165</v>
      </c>
      <c r="C9" s="117" t="s">
        <v>161</v>
      </c>
      <c r="D9" s="119">
        <v>274921</v>
      </c>
      <c r="E9" s="117">
        <v>2.21</v>
      </c>
      <c r="F9" s="117">
        <v>0</v>
      </c>
      <c r="G9" s="119" t="s">
        <v>125</v>
      </c>
      <c r="J9" s="7"/>
      <c r="L9" s="9"/>
      <c r="N9" s="7"/>
      <c r="P9" s="10"/>
      <c r="R9" s="11"/>
    </row>
    <row r="10" spans="2:18" ht="15.75">
      <c r="B10" s="219"/>
      <c r="C10" s="117" t="s">
        <v>162</v>
      </c>
      <c r="D10" s="119">
        <v>2949820</v>
      </c>
      <c r="E10" s="117">
        <v>27.33</v>
      </c>
      <c r="F10" s="117">
        <v>25.49</v>
      </c>
      <c r="G10" s="120">
        <f>(E10-2.21)/F10*100</f>
        <v>98.548450372695171</v>
      </c>
      <c r="J10" s="7"/>
      <c r="L10" s="9"/>
      <c r="N10" s="7"/>
      <c r="P10" s="10"/>
      <c r="R10" s="11"/>
    </row>
    <row r="11" spans="2:18" ht="15.75">
      <c r="B11" s="219"/>
      <c r="C11" s="117" t="s">
        <v>163</v>
      </c>
      <c r="D11" s="119">
        <v>521868</v>
      </c>
      <c r="E11" s="117">
        <v>4.53</v>
      </c>
      <c r="F11" s="117">
        <v>2.5499999999999998</v>
      </c>
      <c r="G11" s="120">
        <f>(E11-2.21)/F11*100</f>
        <v>90.980392156862763</v>
      </c>
      <c r="J11" s="7"/>
      <c r="L11" s="9"/>
      <c r="N11" s="7"/>
      <c r="P11" s="10"/>
      <c r="R11" s="11"/>
    </row>
    <row r="12" spans="2:18" ht="15.75">
      <c r="B12" s="219" t="s">
        <v>166</v>
      </c>
      <c r="C12" s="117" t="s">
        <v>161</v>
      </c>
      <c r="D12" s="119">
        <v>0</v>
      </c>
      <c r="E12" s="117">
        <v>0</v>
      </c>
      <c r="F12" s="117">
        <v>0</v>
      </c>
      <c r="G12" s="119" t="s">
        <v>125</v>
      </c>
      <c r="J12" s="7"/>
      <c r="L12" s="9"/>
      <c r="N12" s="7"/>
      <c r="P12" s="10"/>
      <c r="R12" s="11"/>
    </row>
    <row r="13" spans="2:18" ht="15.75">
      <c r="B13" s="219"/>
      <c r="C13" s="117" t="s">
        <v>162</v>
      </c>
      <c r="D13" s="119">
        <v>872076</v>
      </c>
      <c r="E13" s="117">
        <v>25.32</v>
      </c>
      <c r="F13" s="117">
        <v>25.8</v>
      </c>
      <c r="G13" s="120">
        <f>E13/F13*100</f>
        <v>98.139534883720927</v>
      </c>
      <c r="J13" s="7"/>
      <c r="L13" s="9"/>
      <c r="N13" s="7"/>
      <c r="P13" s="10"/>
      <c r="R13" s="11"/>
    </row>
    <row r="14" spans="2:18" ht="15.75">
      <c r="B14" s="219"/>
      <c r="C14" s="117" t="s">
        <v>163</v>
      </c>
      <c r="D14" s="119">
        <v>88663</v>
      </c>
      <c r="E14" s="117">
        <v>2.76</v>
      </c>
      <c r="F14" s="117">
        <v>2.58</v>
      </c>
      <c r="G14" s="120">
        <f t="shared" ref="G14" si="2">E14/F14*100</f>
        <v>106.9767441860465</v>
      </c>
      <c r="J14" s="7"/>
      <c r="L14" s="9"/>
      <c r="N14" s="7"/>
      <c r="P14" s="10"/>
      <c r="R14" s="11"/>
    </row>
    <row r="15" spans="2:18">
      <c r="J15" s="7"/>
      <c r="L15" s="9"/>
      <c r="N15" s="7"/>
      <c r="P15" s="10"/>
      <c r="R15" s="11"/>
    </row>
    <row r="16" spans="2:18" ht="14.25" thickBot="1">
      <c r="J16" s="7"/>
      <c r="L16" s="9"/>
      <c r="N16" s="7"/>
      <c r="P16" s="10"/>
      <c r="R16" s="11"/>
    </row>
    <row r="17" spans="1:18">
      <c r="C17" s="254" t="s">
        <v>309</v>
      </c>
      <c r="D17" s="256" t="s">
        <v>9</v>
      </c>
      <c r="E17" s="149" t="s">
        <v>310</v>
      </c>
      <c r="F17" s="254" t="s">
        <v>3</v>
      </c>
      <c r="G17" s="254" t="s">
        <v>312</v>
      </c>
      <c r="H17" s="258" t="s">
        <v>313</v>
      </c>
      <c r="I17" s="254" t="s">
        <v>314</v>
      </c>
      <c r="J17" s="7"/>
      <c r="L17" s="9"/>
      <c r="N17" s="7"/>
      <c r="P17" s="10"/>
      <c r="R17" s="11"/>
    </row>
    <row r="18" spans="1:18" ht="14.25" thickBot="1">
      <c r="C18" s="255"/>
      <c r="D18" s="257"/>
      <c r="E18" s="150" t="s">
        <v>311</v>
      </c>
      <c r="F18" s="255"/>
      <c r="G18" s="255"/>
      <c r="H18" s="259"/>
      <c r="I18" s="255"/>
      <c r="J18" s="7"/>
      <c r="L18" s="9"/>
      <c r="N18" s="7"/>
      <c r="P18" s="10"/>
      <c r="R18" s="11"/>
    </row>
    <row r="19" spans="1:18" ht="14.25" thickBot="1">
      <c r="A19" s="7">
        <v>20.05</v>
      </c>
      <c r="B19" s="7">
        <v>0.09</v>
      </c>
      <c r="C19" s="254" t="s">
        <v>315</v>
      </c>
      <c r="D19" s="151">
        <v>1</v>
      </c>
      <c r="E19" s="152">
        <f>A19-B19</f>
        <v>19.96</v>
      </c>
      <c r="F19" s="4">
        <v>0</v>
      </c>
      <c r="G19" s="4">
        <v>0</v>
      </c>
      <c r="H19" s="162" t="s">
        <v>319</v>
      </c>
      <c r="I19" s="248"/>
      <c r="J19" s="7"/>
      <c r="L19" s="9"/>
      <c r="N19" s="7"/>
      <c r="P19" s="10"/>
      <c r="R19" s="11"/>
    </row>
    <row r="20" spans="1:18" ht="14.25" thickBot="1">
      <c r="A20" s="7">
        <v>20.25</v>
      </c>
      <c r="B20" s="7">
        <v>0</v>
      </c>
      <c r="C20" s="260"/>
      <c r="D20" s="151">
        <v>2</v>
      </c>
      <c r="E20" s="152">
        <f t="shared" ref="E20:E22" si="3">A20-B20</f>
        <v>20.25</v>
      </c>
      <c r="F20" s="4">
        <v>0</v>
      </c>
      <c r="G20" s="4">
        <v>0</v>
      </c>
      <c r="H20" s="162" t="s">
        <v>318</v>
      </c>
      <c r="I20" s="249"/>
      <c r="J20" s="7"/>
      <c r="L20" s="9"/>
      <c r="N20" s="7"/>
      <c r="P20" s="10"/>
      <c r="R20" s="11"/>
    </row>
    <row r="21" spans="1:18" ht="14.25" thickBot="1">
      <c r="A21" s="7">
        <v>20.05</v>
      </c>
      <c r="B21" s="7">
        <v>0</v>
      </c>
      <c r="C21" s="255"/>
      <c r="D21" s="151">
        <v>3</v>
      </c>
      <c r="E21" s="152">
        <f t="shared" si="3"/>
        <v>20.05</v>
      </c>
      <c r="F21" s="4">
        <v>0</v>
      </c>
      <c r="G21" s="4">
        <v>0</v>
      </c>
      <c r="H21" s="162" t="s">
        <v>318</v>
      </c>
      <c r="I21" s="250"/>
      <c r="J21" s="7"/>
      <c r="L21" s="9"/>
      <c r="N21" s="7"/>
      <c r="P21" s="10"/>
      <c r="R21" s="11"/>
    </row>
    <row r="22" spans="1:18" ht="14.25" thickBot="1">
      <c r="A22" s="7">
        <v>20.05</v>
      </c>
      <c r="B22" s="7">
        <v>0.09</v>
      </c>
      <c r="C22" s="254" t="s">
        <v>316</v>
      </c>
      <c r="D22" s="151">
        <v>1</v>
      </c>
      <c r="E22" s="152">
        <f t="shared" si="3"/>
        <v>19.96</v>
      </c>
      <c r="F22" s="48">
        <v>313751</v>
      </c>
      <c r="G22" s="139">
        <v>2.59</v>
      </c>
      <c r="H22" s="162">
        <f>ROUND(G22*20/E22,1)</f>
        <v>2.6</v>
      </c>
      <c r="I22" s="261"/>
      <c r="J22" s="7"/>
      <c r="L22" s="9"/>
      <c r="N22" s="7"/>
      <c r="P22" s="10"/>
      <c r="R22" s="11"/>
    </row>
    <row r="23" spans="1:18" ht="14.25" thickBot="1">
      <c r="A23" s="7">
        <v>20.25</v>
      </c>
      <c r="B23" s="7">
        <v>0</v>
      </c>
      <c r="C23" s="260"/>
      <c r="D23" s="151">
        <v>2</v>
      </c>
      <c r="E23" s="152">
        <f t="shared" ref="E23:E27" si="4">A23-B23</f>
        <v>20.25</v>
      </c>
      <c r="F23" s="48">
        <v>315652</v>
      </c>
      <c r="G23" s="139">
        <v>2.6</v>
      </c>
      <c r="H23" s="162">
        <f>ROUND(G23*20/E23,1)</f>
        <v>2.6</v>
      </c>
      <c r="I23" s="262"/>
      <c r="J23" s="7"/>
      <c r="L23" s="9"/>
      <c r="N23" s="7"/>
      <c r="P23" s="10"/>
      <c r="R23" s="11"/>
    </row>
    <row r="24" spans="1:18" ht="14.25" thickBot="1">
      <c r="A24" s="7">
        <v>20.05</v>
      </c>
      <c r="B24" s="7">
        <v>0</v>
      </c>
      <c r="C24" s="255"/>
      <c r="D24" s="151">
        <v>3</v>
      </c>
      <c r="E24" s="152">
        <f t="shared" si="4"/>
        <v>20.05</v>
      </c>
      <c r="F24" s="48">
        <v>314928</v>
      </c>
      <c r="G24" s="139">
        <v>2.6</v>
      </c>
      <c r="H24" s="162">
        <f>ROUND(G24*20/E24,1)</f>
        <v>2.6</v>
      </c>
      <c r="I24" s="263"/>
      <c r="J24" s="7"/>
      <c r="L24" s="9"/>
      <c r="N24" s="7"/>
      <c r="P24" s="10"/>
      <c r="R24" s="11"/>
    </row>
    <row r="25" spans="1:18" ht="14.25" thickBot="1">
      <c r="A25" s="7">
        <v>20.05</v>
      </c>
      <c r="B25" s="7">
        <v>0.09</v>
      </c>
      <c r="C25" s="254" t="s">
        <v>317</v>
      </c>
      <c r="D25" s="151">
        <v>1</v>
      </c>
      <c r="E25" s="152">
        <f t="shared" si="4"/>
        <v>19.96</v>
      </c>
      <c r="F25" s="4">
        <v>0</v>
      </c>
      <c r="G25" s="4">
        <v>0</v>
      </c>
      <c r="H25" s="162" t="s">
        <v>319</v>
      </c>
      <c r="I25" s="261"/>
      <c r="J25" s="7"/>
      <c r="L25" s="9"/>
      <c r="N25" s="7"/>
      <c r="P25" s="10"/>
      <c r="R25" s="11"/>
    </row>
    <row r="26" spans="1:18" ht="14.25" thickBot="1">
      <c r="A26" s="7">
        <v>20.25</v>
      </c>
      <c r="B26" s="7">
        <v>0</v>
      </c>
      <c r="C26" s="260"/>
      <c r="D26" s="151">
        <v>2</v>
      </c>
      <c r="E26" s="152">
        <f t="shared" si="4"/>
        <v>20.25</v>
      </c>
      <c r="F26" s="4">
        <v>0</v>
      </c>
      <c r="G26" s="4">
        <v>0</v>
      </c>
      <c r="H26" s="162" t="s">
        <v>318</v>
      </c>
      <c r="I26" s="262"/>
      <c r="J26" s="7"/>
      <c r="L26" s="9"/>
      <c r="N26" s="7"/>
      <c r="P26" s="10"/>
      <c r="R26" s="11"/>
    </row>
    <row r="27" spans="1:18" ht="14.25" thickBot="1">
      <c r="A27" s="7">
        <v>20.05</v>
      </c>
      <c r="B27" s="7">
        <v>0</v>
      </c>
      <c r="C27" s="255"/>
      <c r="D27" s="151">
        <v>3</v>
      </c>
      <c r="E27" s="152">
        <f t="shared" si="4"/>
        <v>20.05</v>
      </c>
      <c r="F27" s="4">
        <v>0</v>
      </c>
      <c r="G27" s="4">
        <v>0</v>
      </c>
      <c r="H27" s="162" t="s">
        <v>318</v>
      </c>
      <c r="I27" s="263"/>
      <c r="J27" s="7"/>
      <c r="L27" s="9"/>
      <c r="N27" s="7"/>
      <c r="P27" s="10"/>
      <c r="R27" s="11"/>
    </row>
    <row r="28" spans="1:18">
      <c r="C28" s="166"/>
      <c r="D28" s="167"/>
      <c r="E28" s="168"/>
      <c r="F28" s="169"/>
      <c r="G28" s="169"/>
      <c r="H28" s="170"/>
      <c r="I28" s="171"/>
      <c r="J28" s="7"/>
      <c r="L28" s="9"/>
      <c r="N28" s="7"/>
      <c r="P28" s="10"/>
      <c r="R28" s="11"/>
    </row>
    <row r="29" spans="1:18">
      <c r="C29" s="166"/>
      <c r="D29" s="167"/>
      <c r="E29" s="168"/>
      <c r="F29" s="169"/>
      <c r="G29" s="169"/>
      <c r="H29" s="170"/>
      <c r="I29" s="171"/>
      <c r="J29" s="7"/>
      <c r="L29" s="9"/>
      <c r="N29" s="7"/>
      <c r="P29" s="10"/>
      <c r="R29" s="11"/>
    </row>
    <row r="30" spans="1:18">
      <c r="C30" s="166"/>
      <c r="D30" s="167"/>
      <c r="E30" s="168"/>
      <c r="F30" s="169"/>
      <c r="G30" s="169">
        <f>ROUND($E$36*G34,2)</f>
        <v>50.68</v>
      </c>
      <c r="H30" s="169"/>
      <c r="I30" s="169">
        <f t="shared" ref="I30:J30" si="5">ROUND($E$36*I34,2)</f>
        <v>506.8</v>
      </c>
      <c r="J30" s="169">
        <f t="shared" si="5"/>
        <v>760.2</v>
      </c>
      <c r="L30" s="9"/>
      <c r="N30" s="7"/>
      <c r="P30" s="10"/>
      <c r="R30" s="11"/>
    </row>
    <row r="31" spans="1:18">
      <c r="G31" s="169">
        <f>ROUND($E$37*G34,2)</f>
        <v>51.25</v>
      </c>
      <c r="H31" s="169"/>
      <c r="I31" s="169">
        <f t="shared" ref="I31:J31" si="6">ROUND($E$37*I34,2)</f>
        <v>512.5</v>
      </c>
      <c r="J31" s="169">
        <f t="shared" si="6"/>
        <v>768.75</v>
      </c>
      <c r="L31" s="9"/>
      <c r="N31" s="7"/>
      <c r="P31" s="10"/>
      <c r="R31" s="11"/>
    </row>
    <row r="32" spans="1:18">
      <c r="G32" s="169">
        <f ca="1">ROUND($E$38*G34,2)</f>
        <v>50.9</v>
      </c>
      <c r="H32" s="169"/>
      <c r="I32" s="169">
        <f t="shared" ref="I32:J32" ca="1" si="7">ROUND($E$38*I34,2)</f>
        <v>509.02</v>
      </c>
      <c r="J32" s="169">
        <f t="shared" ca="1" si="7"/>
        <v>763.53</v>
      </c>
    </row>
    <row r="34" spans="1:15" s="6" customFormat="1" ht="14.25">
      <c r="A34" s="14">
        <v>46162</v>
      </c>
      <c r="B34" s="13"/>
      <c r="C34" s="15"/>
      <c r="D34" s="13"/>
      <c r="E34" s="6">
        <v>10</v>
      </c>
      <c r="F34" s="6">
        <v>0.05</v>
      </c>
      <c r="G34" s="6">
        <v>0.1</v>
      </c>
      <c r="H34" s="13">
        <v>0.5</v>
      </c>
      <c r="I34" s="6">
        <v>1</v>
      </c>
      <c r="J34" s="6">
        <v>1.5</v>
      </c>
      <c r="K34" s="6">
        <v>2</v>
      </c>
    </row>
    <row r="35" spans="1:15" s="6" customFormat="1" ht="14.25">
      <c r="A35" s="16" t="s">
        <v>0</v>
      </c>
      <c r="B35" s="17" t="s">
        <v>1</v>
      </c>
      <c r="C35" s="111" t="s">
        <v>133</v>
      </c>
      <c r="D35" s="17" t="s">
        <v>117</v>
      </c>
      <c r="E35" s="17" t="s">
        <v>118</v>
      </c>
      <c r="F35" s="102" t="s">
        <v>119</v>
      </c>
      <c r="G35" s="102" t="s">
        <v>120</v>
      </c>
      <c r="H35" s="163" t="s">
        <v>121</v>
      </c>
      <c r="I35" s="102" t="s">
        <v>122</v>
      </c>
      <c r="J35" s="102" t="s">
        <v>123</v>
      </c>
      <c r="K35" s="102" t="s">
        <v>124</v>
      </c>
    </row>
    <row r="36" spans="1:15" s="6" customFormat="1" ht="14.25">
      <c r="A36" s="111" t="s">
        <v>129</v>
      </c>
      <c r="B36" s="18">
        <v>2.0379999999999998</v>
      </c>
      <c r="C36" s="47">
        <v>0.99470000000000003</v>
      </c>
      <c r="D36" s="28">
        <f>B36*C36/20*1000*1000</f>
        <v>101359.93</v>
      </c>
      <c r="E36" s="103">
        <f>D36*1/20*2/20</f>
        <v>506.79964999999993</v>
      </c>
      <c r="F36" s="112">
        <f>ROUND($E$36*F34/20,2)</f>
        <v>1.27</v>
      </c>
      <c r="G36" s="112">
        <f t="shared" ref="G36:K36" si="8">ROUND($E$36*G34/20,2)</f>
        <v>2.5299999999999998</v>
      </c>
      <c r="H36" s="163">
        <f t="shared" si="8"/>
        <v>12.67</v>
      </c>
      <c r="I36" s="112">
        <f t="shared" si="8"/>
        <v>25.34</v>
      </c>
      <c r="J36" s="112">
        <f t="shared" si="8"/>
        <v>38.01</v>
      </c>
      <c r="K36" s="112">
        <f t="shared" si="8"/>
        <v>50.68</v>
      </c>
      <c r="O36" s="56"/>
    </row>
    <row r="37" spans="1:15" s="6" customFormat="1" ht="14.25">
      <c r="A37" s="111" t="s">
        <v>131</v>
      </c>
      <c r="B37" s="18">
        <v>2.0499999999999998</v>
      </c>
      <c r="C37" s="47">
        <v>1</v>
      </c>
      <c r="D37" s="28">
        <f>B37*C37/20*1000*1000</f>
        <v>102500</v>
      </c>
      <c r="E37" s="103">
        <f t="shared" ref="E37:E38" si="9">D37*1/20*2/20</f>
        <v>512.5</v>
      </c>
      <c r="F37" s="112">
        <f>ROUND($E$37*F34/20,2)</f>
        <v>1.28</v>
      </c>
      <c r="G37" s="112">
        <f t="shared" ref="G37:K37" si="10">ROUND($E$37*G34/20,2)</f>
        <v>2.56</v>
      </c>
      <c r="H37" s="163">
        <f t="shared" si="10"/>
        <v>12.81</v>
      </c>
      <c r="I37" s="112">
        <f t="shared" si="10"/>
        <v>25.63</v>
      </c>
      <c r="J37" s="112">
        <f t="shared" si="10"/>
        <v>38.44</v>
      </c>
      <c r="K37" s="112">
        <f t="shared" si="10"/>
        <v>51.25</v>
      </c>
      <c r="O37" s="56"/>
    </row>
    <row r="38" spans="1:15" s="6" customFormat="1" ht="14.25">
      <c r="A38" s="111" t="s">
        <v>132</v>
      </c>
      <c r="B38" s="18">
        <v>2.0489999999999999</v>
      </c>
      <c r="C38" s="47">
        <v>0.99370000000000003</v>
      </c>
      <c r="D38" s="28">
        <f ca="1">B3+38:728*C38/20*1000*1000</f>
        <v>0</v>
      </c>
      <c r="E38" s="103">
        <f t="shared" ca="1" si="9"/>
        <v>509.0228249999999</v>
      </c>
      <c r="F38" s="112">
        <f ca="1">ROUND($E$38*F34/20,2)</f>
        <v>1.27</v>
      </c>
      <c r="G38" s="112">
        <f t="shared" ref="G38:K38" ca="1" si="11">ROUND($E$38*G34/20,2)</f>
        <v>2.5499999999999998</v>
      </c>
      <c r="H38" s="163">
        <f t="shared" ca="1" si="11"/>
        <v>12.73</v>
      </c>
      <c r="I38" s="112">
        <f t="shared" ca="1" si="11"/>
        <v>25.45</v>
      </c>
      <c r="J38" s="112">
        <f t="shared" ca="1" si="11"/>
        <v>38.18</v>
      </c>
      <c r="K38" s="112">
        <f t="shared" ca="1" si="11"/>
        <v>50.9</v>
      </c>
      <c r="O38" s="56"/>
    </row>
    <row r="39" spans="1:15" ht="14.25" thickBot="1"/>
    <row r="40" spans="1:15">
      <c r="C40" s="11" t="s">
        <v>306</v>
      </c>
      <c r="D40" s="63" t="s">
        <v>45</v>
      </c>
      <c r="E40" s="177" t="s">
        <v>9</v>
      </c>
      <c r="F40" s="64" t="s">
        <v>324</v>
      </c>
      <c r="G40" s="237" t="s">
        <v>330</v>
      </c>
      <c r="H40" s="164" t="s">
        <v>326</v>
      </c>
      <c r="I40" s="65" t="s">
        <v>328</v>
      </c>
      <c r="J40" s="237" t="s">
        <v>329</v>
      </c>
      <c r="K40" s="65" t="s">
        <v>46</v>
      </c>
      <c r="L40" s="237" t="s">
        <v>48</v>
      </c>
    </row>
    <row r="41" spans="1:15" ht="14.25" thickBot="1">
      <c r="D41" s="37" t="s">
        <v>2</v>
      </c>
      <c r="E41" s="247"/>
      <c r="F41" s="157" t="s">
        <v>325</v>
      </c>
      <c r="G41" s="238"/>
      <c r="H41" s="165" t="s">
        <v>327</v>
      </c>
      <c r="I41" s="66" t="s">
        <v>327</v>
      </c>
      <c r="J41" s="239"/>
      <c r="K41" s="66" t="s">
        <v>47</v>
      </c>
      <c r="L41" s="239"/>
    </row>
    <row r="42" spans="1:15" ht="14.25" thickBot="1">
      <c r="B42" s="7">
        <v>20.41</v>
      </c>
      <c r="C42" s="7">
        <v>7.0000000000000007E-2</v>
      </c>
      <c r="D42" s="177" t="s">
        <v>57</v>
      </c>
      <c r="E42" s="156">
        <v>1</v>
      </c>
      <c r="F42" s="158">
        <f>B42-C42</f>
        <v>20.34</v>
      </c>
      <c r="G42" s="152">
        <v>2.56</v>
      </c>
      <c r="H42" s="152">
        <f>ROUND(G42*20,2)</f>
        <v>51.2</v>
      </c>
      <c r="I42" s="248">
        <v>0</v>
      </c>
      <c r="J42" s="240">
        <v>50.68</v>
      </c>
      <c r="K42" s="62">
        <f>ROUND((H42-0)/50.68*100,1)</f>
        <v>101</v>
      </c>
      <c r="L42" s="243">
        <v>101</v>
      </c>
    </row>
    <row r="43" spans="1:15" ht="14.25" thickBot="1">
      <c r="B43" s="7">
        <v>20.010000000000002</v>
      </c>
      <c r="C43" s="7">
        <v>0.04</v>
      </c>
      <c r="D43" s="178"/>
      <c r="E43" s="156">
        <v>2</v>
      </c>
      <c r="F43" s="158">
        <f t="shared" ref="F43:F50" si="12">B43-C43</f>
        <v>19.970000000000002</v>
      </c>
      <c r="G43" s="152">
        <v>2.56</v>
      </c>
      <c r="H43" s="152">
        <f t="shared" ref="H43:H50" si="13">ROUND(G43*20,2)</f>
        <v>51.2</v>
      </c>
      <c r="I43" s="249"/>
      <c r="J43" s="241"/>
      <c r="K43" s="62">
        <f t="shared" ref="K43:K44" si="14">ROUND((H43-0)/50.68*100,1)</f>
        <v>101</v>
      </c>
      <c r="L43" s="244"/>
      <c r="M43" s="7">
        <f>AVERAGE(K42:K44)</f>
        <v>100.73333333333333</v>
      </c>
    </row>
    <row r="44" spans="1:15" ht="14.25" thickBot="1">
      <c r="B44" s="7">
        <v>20.440000000000001</v>
      </c>
      <c r="C44" s="7">
        <v>0</v>
      </c>
      <c r="D44" s="179"/>
      <c r="E44" s="156">
        <v>3</v>
      </c>
      <c r="F44" s="158">
        <f t="shared" si="12"/>
        <v>20.440000000000001</v>
      </c>
      <c r="G44" s="152">
        <v>2.54</v>
      </c>
      <c r="H44" s="152">
        <f t="shared" si="13"/>
        <v>50.8</v>
      </c>
      <c r="I44" s="249"/>
      <c r="J44" s="242"/>
      <c r="K44" s="62">
        <f t="shared" si="14"/>
        <v>100.2</v>
      </c>
      <c r="L44" s="245"/>
    </row>
    <row r="45" spans="1:15" ht="14.25" thickBot="1">
      <c r="B45" s="7">
        <v>20.03</v>
      </c>
      <c r="C45" s="7">
        <v>0</v>
      </c>
      <c r="D45" s="226" t="s">
        <v>55</v>
      </c>
      <c r="E45" s="156">
        <v>1</v>
      </c>
      <c r="F45" s="158">
        <f t="shared" si="12"/>
        <v>20.03</v>
      </c>
      <c r="G45" s="152">
        <v>25.85</v>
      </c>
      <c r="H45" s="152">
        <f t="shared" si="13"/>
        <v>517</v>
      </c>
      <c r="I45" s="249"/>
      <c r="J45" s="240">
        <v>506.8</v>
      </c>
      <c r="K45" s="62">
        <f>ROUND((H45-0)/506.8*100,1)</f>
        <v>102</v>
      </c>
      <c r="L45" s="243">
        <v>102</v>
      </c>
    </row>
    <row r="46" spans="1:15" ht="14.25" thickBot="1">
      <c r="B46" s="7">
        <v>20.28</v>
      </c>
      <c r="C46" s="7">
        <v>0.23</v>
      </c>
      <c r="D46" s="227"/>
      <c r="E46" s="156">
        <v>2</v>
      </c>
      <c r="F46" s="158">
        <f t="shared" si="12"/>
        <v>20.05</v>
      </c>
      <c r="G46" s="152">
        <v>25.61</v>
      </c>
      <c r="H46" s="152">
        <f t="shared" si="13"/>
        <v>512.20000000000005</v>
      </c>
      <c r="I46" s="249"/>
      <c r="J46" s="241"/>
      <c r="K46" s="62">
        <f t="shared" ref="K46:K47" si="15">ROUND((H46-0)/506.8*100,1)</f>
        <v>101.1</v>
      </c>
      <c r="L46" s="244"/>
      <c r="M46" s="7">
        <f>AVERAGE(K45:K47)</f>
        <v>101.60000000000001</v>
      </c>
    </row>
    <row r="47" spans="1:15" ht="14.25" thickBot="1">
      <c r="B47" s="7">
        <v>20.34</v>
      </c>
      <c r="C47" s="7">
        <v>0</v>
      </c>
      <c r="D47" s="228"/>
      <c r="E47" s="156">
        <v>3</v>
      </c>
      <c r="F47" s="158">
        <f t="shared" si="12"/>
        <v>20.34</v>
      </c>
      <c r="G47" s="152">
        <v>25.78</v>
      </c>
      <c r="H47" s="152">
        <f t="shared" si="13"/>
        <v>515.6</v>
      </c>
      <c r="I47" s="249"/>
      <c r="J47" s="242"/>
      <c r="K47" s="62">
        <f t="shared" si="15"/>
        <v>101.7</v>
      </c>
      <c r="L47" s="245"/>
    </row>
    <row r="48" spans="1:15" ht="14.25" thickBot="1">
      <c r="B48" s="7">
        <v>20.329999999999998</v>
      </c>
      <c r="C48" s="7">
        <v>0</v>
      </c>
      <c r="D48" s="226" t="s">
        <v>56</v>
      </c>
      <c r="E48" s="156">
        <v>1</v>
      </c>
      <c r="F48" s="158">
        <f t="shared" si="12"/>
        <v>20.329999999999998</v>
      </c>
      <c r="G48" s="152">
        <v>38.56</v>
      </c>
      <c r="H48" s="152">
        <f t="shared" si="13"/>
        <v>771.2</v>
      </c>
      <c r="I48" s="249"/>
      <c r="J48" s="240">
        <v>760.2</v>
      </c>
      <c r="K48" s="62">
        <f>ROUND((H48-0)/760.2*100,1)</f>
        <v>101.4</v>
      </c>
      <c r="L48" s="243">
        <v>102</v>
      </c>
    </row>
    <row r="49" spans="2:14" ht="14.25" thickBot="1">
      <c r="B49" s="7">
        <v>20.18</v>
      </c>
      <c r="C49" s="7">
        <v>0</v>
      </c>
      <c r="D49" s="227"/>
      <c r="E49" s="156">
        <v>2</v>
      </c>
      <c r="F49" s="158">
        <f t="shared" si="12"/>
        <v>20.18</v>
      </c>
      <c r="G49" s="152">
        <v>38.75</v>
      </c>
      <c r="H49" s="152">
        <f t="shared" si="13"/>
        <v>775</v>
      </c>
      <c r="I49" s="249"/>
      <c r="J49" s="241"/>
      <c r="K49" s="62">
        <f t="shared" ref="K49:K50" si="16">ROUND((H49-0)/760.2*100,1)</f>
        <v>101.9</v>
      </c>
      <c r="L49" s="244"/>
      <c r="M49" s="7">
        <f>AVERAGE(K48:K50)</f>
        <v>101.63333333333333</v>
      </c>
    </row>
    <row r="50" spans="2:14" ht="14.25" thickBot="1">
      <c r="B50" s="7">
        <v>20.350000000000001</v>
      </c>
      <c r="C50" s="7">
        <v>0.18</v>
      </c>
      <c r="D50" s="228"/>
      <c r="E50" s="156">
        <v>3</v>
      </c>
      <c r="F50" s="158">
        <f t="shared" si="12"/>
        <v>20.170000000000002</v>
      </c>
      <c r="G50" s="152">
        <v>38.630000000000003</v>
      </c>
      <c r="H50" s="152">
        <f t="shared" si="13"/>
        <v>772.6</v>
      </c>
      <c r="I50" s="250"/>
      <c r="J50" s="242"/>
      <c r="K50" s="62">
        <f t="shared" si="16"/>
        <v>101.6</v>
      </c>
      <c r="L50" s="245"/>
    </row>
    <row r="51" spans="2:14" ht="14.25" thickBot="1">
      <c r="D51" s="220" t="s">
        <v>49</v>
      </c>
      <c r="E51" s="221"/>
      <c r="F51" s="246"/>
      <c r="G51" s="229">
        <v>101</v>
      </c>
      <c r="H51" s="230"/>
      <c r="I51" s="230"/>
      <c r="J51" s="230"/>
      <c r="K51" s="230"/>
      <c r="L51" s="231"/>
      <c r="M51" s="7">
        <f>AVERAGE(K42:K50)</f>
        <v>101.32222222222222</v>
      </c>
      <c r="N51" s="10" t="s">
        <v>51</v>
      </c>
    </row>
    <row r="52" spans="2:14" ht="14.25" thickBot="1">
      <c r="D52" s="223" t="s">
        <v>50</v>
      </c>
      <c r="E52" s="224"/>
      <c r="F52" s="225"/>
      <c r="G52" s="229">
        <v>0.6</v>
      </c>
      <c r="H52" s="230"/>
      <c r="I52" s="230"/>
      <c r="J52" s="230"/>
      <c r="K52" s="230"/>
      <c r="L52" s="231"/>
      <c r="M52" s="7">
        <f>STDEV(K42:K50)</f>
        <v>0.56297819180181818</v>
      </c>
      <c r="N52" s="10" t="s">
        <v>52</v>
      </c>
    </row>
    <row r="53" spans="2:14" ht="14.25" thickBot="1">
      <c r="D53" s="232" t="s">
        <v>108</v>
      </c>
      <c r="E53" s="233"/>
      <c r="F53" s="234">
        <f>AVERAGEA(K42:K50)-_xlfn.T.INV(1-0.05/2,9-1)*STDEVA(K42:K50)/SQRT(9)</f>
        <v>100.88947887611397</v>
      </c>
      <c r="G53" s="235"/>
      <c r="H53" s="236"/>
      <c r="I53" s="232" t="s">
        <v>109</v>
      </c>
      <c r="J53" s="233"/>
      <c r="K53" s="234">
        <f>AVERAGEA(K42:K50)+_xlfn.T.INV(1-0.05/2,9-1)*STDEVA(K42:K50)/SQRT(9)</f>
        <v>101.75496556833048</v>
      </c>
      <c r="L53" s="236"/>
    </row>
    <row r="54" spans="2:14" ht="14.25" thickBot="1">
      <c r="D54" s="220" t="s">
        <v>4</v>
      </c>
      <c r="E54" s="221"/>
      <c r="F54" s="222"/>
      <c r="G54" s="229"/>
      <c r="H54" s="230"/>
      <c r="I54" s="230"/>
      <c r="J54" s="230"/>
      <c r="K54" s="230"/>
      <c r="L54" s="231"/>
      <c r="M54" s="11">
        <f>M52/M51*100</f>
        <v>0.55563150852246557</v>
      </c>
      <c r="N54" s="10" t="s">
        <v>53</v>
      </c>
    </row>
    <row r="56" spans="2:14" ht="14.25" thickBot="1"/>
    <row r="57" spans="2:14" ht="14.1" customHeight="1">
      <c r="C57" s="7" t="s">
        <v>307</v>
      </c>
      <c r="D57" s="63" t="s">
        <v>45</v>
      </c>
      <c r="E57" s="177" t="s">
        <v>9</v>
      </c>
      <c r="F57" s="64" t="s">
        <v>324</v>
      </c>
      <c r="G57" s="237" t="s">
        <v>330</v>
      </c>
      <c r="H57" s="164" t="s">
        <v>326</v>
      </c>
      <c r="I57" s="164" t="s">
        <v>328</v>
      </c>
      <c r="J57" s="164" t="s">
        <v>331</v>
      </c>
      <c r="K57" s="65" t="s">
        <v>46</v>
      </c>
      <c r="L57" s="237" t="s">
        <v>48</v>
      </c>
    </row>
    <row r="58" spans="2:14" ht="14.25" thickBot="1">
      <c r="D58" s="37" t="s">
        <v>2</v>
      </c>
      <c r="E58" s="179"/>
      <c r="F58" s="157" t="s">
        <v>325</v>
      </c>
      <c r="G58" s="238"/>
      <c r="H58" s="165" t="s">
        <v>327</v>
      </c>
      <c r="I58" s="165" t="s">
        <v>327</v>
      </c>
      <c r="J58" s="165" t="s">
        <v>327</v>
      </c>
      <c r="K58" s="66" t="s">
        <v>47</v>
      </c>
      <c r="L58" s="239"/>
    </row>
    <row r="59" spans="2:14" ht="14.25" thickBot="1">
      <c r="B59" s="7">
        <v>20.41</v>
      </c>
      <c r="C59" s="7">
        <v>7.0000000000000007E-2</v>
      </c>
      <c r="D59" s="177" t="s">
        <v>57</v>
      </c>
      <c r="E59" s="67">
        <v>1</v>
      </c>
      <c r="F59" s="158">
        <f>B59-C59</f>
        <v>20.34</v>
      </c>
      <c r="G59" s="152">
        <v>5.35</v>
      </c>
      <c r="H59" s="152">
        <f>ROUND(G59*20,2)</f>
        <v>107</v>
      </c>
      <c r="I59" s="144">
        <f>ROUND(F59*2.6,2)</f>
        <v>52.88</v>
      </c>
      <c r="J59" s="240">
        <v>51.25</v>
      </c>
      <c r="K59" s="62">
        <f>ROUND((H59-I59)/51.25*100,1)</f>
        <v>105.6</v>
      </c>
      <c r="L59" s="243">
        <v>106</v>
      </c>
    </row>
    <row r="60" spans="2:14" ht="14.25" thickBot="1">
      <c r="B60" s="7">
        <v>20.010000000000002</v>
      </c>
      <c r="C60" s="7">
        <v>0.04</v>
      </c>
      <c r="D60" s="178"/>
      <c r="E60" s="67">
        <v>2</v>
      </c>
      <c r="F60" s="158">
        <f t="shared" ref="F60:F67" si="17">B60-C60</f>
        <v>19.970000000000002</v>
      </c>
      <c r="G60" s="152">
        <v>5.34</v>
      </c>
      <c r="H60" s="152">
        <f t="shared" ref="H60:H67" si="18">ROUND(G60*20,2)</f>
        <v>106.8</v>
      </c>
      <c r="I60" s="144">
        <f t="shared" ref="I60:I67" si="19">ROUND(F60*2.6,2)</f>
        <v>51.92</v>
      </c>
      <c r="J60" s="241"/>
      <c r="K60" s="62">
        <f t="shared" ref="K60:K61" si="20">ROUND((H60-I60)/51.25*100,1)</f>
        <v>107.1</v>
      </c>
      <c r="L60" s="244"/>
      <c r="M60" s="7">
        <f>AVERAGE(K59:K61)</f>
        <v>105.66666666666667</v>
      </c>
    </row>
    <row r="61" spans="2:14" ht="14.25" thickBot="1">
      <c r="B61" s="7">
        <v>20.440000000000001</v>
      </c>
      <c r="C61" s="7">
        <v>0</v>
      </c>
      <c r="D61" s="179"/>
      <c r="E61" s="67">
        <v>3</v>
      </c>
      <c r="F61" s="158">
        <f t="shared" si="17"/>
        <v>20.440000000000001</v>
      </c>
      <c r="G61" s="152">
        <v>5.33</v>
      </c>
      <c r="H61" s="152">
        <f t="shared" si="18"/>
        <v>106.6</v>
      </c>
      <c r="I61" s="144">
        <f t="shared" si="19"/>
        <v>53.14</v>
      </c>
      <c r="J61" s="242"/>
      <c r="K61" s="62">
        <f t="shared" si="20"/>
        <v>104.3</v>
      </c>
      <c r="L61" s="245"/>
    </row>
    <row r="62" spans="2:14" ht="14.25" thickBot="1">
      <c r="B62" s="7">
        <v>20.03</v>
      </c>
      <c r="C62" s="7">
        <v>0</v>
      </c>
      <c r="D62" s="226" t="s">
        <v>55</v>
      </c>
      <c r="E62" s="67">
        <v>1</v>
      </c>
      <c r="F62" s="158">
        <f t="shared" si="17"/>
        <v>20.03</v>
      </c>
      <c r="G62" s="152">
        <v>28.95</v>
      </c>
      <c r="H62" s="152">
        <f t="shared" si="18"/>
        <v>579</v>
      </c>
      <c r="I62" s="144">
        <f t="shared" si="19"/>
        <v>52.08</v>
      </c>
      <c r="J62" s="240">
        <v>512.5</v>
      </c>
      <c r="K62" s="62">
        <f>ROUND((H62-I62)/512.5*100,1)</f>
        <v>102.8</v>
      </c>
      <c r="L62" s="243">
        <v>103</v>
      </c>
    </row>
    <row r="63" spans="2:14" ht="14.25" thickBot="1">
      <c r="B63" s="7">
        <v>20.28</v>
      </c>
      <c r="C63" s="7">
        <v>0.23</v>
      </c>
      <c r="D63" s="227"/>
      <c r="E63" s="67">
        <v>2</v>
      </c>
      <c r="F63" s="158">
        <f t="shared" si="17"/>
        <v>20.05</v>
      </c>
      <c r="G63" s="152">
        <v>29.13</v>
      </c>
      <c r="H63" s="152">
        <f t="shared" si="18"/>
        <v>582.6</v>
      </c>
      <c r="I63" s="144">
        <f t="shared" si="19"/>
        <v>52.13</v>
      </c>
      <c r="J63" s="241"/>
      <c r="K63" s="62">
        <f t="shared" ref="K63:K64" si="21">ROUND((H63-I63)/512.5*100,1)</f>
        <v>103.5</v>
      </c>
      <c r="L63" s="244"/>
      <c r="M63" s="7">
        <f>AVERAGE(K62:K64)</f>
        <v>102.90000000000002</v>
      </c>
    </row>
    <row r="64" spans="2:14" ht="14.25" thickBot="1">
      <c r="B64" s="7">
        <v>20.34</v>
      </c>
      <c r="C64" s="7">
        <v>0</v>
      </c>
      <c r="D64" s="228"/>
      <c r="E64" s="67">
        <v>3</v>
      </c>
      <c r="F64" s="158">
        <f t="shared" si="17"/>
        <v>20.34</v>
      </c>
      <c r="G64" s="152">
        <v>28.88</v>
      </c>
      <c r="H64" s="152">
        <f t="shared" si="18"/>
        <v>577.6</v>
      </c>
      <c r="I64" s="144">
        <f t="shared" si="19"/>
        <v>52.88</v>
      </c>
      <c r="J64" s="242"/>
      <c r="K64" s="62">
        <f t="shared" si="21"/>
        <v>102.4</v>
      </c>
      <c r="L64" s="245"/>
    </row>
    <row r="65" spans="2:14" ht="14.25" thickBot="1">
      <c r="B65" s="7">
        <v>20.329999999999998</v>
      </c>
      <c r="C65" s="7">
        <v>0</v>
      </c>
      <c r="D65" s="226" t="s">
        <v>56</v>
      </c>
      <c r="E65" s="67">
        <v>1</v>
      </c>
      <c r="F65" s="158">
        <f t="shared" si="17"/>
        <v>20.329999999999998</v>
      </c>
      <c r="G65" s="152">
        <v>42.47</v>
      </c>
      <c r="H65" s="152">
        <f t="shared" si="18"/>
        <v>849.4</v>
      </c>
      <c r="I65" s="144">
        <f t="shared" si="19"/>
        <v>52.86</v>
      </c>
      <c r="J65" s="240">
        <v>768.75</v>
      </c>
      <c r="K65" s="62">
        <f>ROUND((H65-I65)/768.75*100,1)</f>
        <v>103.6</v>
      </c>
      <c r="L65" s="243">
        <v>104</v>
      </c>
    </row>
    <row r="66" spans="2:14" ht="14.25" thickBot="1">
      <c r="B66" s="7">
        <v>20.18</v>
      </c>
      <c r="C66" s="7">
        <v>0</v>
      </c>
      <c r="D66" s="227"/>
      <c r="E66" s="67">
        <v>2</v>
      </c>
      <c r="F66" s="158">
        <f t="shared" si="17"/>
        <v>20.18</v>
      </c>
      <c r="G66" s="152">
        <v>42.61</v>
      </c>
      <c r="H66" s="152">
        <f t="shared" si="18"/>
        <v>852.2</v>
      </c>
      <c r="I66" s="144">
        <f t="shared" si="19"/>
        <v>52.47</v>
      </c>
      <c r="J66" s="241"/>
      <c r="K66" s="62">
        <f t="shared" ref="K66:K67" si="22">ROUND((H66-I66)/768.75*100,1)</f>
        <v>104</v>
      </c>
      <c r="L66" s="244"/>
      <c r="M66" s="7">
        <f>AVERAGE(K65:K67)</f>
        <v>103.7</v>
      </c>
    </row>
    <row r="67" spans="2:14" ht="14.25" thickBot="1">
      <c r="B67" s="7">
        <v>20.350000000000001</v>
      </c>
      <c r="C67" s="7">
        <v>0.18</v>
      </c>
      <c r="D67" s="228"/>
      <c r="E67" s="67">
        <v>3</v>
      </c>
      <c r="F67" s="158">
        <f t="shared" si="17"/>
        <v>20.170000000000002</v>
      </c>
      <c r="G67" s="152">
        <v>42.41</v>
      </c>
      <c r="H67" s="152">
        <f t="shared" si="18"/>
        <v>848.2</v>
      </c>
      <c r="I67" s="144">
        <f t="shared" si="19"/>
        <v>52.44</v>
      </c>
      <c r="J67" s="242"/>
      <c r="K67" s="62">
        <f t="shared" si="22"/>
        <v>103.5</v>
      </c>
      <c r="L67" s="245"/>
    </row>
    <row r="68" spans="2:14" ht="14.25" thickBot="1">
      <c r="D68" s="220" t="s">
        <v>49</v>
      </c>
      <c r="E68" s="221"/>
      <c r="F68" s="222"/>
      <c r="G68" s="229">
        <v>104</v>
      </c>
      <c r="H68" s="230"/>
      <c r="I68" s="230"/>
      <c r="J68" s="230"/>
      <c r="K68" s="230"/>
      <c r="L68" s="231"/>
      <c r="M68" s="7">
        <f>AVERAGE(K59:K67)</f>
        <v>104.08888888888889</v>
      </c>
      <c r="N68" s="10" t="s">
        <v>21</v>
      </c>
    </row>
    <row r="69" spans="2:14" ht="14.25" thickBot="1">
      <c r="D69" s="223" t="s">
        <v>50</v>
      </c>
      <c r="E69" s="224"/>
      <c r="F69" s="225"/>
      <c r="G69" s="229">
        <v>1.4</v>
      </c>
      <c r="H69" s="230"/>
      <c r="I69" s="230"/>
      <c r="J69" s="230"/>
      <c r="K69" s="230"/>
      <c r="L69" s="231"/>
      <c r="M69" s="7">
        <f>STDEV(K59:K67)</f>
        <v>1.4512446765143028</v>
      </c>
      <c r="N69" s="10" t="s">
        <v>22</v>
      </c>
    </row>
    <row r="70" spans="2:14" ht="14.25" thickBot="1">
      <c r="D70" s="232" t="s">
        <v>108</v>
      </c>
      <c r="E70" s="233"/>
      <c r="F70" s="234">
        <f>AVERAGEA(K59:K67)-_xlfn.T.INV(1-0.05/2,9-1)*STDEVA(K59:K67)/SQRT(9)</f>
        <v>102.97336348047722</v>
      </c>
      <c r="G70" s="235"/>
      <c r="H70" s="236"/>
      <c r="I70" s="232" t="s">
        <v>109</v>
      </c>
      <c r="J70" s="233"/>
      <c r="K70" s="234">
        <f>AVERAGEA(K59:K67)+_xlfn.T.INV(1-0.05/2,9-1)*STDEVA(K59:K67)/SQRT(9)</f>
        <v>105.20441429730056</v>
      </c>
      <c r="L70" s="236"/>
    </row>
    <row r="71" spans="2:14" ht="14.25" thickBot="1">
      <c r="D71" s="220" t="s">
        <v>4</v>
      </c>
      <c r="E71" s="221"/>
      <c r="F71" s="222"/>
      <c r="G71" s="229"/>
      <c r="H71" s="230"/>
      <c r="I71" s="230"/>
      <c r="J71" s="230"/>
      <c r="K71" s="230"/>
      <c r="L71" s="231"/>
      <c r="M71" s="11">
        <f>M69/M68*100</f>
        <v>1.3942359189398723</v>
      </c>
      <c r="N71" s="10" t="s">
        <v>23</v>
      </c>
    </row>
    <row r="73" spans="2:14" ht="14.25" thickBot="1"/>
    <row r="74" spans="2:14" ht="14.1" customHeight="1">
      <c r="C74" s="7" t="s">
        <v>308</v>
      </c>
      <c r="D74" s="63" t="s">
        <v>45</v>
      </c>
      <c r="E74" s="177" t="s">
        <v>9</v>
      </c>
      <c r="F74" s="64" t="s">
        <v>324</v>
      </c>
      <c r="G74" s="237" t="s">
        <v>330</v>
      </c>
      <c r="H74" s="164" t="s">
        <v>326</v>
      </c>
      <c r="I74" s="164" t="s">
        <v>328</v>
      </c>
      <c r="J74" s="164" t="s">
        <v>331</v>
      </c>
      <c r="K74" s="65" t="s">
        <v>46</v>
      </c>
      <c r="L74" s="237" t="s">
        <v>48</v>
      </c>
    </row>
    <row r="75" spans="2:14" ht="14.25" thickBot="1">
      <c r="D75" s="37" t="s">
        <v>2</v>
      </c>
      <c r="E75" s="179"/>
      <c r="F75" s="157" t="s">
        <v>325</v>
      </c>
      <c r="G75" s="238"/>
      <c r="H75" s="165" t="s">
        <v>327</v>
      </c>
      <c r="I75" s="165" t="s">
        <v>327</v>
      </c>
      <c r="J75" s="165" t="s">
        <v>327</v>
      </c>
      <c r="K75" s="66" t="s">
        <v>47</v>
      </c>
      <c r="L75" s="239"/>
    </row>
    <row r="76" spans="2:14" ht="14.25" thickBot="1">
      <c r="B76" s="7">
        <v>20.41</v>
      </c>
      <c r="C76" s="7">
        <v>7.0000000000000007E-2</v>
      </c>
      <c r="D76" s="177" t="s">
        <v>57</v>
      </c>
      <c r="E76" s="67">
        <v>1</v>
      </c>
      <c r="F76" s="158">
        <f>B76-C76</f>
        <v>20.34</v>
      </c>
      <c r="G76" s="152">
        <v>2.65</v>
      </c>
      <c r="H76" s="152">
        <f>ROUND(G76*20,2)</f>
        <v>53</v>
      </c>
      <c r="I76" s="248">
        <v>0</v>
      </c>
      <c r="J76" s="251">
        <v>50.9</v>
      </c>
      <c r="K76" s="62">
        <f>ROUND((H76-0)/50.9*100,1)</f>
        <v>104.1</v>
      </c>
      <c r="L76" s="243">
        <v>102</v>
      </c>
    </row>
    <row r="77" spans="2:14" ht="14.25" thickBot="1">
      <c r="B77" s="7">
        <v>20.010000000000002</v>
      </c>
      <c r="C77" s="7">
        <v>0.04</v>
      </c>
      <c r="D77" s="178"/>
      <c r="E77" s="67">
        <v>2</v>
      </c>
      <c r="F77" s="158">
        <f t="shared" ref="F77:F84" si="23">B77-C77</f>
        <v>19.970000000000002</v>
      </c>
      <c r="G77" s="152">
        <v>2.54</v>
      </c>
      <c r="H77" s="152">
        <f t="shared" ref="H77:H84" si="24">ROUND(G77*20,2)</f>
        <v>50.8</v>
      </c>
      <c r="I77" s="249"/>
      <c r="J77" s="252"/>
      <c r="K77" s="62">
        <f t="shared" ref="K77:K78" si="25">ROUND((H77-0)/50.9*100,1)</f>
        <v>99.8</v>
      </c>
      <c r="L77" s="244"/>
      <c r="M77" s="7">
        <f>AVERAGE(K76:K78)</f>
        <v>101.89999999999999</v>
      </c>
    </row>
    <row r="78" spans="2:14" ht="14.25" thickBot="1">
      <c r="B78" s="7">
        <v>20.440000000000001</v>
      </c>
      <c r="C78" s="7">
        <v>0</v>
      </c>
      <c r="D78" s="179"/>
      <c r="E78" s="67">
        <v>3</v>
      </c>
      <c r="F78" s="158">
        <f t="shared" si="23"/>
        <v>20.440000000000001</v>
      </c>
      <c r="G78" s="152">
        <v>2.59</v>
      </c>
      <c r="H78" s="152">
        <f t="shared" si="24"/>
        <v>51.8</v>
      </c>
      <c r="I78" s="249"/>
      <c r="J78" s="253"/>
      <c r="K78" s="62">
        <f t="shared" si="25"/>
        <v>101.8</v>
      </c>
      <c r="L78" s="245"/>
    </row>
    <row r="79" spans="2:14" ht="14.25" thickBot="1">
      <c r="B79" s="7">
        <v>20.03</v>
      </c>
      <c r="C79" s="7">
        <v>0</v>
      </c>
      <c r="D79" s="226" t="s">
        <v>55</v>
      </c>
      <c r="E79" s="67">
        <v>1</v>
      </c>
      <c r="F79" s="158">
        <f t="shared" si="23"/>
        <v>20.03</v>
      </c>
      <c r="G79" s="152">
        <v>25.73</v>
      </c>
      <c r="H79" s="152">
        <f t="shared" si="24"/>
        <v>514.6</v>
      </c>
      <c r="I79" s="249"/>
      <c r="J79" s="251">
        <v>509.02</v>
      </c>
      <c r="K79" s="62">
        <f>ROUND((H79-0)/509.02*100,1)</f>
        <v>101.1</v>
      </c>
      <c r="L79" s="243">
        <v>101</v>
      </c>
    </row>
    <row r="80" spans="2:14" ht="14.25" thickBot="1">
      <c r="B80" s="7">
        <v>20.28</v>
      </c>
      <c r="C80" s="7">
        <v>0.23</v>
      </c>
      <c r="D80" s="227"/>
      <c r="E80" s="67">
        <v>2</v>
      </c>
      <c r="F80" s="158">
        <f t="shared" si="23"/>
        <v>20.05</v>
      </c>
      <c r="G80" s="152">
        <v>26.02</v>
      </c>
      <c r="H80" s="152">
        <f t="shared" si="24"/>
        <v>520.4</v>
      </c>
      <c r="I80" s="249"/>
      <c r="J80" s="252"/>
      <c r="K80" s="62">
        <f t="shared" ref="K80:K81" si="26">ROUND((H80-0)/509.02*100,1)</f>
        <v>102.2</v>
      </c>
      <c r="L80" s="244"/>
      <c r="M80" s="7">
        <f>AVERAGE(K79:K81)</f>
        <v>101.36666666666667</v>
      </c>
    </row>
    <row r="81" spans="2:14" ht="14.25" thickBot="1">
      <c r="B81" s="7">
        <v>20.34</v>
      </c>
      <c r="C81" s="7">
        <v>0</v>
      </c>
      <c r="D81" s="228"/>
      <c r="E81" s="67">
        <v>3</v>
      </c>
      <c r="F81" s="158">
        <f t="shared" si="23"/>
        <v>20.34</v>
      </c>
      <c r="G81" s="152">
        <v>25.65</v>
      </c>
      <c r="H81" s="152">
        <f t="shared" si="24"/>
        <v>513</v>
      </c>
      <c r="I81" s="249"/>
      <c r="J81" s="253"/>
      <c r="K81" s="62">
        <f t="shared" si="26"/>
        <v>100.8</v>
      </c>
      <c r="L81" s="245"/>
    </row>
    <row r="82" spans="2:14" ht="14.25" thickBot="1">
      <c r="B82" s="7">
        <v>20.329999999999998</v>
      </c>
      <c r="C82" s="7">
        <v>0</v>
      </c>
      <c r="D82" s="226" t="s">
        <v>56</v>
      </c>
      <c r="E82" s="67">
        <v>1</v>
      </c>
      <c r="F82" s="158">
        <f t="shared" si="23"/>
        <v>20.329999999999998</v>
      </c>
      <c r="G82" s="152">
        <v>38.71</v>
      </c>
      <c r="H82" s="152">
        <f t="shared" si="24"/>
        <v>774.2</v>
      </c>
      <c r="I82" s="249"/>
      <c r="J82" s="251">
        <v>763.53</v>
      </c>
      <c r="K82" s="62">
        <f>ROUND((H82-0)/763.53*100,1)</f>
        <v>101.4</v>
      </c>
      <c r="L82" s="243">
        <v>101</v>
      </c>
    </row>
    <row r="83" spans="2:14" ht="14.25" thickBot="1">
      <c r="B83" s="7">
        <v>20.18</v>
      </c>
      <c r="C83" s="7">
        <v>0</v>
      </c>
      <c r="D83" s="227"/>
      <c r="E83" s="67">
        <v>2</v>
      </c>
      <c r="F83" s="158">
        <f t="shared" si="23"/>
        <v>20.18</v>
      </c>
      <c r="G83" s="152">
        <v>38.33</v>
      </c>
      <c r="H83" s="152">
        <f t="shared" si="24"/>
        <v>766.6</v>
      </c>
      <c r="I83" s="249"/>
      <c r="J83" s="252"/>
      <c r="K83" s="62">
        <f t="shared" ref="K83:K84" si="27">ROUND((H83-0)/763.53*100,1)</f>
        <v>100.4</v>
      </c>
      <c r="L83" s="244"/>
      <c r="M83" s="7">
        <f>AVERAGE(K82:K84)</f>
        <v>101.40000000000002</v>
      </c>
    </row>
    <row r="84" spans="2:14" ht="14.25" thickBot="1">
      <c r="B84" s="7">
        <v>20.350000000000001</v>
      </c>
      <c r="C84" s="7">
        <v>0.18</v>
      </c>
      <c r="D84" s="228"/>
      <c r="E84" s="67">
        <v>3</v>
      </c>
      <c r="F84" s="158">
        <f t="shared" si="23"/>
        <v>20.170000000000002</v>
      </c>
      <c r="G84" s="152">
        <v>39.08</v>
      </c>
      <c r="H84" s="152">
        <f t="shared" si="24"/>
        <v>781.6</v>
      </c>
      <c r="I84" s="250"/>
      <c r="J84" s="253"/>
      <c r="K84" s="62">
        <f t="shared" si="27"/>
        <v>102.4</v>
      </c>
      <c r="L84" s="245"/>
    </row>
    <row r="85" spans="2:14" ht="14.25" thickBot="1">
      <c r="D85" s="220" t="s">
        <v>49</v>
      </c>
      <c r="E85" s="221"/>
      <c r="F85" s="222"/>
      <c r="G85" s="229">
        <v>102</v>
      </c>
      <c r="H85" s="230"/>
      <c r="I85" s="230"/>
      <c r="J85" s="230"/>
      <c r="K85" s="230"/>
      <c r="L85" s="231"/>
      <c r="M85" s="7">
        <f>AVERAGE(K76:K84)</f>
        <v>101.55555555555554</v>
      </c>
      <c r="N85" s="10" t="s">
        <v>21</v>
      </c>
    </row>
    <row r="86" spans="2:14" ht="14.25" thickBot="1">
      <c r="D86" s="223" t="s">
        <v>50</v>
      </c>
      <c r="E86" s="224"/>
      <c r="F86" s="225"/>
      <c r="G86" s="229">
        <v>1.3</v>
      </c>
      <c r="H86" s="230"/>
      <c r="I86" s="230"/>
      <c r="J86" s="230"/>
      <c r="K86" s="230"/>
      <c r="L86" s="231"/>
      <c r="M86" s="7">
        <f>STDEV(K76:K84)</f>
        <v>1.2689672091026531</v>
      </c>
      <c r="N86" s="10" t="s">
        <v>22</v>
      </c>
    </row>
    <row r="87" spans="2:14" ht="14.25" thickBot="1">
      <c r="D87" s="232" t="s">
        <v>108</v>
      </c>
      <c r="E87" s="233"/>
      <c r="F87" s="234">
        <f>AVERAGEA(K76:K84)-_xlfn.T.INV(1-0.05/2,9-1)*STDEVA(K76:K84)/SQRT(9)</f>
        <v>100.58014101167915</v>
      </c>
      <c r="G87" s="235"/>
      <c r="H87" s="236"/>
      <c r="I87" s="232" t="s">
        <v>109</v>
      </c>
      <c r="J87" s="233"/>
      <c r="K87" s="234">
        <f>AVERAGEA(K76:K84)+_xlfn.T.INV(1-0.05/2,9-1)*STDEVA(K76:K84)/SQRT(9)</f>
        <v>102.53097009943194</v>
      </c>
      <c r="L87" s="236"/>
    </row>
    <row r="88" spans="2:14" ht="14.25" thickBot="1">
      <c r="D88" s="220" t="s">
        <v>4</v>
      </c>
      <c r="E88" s="221"/>
      <c r="F88" s="222"/>
      <c r="G88" s="229"/>
      <c r="H88" s="230"/>
      <c r="I88" s="230"/>
      <c r="J88" s="230"/>
      <c r="K88" s="230"/>
      <c r="L88" s="231"/>
      <c r="M88" s="11">
        <f>M86/M85*100</f>
        <v>1.2495300746087397</v>
      </c>
      <c r="N88" s="10" t="s">
        <v>23</v>
      </c>
    </row>
  </sheetData>
  <mergeCells count="85">
    <mergeCell ref="D88:F88"/>
    <mergeCell ref="G88:L88"/>
    <mergeCell ref="C17:C18"/>
    <mergeCell ref="D17:D18"/>
    <mergeCell ref="F17:F18"/>
    <mergeCell ref="G17:G18"/>
    <mergeCell ref="H17:H18"/>
    <mergeCell ref="I17:I18"/>
    <mergeCell ref="C19:C21"/>
    <mergeCell ref="I19:I21"/>
    <mergeCell ref="C22:C24"/>
    <mergeCell ref="I22:I24"/>
    <mergeCell ref="C25:C27"/>
    <mergeCell ref="I25:I27"/>
    <mergeCell ref="D85:F85"/>
    <mergeCell ref="G85:L85"/>
    <mergeCell ref="D86:F86"/>
    <mergeCell ref="G86:L86"/>
    <mergeCell ref="D87:E87"/>
    <mergeCell ref="F87:H87"/>
    <mergeCell ref="I87:J87"/>
    <mergeCell ref="K87:L87"/>
    <mergeCell ref="E74:E75"/>
    <mergeCell ref="G74:G75"/>
    <mergeCell ref="L74:L75"/>
    <mergeCell ref="D76:D78"/>
    <mergeCell ref="I76:I84"/>
    <mergeCell ref="J76:J78"/>
    <mergeCell ref="L76:L78"/>
    <mergeCell ref="D79:D81"/>
    <mergeCell ref="J79:J81"/>
    <mergeCell ref="L79:L81"/>
    <mergeCell ref="D82:D84"/>
    <mergeCell ref="J82:J84"/>
    <mergeCell ref="L82:L84"/>
    <mergeCell ref="J40:J41"/>
    <mergeCell ref="L40:L41"/>
    <mergeCell ref="D45:D47"/>
    <mergeCell ref="D48:D50"/>
    <mergeCell ref="D42:D44"/>
    <mergeCell ref="J42:J44"/>
    <mergeCell ref="L42:L44"/>
    <mergeCell ref="J45:J47"/>
    <mergeCell ref="L45:L47"/>
    <mergeCell ref="J48:J50"/>
    <mergeCell ref="L48:L50"/>
    <mergeCell ref="E40:E41"/>
    <mergeCell ref="G40:G41"/>
    <mergeCell ref="I42:I50"/>
    <mergeCell ref="G52:L52"/>
    <mergeCell ref="D54:F54"/>
    <mergeCell ref="G54:L54"/>
    <mergeCell ref="D51:F51"/>
    <mergeCell ref="G51:L51"/>
    <mergeCell ref="D53:E53"/>
    <mergeCell ref="F53:H53"/>
    <mergeCell ref="I53:J53"/>
    <mergeCell ref="K53:L53"/>
    <mergeCell ref="J62:J64"/>
    <mergeCell ref="L62:L64"/>
    <mergeCell ref="D65:D67"/>
    <mergeCell ref="J65:J67"/>
    <mergeCell ref="L65:L67"/>
    <mergeCell ref="G57:G58"/>
    <mergeCell ref="L57:L58"/>
    <mergeCell ref="D59:D61"/>
    <mergeCell ref="J59:J61"/>
    <mergeCell ref="L59:L61"/>
    <mergeCell ref="G71:L71"/>
    <mergeCell ref="D68:F68"/>
    <mergeCell ref="G68:L68"/>
    <mergeCell ref="D69:F69"/>
    <mergeCell ref="G69:L69"/>
    <mergeCell ref="D70:E70"/>
    <mergeCell ref="F70:H70"/>
    <mergeCell ref="I70:J70"/>
    <mergeCell ref="K70:L70"/>
    <mergeCell ref="B3:B5"/>
    <mergeCell ref="B6:B8"/>
    <mergeCell ref="B9:B11"/>
    <mergeCell ref="B12:B14"/>
    <mergeCell ref="D71:F71"/>
    <mergeCell ref="E57:E58"/>
    <mergeCell ref="D52:F52"/>
    <mergeCell ref="D62:D64"/>
  </mergeCells>
  <phoneticPr fontId="16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76"/>
  <sheetViews>
    <sheetView topLeftCell="B47" workbookViewId="0">
      <selection activeCell="G55" sqref="G55"/>
    </sheetView>
  </sheetViews>
  <sheetFormatPr defaultColWidth="20.75" defaultRowHeight="13.5"/>
  <cols>
    <col min="1" max="1" width="14.625" style="1" customWidth="1"/>
    <col min="2" max="2" width="9" style="1" customWidth="1"/>
    <col min="3" max="3" width="7.25" style="1" customWidth="1"/>
    <col min="4" max="4" width="13.125" style="2" customWidth="1"/>
    <col min="5" max="5" width="11.875" style="23" customWidth="1"/>
    <col min="6" max="6" width="15" style="2" customWidth="1"/>
    <col min="7" max="7" width="13.375" style="23" customWidth="1"/>
    <col min="9" max="9" width="17.125" customWidth="1"/>
    <col min="10" max="10" width="16.625" customWidth="1"/>
  </cols>
  <sheetData>
    <row r="3" spans="1:11">
      <c r="D3" s="115"/>
      <c r="E3" s="58"/>
      <c r="F3" s="115"/>
      <c r="G3" s="58"/>
    </row>
    <row r="6" spans="1:11">
      <c r="A6" s="57" t="s">
        <v>143</v>
      </c>
    </row>
    <row r="7" spans="1:11" ht="14.25" customHeight="1">
      <c r="A7" s="57" t="s">
        <v>145</v>
      </c>
      <c r="B7" s="59"/>
      <c r="C7" s="264" t="s">
        <v>29</v>
      </c>
      <c r="D7" s="266" t="s">
        <v>144</v>
      </c>
      <c r="E7" s="265"/>
      <c r="F7" s="265" t="s">
        <v>33</v>
      </c>
      <c r="G7" s="265"/>
    </row>
    <row r="8" spans="1:11">
      <c r="C8" s="264"/>
      <c r="D8" s="116" t="s">
        <v>34</v>
      </c>
      <c r="E8" s="106" t="s">
        <v>31</v>
      </c>
      <c r="F8" s="116" t="s">
        <v>34</v>
      </c>
      <c r="G8" s="106" t="s">
        <v>31</v>
      </c>
    </row>
    <row r="9" spans="1:11">
      <c r="A9" s="57"/>
      <c r="B9" s="76">
        <v>0</v>
      </c>
      <c r="C9" s="75" t="s">
        <v>28</v>
      </c>
      <c r="D9" s="116">
        <v>26.16</v>
      </c>
      <c r="E9" s="106" t="s">
        <v>8</v>
      </c>
      <c r="F9" s="116">
        <v>24.85</v>
      </c>
      <c r="G9" s="106" t="s">
        <v>8</v>
      </c>
      <c r="H9" s="74">
        <v>46150.774826388886</v>
      </c>
      <c r="I9">
        <f>H9-$H$9</f>
        <v>0</v>
      </c>
      <c r="J9">
        <f>I9*24</f>
        <v>0</v>
      </c>
      <c r="K9" s="85">
        <f>ROUND(J9,1)</f>
        <v>0</v>
      </c>
    </row>
    <row r="10" spans="1:11">
      <c r="A10" s="57"/>
      <c r="B10" s="76">
        <v>1</v>
      </c>
      <c r="C10" s="75" t="s">
        <v>150</v>
      </c>
      <c r="D10" s="116">
        <v>26.07</v>
      </c>
      <c r="E10" s="106">
        <f>ROUND(D10/26.16,2)</f>
        <v>1</v>
      </c>
      <c r="F10" s="116">
        <v>24.52</v>
      </c>
      <c r="G10" s="106">
        <f>ROUND(F10/24.85,2)</f>
        <v>0.99</v>
      </c>
      <c r="H10" s="74">
        <v>46150.887766203705</v>
      </c>
      <c r="I10">
        <f t="shared" ref="I10:I14" si="0">H10-$H$9</f>
        <v>0.11293981481867377</v>
      </c>
      <c r="J10">
        <f t="shared" ref="J10:J14" si="1">I10*24</f>
        <v>2.7105555556481704</v>
      </c>
      <c r="K10" s="85">
        <f t="shared" ref="K10:K14" si="2">ROUND(J10,1)</f>
        <v>2.7</v>
      </c>
    </row>
    <row r="11" spans="1:11">
      <c r="A11" s="57"/>
      <c r="B11" s="76">
        <v>2</v>
      </c>
      <c r="C11" s="75" t="s">
        <v>151</v>
      </c>
      <c r="D11" s="116">
        <v>25.41</v>
      </c>
      <c r="E11" s="106">
        <f t="shared" ref="E11:E14" si="3">ROUND(D11/26.16,2)</f>
        <v>0.97</v>
      </c>
      <c r="F11" s="116">
        <v>23.67</v>
      </c>
      <c r="G11" s="106">
        <f t="shared" ref="G11:G14" si="4">ROUND(F11/24.85,2)</f>
        <v>0.95</v>
      </c>
      <c r="H11" s="74">
        <v>46151.04011574074</v>
      </c>
      <c r="I11">
        <f t="shared" si="0"/>
        <v>0.26528935185342561</v>
      </c>
      <c r="J11">
        <f t="shared" si="1"/>
        <v>6.3669444444822147</v>
      </c>
      <c r="K11" s="85">
        <f t="shared" si="2"/>
        <v>6.4</v>
      </c>
    </row>
    <row r="12" spans="1:11">
      <c r="A12" s="57"/>
      <c r="B12" s="76">
        <v>3</v>
      </c>
      <c r="C12" s="75" t="s">
        <v>152</v>
      </c>
      <c r="D12" s="116">
        <v>25.12</v>
      </c>
      <c r="E12" s="106">
        <f t="shared" si="3"/>
        <v>0.96</v>
      </c>
      <c r="F12" s="116">
        <v>23.43</v>
      </c>
      <c r="G12" s="106">
        <f t="shared" si="4"/>
        <v>0.94</v>
      </c>
      <c r="H12" s="74">
        <v>46151.225300925929</v>
      </c>
      <c r="I12">
        <f t="shared" si="0"/>
        <v>0.45047453704319196</v>
      </c>
      <c r="J12">
        <f t="shared" si="1"/>
        <v>10.811388889036607</v>
      </c>
      <c r="K12" s="85">
        <f t="shared" si="2"/>
        <v>10.8</v>
      </c>
    </row>
    <row r="13" spans="1:11">
      <c r="A13" s="57"/>
      <c r="B13" s="76">
        <v>4</v>
      </c>
      <c r="C13" s="75" t="s">
        <v>128</v>
      </c>
      <c r="D13" s="116">
        <v>24.82</v>
      </c>
      <c r="E13" s="106">
        <f t="shared" si="3"/>
        <v>0.95</v>
      </c>
      <c r="F13" s="116">
        <v>22.95</v>
      </c>
      <c r="G13" s="106">
        <f t="shared" si="4"/>
        <v>0.92</v>
      </c>
      <c r="H13" s="74">
        <v>46151.331331018519</v>
      </c>
      <c r="I13">
        <f t="shared" si="0"/>
        <v>0.55650462963239988</v>
      </c>
      <c r="J13">
        <f t="shared" si="1"/>
        <v>13.356111111177597</v>
      </c>
      <c r="K13" s="85">
        <f t="shared" si="2"/>
        <v>13.4</v>
      </c>
    </row>
    <row r="14" spans="1:11">
      <c r="A14" s="57"/>
      <c r="B14" s="76">
        <v>5</v>
      </c>
      <c r="C14" s="75" t="s">
        <v>153</v>
      </c>
      <c r="D14" s="116">
        <v>23.89</v>
      </c>
      <c r="E14" s="106">
        <f t="shared" si="3"/>
        <v>0.91</v>
      </c>
      <c r="F14" s="116">
        <v>22.25</v>
      </c>
      <c r="G14" s="106">
        <f t="shared" si="4"/>
        <v>0.9</v>
      </c>
      <c r="H14" s="74">
        <v>46151.526076388887</v>
      </c>
      <c r="I14">
        <f t="shared" si="0"/>
        <v>0.75125000000116415</v>
      </c>
      <c r="J14">
        <f t="shared" si="1"/>
        <v>18.03000000002794</v>
      </c>
      <c r="K14" s="85">
        <f t="shared" si="2"/>
        <v>18</v>
      </c>
    </row>
    <row r="15" spans="1:11" ht="15">
      <c r="C15" s="109"/>
      <c r="D15" s="22"/>
      <c r="E15" s="110"/>
      <c r="F15" s="22"/>
      <c r="G15" s="110"/>
    </row>
    <row r="16" spans="1:11" ht="15">
      <c r="A16" s="57" t="s">
        <v>143</v>
      </c>
      <c r="C16" s="109"/>
      <c r="D16" s="22"/>
      <c r="E16" s="110"/>
      <c r="F16" s="22"/>
      <c r="G16" s="110"/>
    </row>
    <row r="17" spans="1:11" ht="14.25" customHeight="1">
      <c r="A17" s="57" t="s">
        <v>146</v>
      </c>
      <c r="B17" s="59"/>
      <c r="C17" s="264" t="s">
        <v>29</v>
      </c>
      <c r="D17" s="266" t="s">
        <v>149</v>
      </c>
      <c r="E17" s="265"/>
      <c r="F17" s="265" t="s">
        <v>33</v>
      </c>
      <c r="G17" s="265"/>
    </row>
    <row r="18" spans="1:11">
      <c r="C18" s="264"/>
      <c r="D18" s="116" t="s">
        <v>34</v>
      </c>
      <c r="E18" s="106" t="s">
        <v>31</v>
      </c>
      <c r="F18" s="116" t="s">
        <v>34</v>
      </c>
      <c r="G18" s="106" t="s">
        <v>31</v>
      </c>
    </row>
    <row r="19" spans="1:11">
      <c r="A19" s="57"/>
      <c r="B19" s="76">
        <v>0</v>
      </c>
      <c r="C19" s="75" t="s">
        <v>28</v>
      </c>
      <c r="D19" s="116">
        <v>24.22</v>
      </c>
      <c r="E19" s="106" t="s">
        <v>8</v>
      </c>
      <c r="F19" s="116">
        <v>24.03</v>
      </c>
      <c r="G19" s="106" t="s">
        <v>8</v>
      </c>
      <c r="H19" s="74"/>
      <c r="K19" s="85"/>
    </row>
    <row r="20" spans="1:11">
      <c r="A20" s="57"/>
      <c r="B20" s="76">
        <v>1</v>
      </c>
      <c r="C20" s="75" t="s">
        <v>150</v>
      </c>
      <c r="D20" s="116">
        <v>25.34</v>
      </c>
      <c r="E20" s="106">
        <f>ROUND(D20/24.22,2)</f>
        <v>1.05</v>
      </c>
      <c r="F20" s="116">
        <v>25.74</v>
      </c>
      <c r="G20" s="106">
        <f>ROUND(F20/24.03,2)</f>
        <v>1.07</v>
      </c>
      <c r="H20" s="74"/>
      <c r="K20" s="85"/>
    </row>
    <row r="21" spans="1:11">
      <c r="A21" s="57"/>
      <c r="B21" s="76">
        <v>2</v>
      </c>
      <c r="C21" s="75" t="s">
        <v>151</v>
      </c>
      <c r="D21" s="116">
        <v>25.36</v>
      </c>
      <c r="E21" s="106">
        <f t="shared" ref="E21:E24" si="5">ROUND(D21/24.22,2)</f>
        <v>1.05</v>
      </c>
      <c r="F21" s="116">
        <v>26.02</v>
      </c>
      <c r="G21" s="106">
        <f t="shared" ref="G21:G24" si="6">ROUND(F21/24.03,2)</f>
        <v>1.08</v>
      </c>
      <c r="H21" s="74"/>
      <c r="K21" s="85"/>
    </row>
    <row r="22" spans="1:11">
      <c r="A22" s="57"/>
      <c r="B22" s="76">
        <v>3</v>
      </c>
      <c r="C22" s="75" t="s">
        <v>152</v>
      </c>
      <c r="D22" s="116">
        <v>24.65</v>
      </c>
      <c r="E22" s="106">
        <f t="shared" si="5"/>
        <v>1.02</v>
      </c>
      <c r="F22" s="116">
        <v>23.74</v>
      </c>
      <c r="G22" s="106">
        <f t="shared" si="6"/>
        <v>0.99</v>
      </c>
      <c r="H22" s="74"/>
      <c r="K22" s="85"/>
    </row>
    <row r="23" spans="1:11">
      <c r="A23" s="57"/>
      <c r="B23" s="76">
        <v>4</v>
      </c>
      <c r="C23" s="75" t="s">
        <v>128</v>
      </c>
      <c r="D23" s="116">
        <v>24.13</v>
      </c>
      <c r="E23" s="106">
        <f t="shared" si="5"/>
        <v>1</v>
      </c>
      <c r="F23" s="116">
        <v>23.47</v>
      </c>
      <c r="G23" s="106">
        <f t="shared" si="6"/>
        <v>0.98</v>
      </c>
      <c r="H23" s="74"/>
      <c r="K23" s="85"/>
    </row>
    <row r="24" spans="1:11">
      <c r="A24" s="57"/>
      <c r="B24" s="76">
        <v>5</v>
      </c>
      <c r="C24" s="75" t="s">
        <v>153</v>
      </c>
      <c r="D24" s="116">
        <v>23.85</v>
      </c>
      <c r="E24" s="106">
        <f t="shared" si="5"/>
        <v>0.98</v>
      </c>
      <c r="F24" s="116">
        <v>24.2</v>
      </c>
      <c r="G24" s="106">
        <f t="shared" si="6"/>
        <v>1.01</v>
      </c>
      <c r="H24" s="74"/>
      <c r="K24" s="85"/>
    </row>
    <row r="26" spans="1:11">
      <c r="A26" s="57" t="s">
        <v>143</v>
      </c>
    </row>
    <row r="27" spans="1:11" ht="14.25" customHeight="1">
      <c r="A27" s="57" t="s">
        <v>147</v>
      </c>
      <c r="B27" s="59"/>
      <c r="C27" s="264" t="s">
        <v>29</v>
      </c>
      <c r="D27" s="265" t="s">
        <v>32</v>
      </c>
      <c r="E27" s="265"/>
      <c r="F27" s="265" t="s">
        <v>33</v>
      </c>
      <c r="G27" s="265"/>
    </row>
    <row r="28" spans="1:11">
      <c r="C28" s="264"/>
      <c r="D28" s="116" t="s">
        <v>34</v>
      </c>
      <c r="E28" s="106" t="s">
        <v>31</v>
      </c>
      <c r="F28" s="116" t="s">
        <v>34</v>
      </c>
      <c r="G28" s="106" t="s">
        <v>31</v>
      </c>
    </row>
    <row r="29" spans="1:11">
      <c r="A29" s="57"/>
      <c r="B29" s="76">
        <v>0</v>
      </c>
      <c r="C29" s="75" t="s">
        <v>28</v>
      </c>
      <c r="D29" s="116">
        <v>26.55</v>
      </c>
      <c r="E29" s="106" t="s">
        <v>8</v>
      </c>
      <c r="F29" s="116">
        <v>27.93</v>
      </c>
      <c r="G29" s="106" t="s">
        <v>8</v>
      </c>
      <c r="H29" s="74"/>
      <c r="K29" s="85"/>
    </row>
    <row r="30" spans="1:11">
      <c r="A30" s="57"/>
      <c r="B30" s="76">
        <v>1</v>
      </c>
      <c r="C30" s="75" t="s">
        <v>150</v>
      </c>
      <c r="D30" s="116">
        <v>26.67</v>
      </c>
      <c r="E30" s="106">
        <f>ROUND(D30/26.55,2)</f>
        <v>1</v>
      </c>
      <c r="F30" s="116">
        <v>30.53</v>
      </c>
      <c r="G30" s="106">
        <f>ROUND(F30/27.93,2)</f>
        <v>1.0900000000000001</v>
      </c>
      <c r="H30" s="74"/>
      <c r="K30" s="85"/>
    </row>
    <row r="31" spans="1:11">
      <c r="A31" s="57"/>
      <c r="B31" s="76">
        <v>2</v>
      </c>
      <c r="C31" s="75" t="s">
        <v>151</v>
      </c>
      <c r="D31" s="116">
        <v>27.54</v>
      </c>
      <c r="E31" s="106">
        <f t="shared" ref="E31:E34" si="7">ROUND(D31/26.55,2)</f>
        <v>1.04</v>
      </c>
      <c r="F31" s="116">
        <v>27.1</v>
      </c>
      <c r="G31" s="106">
        <f t="shared" ref="G31:G34" si="8">ROUND(F31/27.93,2)</f>
        <v>0.97</v>
      </c>
      <c r="H31" s="74"/>
      <c r="K31" s="85"/>
    </row>
    <row r="32" spans="1:11">
      <c r="A32" s="57"/>
      <c r="B32" s="76">
        <v>3</v>
      </c>
      <c r="C32" s="75" t="s">
        <v>152</v>
      </c>
      <c r="D32" s="116">
        <v>24.41</v>
      </c>
      <c r="E32" s="106">
        <f t="shared" si="7"/>
        <v>0.92</v>
      </c>
      <c r="F32" s="116">
        <v>26.11</v>
      </c>
      <c r="G32" s="106">
        <f t="shared" si="8"/>
        <v>0.93</v>
      </c>
      <c r="H32" s="74"/>
      <c r="K32" s="85"/>
    </row>
    <row r="33" spans="1:11">
      <c r="A33" s="57"/>
      <c r="B33" s="76">
        <v>4</v>
      </c>
      <c r="C33" s="75" t="s">
        <v>128</v>
      </c>
      <c r="D33" s="116">
        <v>23.21</v>
      </c>
      <c r="E33" s="106">
        <f t="shared" si="7"/>
        <v>0.87</v>
      </c>
      <c r="F33" s="116">
        <v>25.25</v>
      </c>
      <c r="G33" s="106">
        <f t="shared" si="8"/>
        <v>0.9</v>
      </c>
      <c r="H33" s="74"/>
      <c r="K33" s="85"/>
    </row>
    <row r="34" spans="1:11">
      <c r="A34" s="57"/>
      <c r="B34" s="76">
        <v>5</v>
      </c>
      <c r="C34" s="75" t="s">
        <v>153</v>
      </c>
      <c r="D34" s="116">
        <v>23.31</v>
      </c>
      <c r="E34" s="106">
        <f t="shared" si="7"/>
        <v>0.88</v>
      </c>
      <c r="F34" s="116">
        <v>27.78</v>
      </c>
      <c r="G34" s="106">
        <f t="shared" si="8"/>
        <v>0.99</v>
      </c>
      <c r="H34" s="74"/>
      <c r="K34" s="85"/>
    </row>
    <row r="36" spans="1:11">
      <c r="A36" s="57" t="s">
        <v>143</v>
      </c>
    </row>
    <row r="37" spans="1:11" ht="14.25" customHeight="1">
      <c r="A37" s="57" t="s">
        <v>148</v>
      </c>
      <c r="B37" s="59"/>
      <c r="C37" s="264" t="s">
        <v>29</v>
      </c>
      <c r="D37" s="265" t="s">
        <v>32</v>
      </c>
      <c r="E37" s="265"/>
      <c r="F37" s="265" t="s">
        <v>33</v>
      </c>
      <c r="G37" s="265"/>
    </row>
    <row r="38" spans="1:11">
      <c r="C38" s="264"/>
      <c r="D38" s="116" t="s">
        <v>34</v>
      </c>
      <c r="E38" s="106" t="s">
        <v>31</v>
      </c>
      <c r="F38" s="116" t="s">
        <v>34</v>
      </c>
      <c r="G38" s="106" t="s">
        <v>31</v>
      </c>
    </row>
    <row r="39" spans="1:11">
      <c r="A39" s="57"/>
      <c r="B39" s="76">
        <v>0</v>
      </c>
      <c r="C39" s="75" t="s">
        <v>28</v>
      </c>
      <c r="D39" s="116">
        <v>27.93</v>
      </c>
      <c r="E39" s="106" t="s">
        <v>8</v>
      </c>
      <c r="F39" s="116">
        <v>27.4</v>
      </c>
      <c r="G39" s="106" t="s">
        <v>8</v>
      </c>
      <c r="H39" s="74"/>
      <c r="K39" s="85"/>
    </row>
    <row r="40" spans="1:11">
      <c r="A40" s="57"/>
      <c r="B40" s="76">
        <v>1</v>
      </c>
      <c r="C40" s="75" t="s">
        <v>150</v>
      </c>
      <c r="D40" s="116">
        <v>25.58</v>
      </c>
      <c r="E40" s="106">
        <f>ROUND(D40/27.93,2)</f>
        <v>0.92</v>
      </c>
      <c r="F40" s="116">
        <v>26.05</v>
      </c>
      <c r="G40" s="106">
        <f>ROUND(F40/27.4,2)</f>
        <v>0.95</v>
      </c>
      <c r="H40" s="74"/>
      <c r="K40" s="85"/>
    </row>
    <row r="41" spans="1:11">
      <c r="A41" s="57"/>
      <c r="B41" s="76">
        <v>2</v>
      </c>
      <c r="C41" s="75" t="s">
        <v>151</v>
      </c>
      <c r="D41" s="116">
        <v>25.91</v>
      </c>
      <c r="E41" s="106">
        <f t="shared" ref="E41:E44" si="9">ROUND(D41/27.93,2)</f>
        <v>0.93</v>
      </c>
      <c r="F41" s="116">
        <v>24.91</v>
      </c>
      <c r="G41" s="106">
        <f t="shared" ref="G41:G44" si="10">ROUND(F41/27.4,2)</f>
        <v>0.91</v>
      </c>
      <c r="H41" s="74"/>
      <c r="K41" s="85"/>
    </row>
    <row r="42" spans="1:11">
      <c r="A42" s="57"/>
      <c r="B42" s="76">
        <v>3</v>
      </c>
      <c r="C42" s="75" t="s">
        <v>152</v>
      </c>
      <c r="D42" s="116">
        <v>25.08</v>
      </c>
      <c r="E42" s="106">
        <f t="shared" si="9"/>
        <v>0.9</v>
      </c>
      <c r="F42" s="116">
        <v>24.84</v>
      </c>
      <c r="G42" s="106">
        <f t="shared" si="10"/>
        <v>0.91</v>
      </c>
      <c r="H42" s="74"/>
      <c r="K42" s="85"/>
    </row>
    <row r="43" spans="1:11">
      <c r="A43" s="57"/>
      <c r="B43" s="76">
        <v>4</v>
      </c>
      <c r="C43" s="75" t="s">
        <v>128</v>
      </c>
      <c r="D43" s="116">
        <v>24.97</v>
      </c>
      <c r="E43" s="106">
        <f t="shared" si="9"/>
        <v>0.89</v>
      </c>
      <c r="F43" s="116">
        <v>23.61</v>
      </c>
      <c r="G43" s="106">
        <f t="shared" si="10"/>
        <v>0.86</v>
      </c>
      <c r="H43" s="74"/>
      <c r="K43" s="85"/>
    </row>
    <row r="44" spans="1:11">
      <c r="A44" s="57"/>
      <c r="B44" s="76">
        <v>5</v>
      </c>
      <c r="C44" s="75" t="s">
        <v>153</v>
      </c>
      <c r="D44" s="116">
        <v>24.32</v>
      </c>
      <c r="E44" s="106">
        <f t="shared" si="9"/>
        <v>0.87</v>
      </c>
      <c r="F44" s="116">
        <v>24.23</v>
      </c>
      <c r="G44" s="106">
        <f t="shared" si="10"/>
        <v>0.88</v>
      </c>
      <c r="H44" s="74"/>
      <c r="K44" s="85"/>
    </row>
    <row r="47" spans="1:11">
      <c r="A47" s="57" t="s">
        <v>299</v>
      </c>
    </row>
    <row r="48" spans="1:11" ht="14.25" customHeight="1">
      <c r="A48" s="57" t="s">
        <v>129</v>
      </c>
      <c r="B48" s="59"/>
      <c r="C48" s="264" t="s">
        <v>29</v>
      </c>
      <c r="D48" s="266" t="s">
        <v>144</v>
      </c>
      <c r="E48" s="265"/>
      <c r="F48" s="265" t="s">
        <v>33</v>
      </c>
      <c r="G48" s="265"/>
    </row>
    <row r="49" spans="1:11">
      <c r="C49" s="264"/>
      <c r="D49" s="116" t="s">
        <v>34</v>
      </c>
      <c r="E49" s="106" t="s">
        <v>31</v>
      </c>
      <c r="F49" s="116" t="s">
        <v>34</v>
      </c>
      <c r="G49" s="106" t="s">
        <v>31</v>
      </c>
    </row>
    <row r="50" spans="1:11">
      <c r="A50" s="57"/>
      <c r="B50" s="76">
        <v>0</v>
      </c>
      <c r="C50" s="75" t="s">
        <v>28</v>
      </c>
      <c r="D50" s="172">
        <v>25.21</v>
      </c>
      <c r="E50" s="106" t="s">
        <v>8</v>
      </c>
      <c r="F50" s="172">
        <v>25.18</v>
      </c>
      <c r="G50" s="106" t="s">
        <v>8</v>
      </c>
      <c r="H50" s="107">
        <v>46162.577766203707</v>
      </c>
      <c r="I50">
        <f>H50-$H$50</f>
        <v>0</v>
      </c>
      <c r="J50">
        <f>I50*24</f>
        <v>0</v>
      </c>
      <c r="K50" s="85">
        <f>ROUND(J50,1)</f>
        <v>0</v>
      </c>
    </row>
    <row r="51" spans="1:11">
      <c r="A51" s="57"/>
      <c r="B51" s="76">
        <v>1</v>
      </c>
      <c r="C51" s="75" t="s">
        <v>333</v>
      </c>
      <c r="D51" s="172">
        <v>25.67</v>
      </c>
      <c r="E51" s="106">
        <f>ROUND(D51/25.21,2)</f>
        <v>1.02</v>
      </c>
      <c r="F51" s="172">
        <v>25.35</v>
      </c>
      <c r="G51" s="106">
        <f>ROUND(F51/25.18,2)</f>
        <v>1.01</v>
      </c>
      <c r="H51" s="107">
        <v>46162.717245370368</v>
      </c>
      <c r="I51">
        <f t="shared" ref="I51:I55" si="11">H51-$H$50</f>
        <v>0.13947916666074889</v>
      </c>
      <c r="J51">
        <f t="shared" ref="J51:J55" si="12">I51*24</f>
        <v>3.3474999998579733</v>
      </c>
      <c r="K51" s="85">
        <f t="shared" ref="K51:K55" si="13">ROUND(J51,1)</f>
        <v>3.3</v>
      </c>
    </row>
    <row r="52" spans="1:11">
      <c r="A52" s="57"/>
      <c r="B52" s="76">
        <v>2</v>
      </c>
      <c r="C52" s="75" t="s">
        <v>151</v>
      </c>
      <c r="D52" s="172">
        <v>25.87</v>
      </c>
      <c r="E52" s="106">
        <f t="shared" ref="E52:E55" si="14">ROUND(D52/25.21,2)</f>
        <v>1.03</v>
      </c>
      <c r="F52" s="172">
        <v>25.41</v>
      </c>
      <c r="G52" s="106">
        <f t="shared" ref="G52:G55" si="15">ROUND(F52/25.18,2)</f>
        <v>1.01</v>
      </c>
      <c r="H52" s="107">
        <v>46162.845949074072</v>
      </c>
      <c r="I52">
        <f t="shared" si="11"/>
        <v>0.2681828703643987</v>
      </c>
      <c r="J52">
        <f t="shared" si="12"/>
        <v>6.4363888887455687</v>
      </c>
      <c r="K52" s="85">
        <f t="shared" si="13"/>
        <v>6.4</v>
      </c>
    </row>
    <row r="53" spans="1:11">
      <c r="A53" s="57"/>
      <c r="B53" s="76">
        <v>3</v>
      </c>
      <c r="C53" s="75" t="s">
        <v>334</v>
      </c>
      <c r="D53" s="172">
        <v>25.89</v>
      </c>
      <c r="E53" s="106">
        <f t="shared" si="14"/>
        <v>1.03</v>
      </c>
      <c r="F53" s="172">
        <v>25.79</v>
      </c>
      <c r="G53" s="106">
        <f t="shared" si="15"/>
        <v>1.02</v>
      </c>
      <c r="H53" s="107">
        <v>46163.071203703701</v>
      </c>
      <c r="I53">
        <f t="shared" si="11"/>
        <v>0.4934374999938882</v>
      </c>
      <c r="J53">
        <f t="shared" si="12"/>
        <v>11.842499999853317</v>
      </c>
      <c r="K53" s="85">
        <f t="shared" si="13"/>
        <v>11.8</v>
      </c>
    </row>
    <row r="54" spans="1:11">
      <c r="A54" s="57"/>
      <c r="B54" s="76">
        <v>4</v>
      </c>
      <c r="C54" s="75" t="s">
        <v>335</v>
      </c>
      <c r="D54" s="172">
        <v>25.11</v>
      </c>
      <c r="E54" s="106">
        <f t="shared" si="14"/>
        <v>1</v>
      </c>
      <c r="F54" s="172">
        <v>25.96</v>
      </c>
      <c r="G54" s="106">
        <f t="shared" si="15"/>
        <v>1.03</v>
      </c>
      <c r="H54" s="107">
        <v>46163.218599537038</v>
      </c>
      <c r="I54">
        <f t="shared" si="11"/>
        <v>0.64083333333110204</v>
      </c>
      <c r="J54">
        <f t="shared" si="12"/>
        <v>15.379999999946449</v>
      </c>
      <c r="K54" s="85">
        <f t="shared" si="13"/>
        <v>15.4</v>
      </c>
    </row>
    <row r="55" spans="1:11">
      <c r="A55" s="57"/>
      <c r="B55" s="76">
        <v>5</v>
      </c>
      <c r="C55" s="75" t="s">
        <v>336</v>
      </c>
      <c r="D55" s="172">
        <v>25.94</v>
      </c>
      <c r="E55" s="106">
        <f t="shared" si="14"/>
        <v>1.03</v>
      </c>
      <c r="F55" s="172">
        <v>26.25</v>
      </c>
      <c r="G55" s="106">
        <f t="shared" si="15"/>
        <v>1.04</v>
      </c>
      <c r="H55" s="107">
        <v>46163.365972222222</v>
      </c>
      <c r="I55">
        <f t="shared" si="11"/>
        <v>0.78820601851475658</v>
      </c>
      <c r="J55">
        <f t="shared" si="12"/>
        <v>18.916944444354158</v>
      </c>
      <c r="K55" s="85">
        <f t="shared" si="13"/>
        <v>18.899999999999999</v>
      </c>
    </row>
    <row r="56" spans="1:11" ht="15">
      <c r="C56" s="109"/>
      <c r="E56" s="110"/>
      <c r="F56"/>
      <c r="G56" s="110"/>
    </row>
    <row r="57" spans="1:11" ht="15">
      <c r="A57" s="57" t="s">
        <v>299</v>
      </c>
      <c r="C57" s="109"/>
      <c r="D57" s="22"/>
      <c r="E57" s="110"/>
      <c r="F57" s="22"/>
      <c r="G57" s="110"/>
    </row>
    <row r="58" spans="1:11" ht="14.25" customHeight="1">
      <c r="A58" s="57" t="s">
        <v>131</v>
      </c>
      <c r="B58" s="59"/>
      <c r="C58" s="264" t="s">
        <v>29</v>
      </c>
      <c r="D58" s="266" t="s">
        <v>144</v>
      </c>
      <c r="E58" s="265"/>
      <c r="F58" s="265" t="s">
        <v>33</v>
      </c>
      <c r="G58" s="265"/>
    </row>
    <row r="59" spans="1:11">
      <c r="C59" s="264"/>
      <c r="D59" s="116" t="s">
        <v>34</v>
      </c>
      <c r="E59" s="106" t="s">
        <v>31</v>
      </c>
      <c r="F59" s="116" t="s">
        <v>34</v>
      </c>
      <c r="G59" s="106" t="s">
        <v>31</v>
      </c>
    </row>
    <row r="60" spans="1:11">
      <c r="A60" s="57"/>
      <c r="B60" s="76">
        <v>0</v>
      </c>
      <c r="C60" s="75" t="s">
        <v>28</v>
      </c>
      <c r="D60" s="172">
        <v>25.39</v>
      </c>
      <c r="E60" s="106" t="s">
        <v>8</v>
      </c>
      <c r="F60" s="172">
        <v>27.63</v>
      </c>
      <c r="G60" s="106" t="s">
        <v>8</v>
      </c>
      <c r="H60" s="74"/>
      <c r="K60" s="85"/>
    </row>
    <row r="61" spans="1:11">
      <c r="A61" s="57"/>
      <c r="B61" s="76">
        <v>1</v>
      </c>
      <c r="C61" s="75" t="s">
        <v>333</v>
      </c>
      <c r="D61" s="172">
        <v>26.1</v>
      </c>
      <c r="E61" s="106">
        <f>ROUND(D61/25.39,2)</f>
        <v>1.03</v>
      </c>
      <c r="F61" s="172">
        <v>28.21</v>
      </c>
      <c r="G61" s="106">
        <f>ROUND(F61/27.63,2)</f>
        <v>1.02</v>
      </c>
      <c r="H61" s="74"/>
      <c r="K61" s="85"/>
    </row>
    <row r="62" spans="1:11">
      <c r="A62" s="57"/>
      <c r="B62" s="76">
        <v>2</v>
      </c>
      <c r="C62" s="75" t="s">
        <v>151</v>
      </c>
      <c r="D62" s="172">
        <v>26.31</v>
      </c>
      <c r="E62" s="106">
        <f t="shared" ref="E62:E65" si="16">ROUND(D62/25.39,2)</f>
        <v>1.04</v>
      </c>
      <c r="F62" s="172">
        <v>28.61</v>
      </c>
      <c r="G62" s="106">
        <f t="shared" ref="G62:G65" si="17">ROUND(F62/27.63,2)</f>
        <v>1.04</v>
      </c>
      <c r="H62" s="74"/>
      <c r="K62" s="85"/>
    </row>
    <row r="63" spans="1:11">
      <c r="A63" s="57"/>
      <c r="B63" s="76">
        <v>3</v>
      </c>
      <c r="C63" s="75" t="s">
        <v>334</v>
      </c>
      <c r="D63" s="172">
        <v>26.62</v>
      </c>
      <c r="E63" s="106">
        <f t="shared" si="16"/>
        <v>1.05</v>
      </c>
      <c r="F63" s="172">
        <v>29.16</v>
      </c>
      <c r="G63" s="106">
        <f t="shared" si="17"/>
        <v>1.06</v>
      </c>
      <c r="H63" s="74"/>
      <c r="K63" s="85"/>
    </row>
    <row r="64" spans="1:11">
      <c r="A64" s="57"/>
      <c r="B64" s="76">
        <v>4</v>
      </c>
      <c r="C64" s="75" t="s">
        <v>335</v>
      </c>
      <c r="D64" s="172">
        <v>24.46</v>
      </c>
      <c r="E64" s="106">
        <f t="shared" si="16"/>
        <v>0.96</v>
      </c>
      <c r="F64" s="172">
        <v>28.54</v>
      </c>
      <c r="G64" s="106">
        <f t="shared" si="17"/>
        <v>1.03</v>
      </c>
      <c r="H64" s="74"/>
      <c r="K64" s="85"/>
    </row>
    <row r="65" spans="1:11">
      <c r="A65" s="57"/>
      <c r="B65" s="76">
        <v>5</v>
      </c>
      <c r="C65" s="75" t="s">
        <v>336</v>
      </c>
      <c r="D65" s="172">
        <v>25.27</v>
      </c>
      <c r="E65" s="106">
        <f t="shared" si="16"/>
        <v>1</v>
      </c>
      <c r="F65" s="172">
        <v>29.12</v>
      </c>
      <c r="G65" s="106">
        <f t="shared" si="17"/>
        <v>1.05</v>
      </c>
      <c r="H65" s="74"/>
      <c r="K65" s="85"/>
    </row>
    <row r="67" spans="1:11">
      <c r="A67" s="57" t="s">
        <v>299</v>
      </c>
    </row>
    <row r="68" spans="1:11" ht="14.25" customHeight="1">
      <c r="A68" s="57" t="s">
        <v>332</v>
      </c>
      <c r="B68" s="59"/>
      <c r="C68" s="264" t="s">
        <v>29</v>
      </c>
      <c r="D68" s="265" t="s">
        <v>32</v>
      </c>
      <c r="E68" s="265"/>
      <c r="F68" s="265" t="s">
        <v>33</v>
      </c>
      <c r="G68" s="265"/>
    </row>
    <row r="69" spans="1:11">
      <c r="C69" s="264"/>
      <c r="D69" s="116" t="s">
        <v>34</v>
      </c>
      <c r="E69" s="106" t="s">
        <v>31</v>
      </c>
      <c r="F69" s="116" t="s">
        <v>34</v>
      </c>
      <c r="G69" s="106" t="s">
        <v>31</v>
      </c>
    </row>
    <row r="70" spans="1:11">
      <c r="A70" s="57"/>
      <c r="B70" s="76">
        <v>0</v>
      </c>
      <c r="C70" s="75" t="s">
        <v>28</v>
      </c>
      <c r="D70" s="172">
        <v>25.43</v>
      </c>
      <c r="E70" s="106" t="s">
        <v>8</v>
      </c>
      <c r="F70" s="172">
        <v>25.12</v>
      </c>
      <c r="G70" s="106" t="s">
        <v>8</v>
      </c>
      <c r="H70" s="74"/>
      <c r="K70" s="85"/>
    </row>
    <row r="71" spans="1:11">
      <c r="A71" s="57"/>
      <c r="B71" s="76">
        <v>1</v>
      </c>
      <c r="C71" s="75" t="s">
        <v>333</v>
      </c>
      <c r="D71" s="172">
        <v>25.6</v>
      </c>
      <c r="E71" s="106">
        <f>ROUND(D71/25.43,2)</f>
        <v>1.01</v>
      </c>
      <c r="F71" s="172">
        <v>25.46</v>
      </c>
      <c r="G71" s="106">
        <f>ROUND(F71/25.12,2)</f>
        <v>1.01</v>
      </c>
      <c r="H71" s="74"/>
      <c r="K71" s="85"/>
    </row>
    <row r="72" spans="1:11">
      <c r="A72" s="57"/>
      <c r="B72" s="76">
        <v>2</v>
      </c>
      <c r="C72" s="75" t="s">
        <v>151</v>
      </c>
      <c r="D72" s="172">
        <v>25.86</v>
      </c>
      <c r="E72" s="106">
        <f t="shared" ref="E72:E75" si="18">ROUND(D72/25.43,2)</f>
        <v>1.02</v>
      </c>
      <c r="F72" s="172">
        <v>25.76</v>
      </c>
      <c r="G72" s="106">
        <f t="shared" ref="G72:G75" si="19">ROUND(F72/25.12,2)</f>
        <v>1.03</v>
      </c>
      <c r="H72" s="74"/>
      <c r="K72" s="85"/>
    </row>
    <row r="73" spans="1:11">
      <c r="A73" s="57"/>
      <c r="B73" s="76">
        <v>3</v>
      </c>
      <c r="C73" s="75" t="s">
        <v>334</v>
      </c>
      <c r="D73" s="172">
        <v>25.63</v>
      </c>
      <c r="E73" s="106">
        <f t="shared" si="18"/>
        <v>1.01</v>
      </c>
      <c r="F73" s="172">
        <v>25.82</v>
      </c>
      <c r="G73" s="106">
        <f t="shared" si="19"/>
        <v>1.03</v>
      </c>
      <c r="H73" s="74"/>
      <c r="K73" s="85"/>
    </row>
    <row r="74" spans="1:11">
      <c r="A74" s="57"/>
      <c r="B74" s="76">
        <v>4</v>
      </c>
      <c r="C74" s="75" t="s">
        <v>335</v>
      </c>
      <c r="D74" s="172">
        <v>22.33</v>
      </c>
      <c r="E74" s="106">
        <f t="shared" si="18"/>
        <v>0.88</v>
      </c>
      <c r="F74" s="172">
        <v>25.47</v>
      </c>
      <c r="G74" s="106">
        <f t="shared" si="19"/>
        <v>1.01</v>
      </c>
      <c r="H74" s="74"/>
      <c r="K74" s="85"/>
    </row>
    <row r="75" spans="1:11">
      <c r="A75" s="57"/>
      <c r="B75" s="76">
        <v>5</v>
      </c>
      <c r="C75" s="75" t="s">
        <v>336</v>
      </c>
      <c r="D75" s="172">
        <v>22.86</v>
      </c>
      <c r="E75" s="106">
        <f t="shared" si="18"/>
        <v>0.9</v>
      </c>
      <c r="F75" s="172">
        <v>25.86</v>
      </c>
      <c r="G75" s="106">
        <f t="shared" si="19"/>
        <v>1.03</v>
      </c>
      <c r="H75" s="74"/>
      <c r="K75" s="85"/>
    </row>
    <row r="76" spans="1:11">
      <c r="E76" s="106"/>
    </row>
  </sheetData>
  <mergeCells count="21">
    <mergeCell ref="C7:C8"/>
    <mergeCell ref="D7:E7"/>
    <mergeCell ref="F7:G7"/>
    <mergeCell ref="C17:C18"/>
    <mergeCell ref="D17:E17"/>
    <mergeCell ref="F17:G17"/>
    <mergeCell ref="C27:C28"/>
    <mergeCell ref="D27:E27"/>
    <mergeCell ref="F27:G27"/>
    <mergeCell ref="C37:C38"/>
    <mergeCell ref="D37:E37"/>
    <mergeCell ref="F37:G37"/>
    <mergeCell ref="C68:C69"/>
    <mergeCell ref="D68:E68"/>
    <mergeCell ref="F68:G68"/>
    <mergeCell ref="C48:C49"/>
    <mergeCell ref="D48:E48"/>
    <mergeCell ref="F48:G48"/>
    <mergeCell ref="C58:C59"/>
    <mergeCell ref="D58:E58"/>
    <mergeCell ref="F58:G58"/>
  </mergeCells>
  <phoneticPr fontId="16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1"/>
  <sheetViews>
    <sheetView tabSelected="1" topLeftCell="C9" zoomScaleNormal="100" workbookViewId="0">
      <selection activeCell="H23" sqref="H23"/>
    </sheetView>
  </sheetViews>
  <sheetFormatPr defaultColWidth="18.75" defaultRowHeight="22.5" customHeight="1"/>
  <cols>
    <col min="4" max="4" width="48.375" customWidth="1"/>
    <col min="5" max="5" width="15.25" customWidth="1"/>
    <col min="6" max="6" width="24.625" customWidth="1"/>
    <col min="7" max="7" width="25.75" customWidth="1"/>
    <col min="8" max="8" width="25.875" customWidth="1"/>
  </cols>
  <sheetData>
    <row r="2" spans="1:8" ht="22.5" customHeight="1">
      <c r="D2" s="70" t="s">
        <v>54</v>
      </c>
      <c r="E2" s="71" t="s">
        <v>134</v>
      </c>
      <c r="F2" s="70" t="s">
        <v>141</v>
      </c>
      <c r="G2" s="70" t="s">
        <v>142</v>
      </c>
    </row>
    <row r="3" spans="1:8" ht="22.5" customHeight="1">
      <c r="A3">
        <v>20.11</v>
      </c>
      <c r="B3">
        <v>0</v>
      </c>
      <c r="D3" s="71" t="s">
        <v>135</v>
      </c>
      <c r="E3" s="72">
        <f t="shared" ref="E3:E8" si="0">A3-B3</f>
        <v>20.11</v>
      </c>
      <c r="F3" s="70">
        <v>1.62</v>
      </c>
      <c r="G3" s="73">
        <f>F3*20/E3</f>
        <v>1.6111387369467929</v>
      </c>
    </row>
    <row r="4" spans="1:8" ht="22.5" customHeight="1">
      <c r="A4">
        <v>20.12</v>
      </c>
      <c r="B4">
        <v>0.08</v>
      </c>
      <c r="D4" s="71" t="s">
        <v>136</v>
      </c>
      <c r="E4" s="72">
        <f t="shared" si="0"/>
        <v>20.040000000000003</v>
      </c>
      <c r="F4" s="70">
        <v>0.24</v>
      </c>
      <c r="G4" s="73">
        <f>F4*20/E4</f>
        <v>0.23952095808383228</v>
      </c>
    </row>
    <row r="5" spans="1:8" ht="22.5" customHeight="1">
      <c r="A5" s="113">
        <v>20.29</v>
      </c>
      <c r="B5">
        <v>0</v>
      </c>
      <c r="D5" s="71" t="s">
        <v>137</v>
      </c>
      <c r="E5" s="72">
        <f t="shared" si="0"/>
        <v>20.29</v>
      </c>
      <c r="F5" s="70">
        <v>1.29</v>
      </c>
      <c r="G5" s="73">
        <f t="shared" ref="G5:G8" si="1">F5*20/E5</f>
        <v>1.271562345983243</v>
      </c>
    </row>
    <row r="6" spans="1:8" ht="22.5" customHeight="1">
      <c r="A6">
        <v>20.34</v>
      </c>
      <c r="B6">
        <v>0</v>
      </c>
      <c r="D6" s="71" t="s">
        <v>138</v>
      </c>
      <c r="E6" s="72">
        <f t="shared" si="0"/>
        <v>20.34</v>
      </c>
      <c r="F6" s="70">
        <v>1.96</v>
      </c>
      <c r="G6" s="73">
        <f t="shared" si="1"/>
        <v>1.9272369714847593</v>
      </c>
    </row>
    <row r="7" spans="1:8" ht="22.5" customHeight="1">
      <c r="A7">
        <v>20.2</v>
      </c>
      <c r="B7">
        <v>0</v>
      </c>
      <c r="D7" s="71" t="s">
        <v>139</v>
      </c>
      <c r="E7" s="72">
        <f t="shared" si="0"/>
        <v>20.2</v>
      </c>
      <c r="F7" s="70">
        <v>0.37</v>
      </c>
      <c r="G7" s="73">
        <f t="shared" si="1"/>
        <v>0.36633663366336638</v>
      </c>
    </row>
    <row r="8" spans="1:8" ht="22.5" customHeight="1">
      <c r="A8">
        <v>20.03</v>
      </c>
      <c r="B8">
        <v>0.08</v>
      </c>
      <c r="D8" s="71" t="s">
        <v>140</v>
      </c>
      <c r="E8" s="72">
        <f t="shared" si="0"/>
        <v>19.950000000000003</v>
      </c>
      <c r="F8" s="72">
        <v>1.74</v>
      </c>
      <c r="G8" s="73">
        <f t="shared" si="1"/>
        <v>1.7443609022556388</v>
      </c>
    </row>
    <row r="10" spans="1:8" ht="22.5" customHeight="1">
      <c r="D10" s="70" t="s">
        <v>54</v>
      </c>
      <c r="E10" s="71" t="s">
        <v>134</v>
      </c>
      <c r="F10" s="70" t="s">
        <v>346</v>
      </c>
      <c r="G10" s="70" t="s">
        <v>141</v>
      </c>
      <c r="H10" s="70" t="s">
        <v>142</v>
      </c>
    </row>
    <row r="11" spans="1:8" ht="22.5" customHeight="1">
      <c r="B11" s="23">
        <v>20.3</v>
      </c>
      <c r="C11" s="23">
        <v>0</v>
      </c>
      <c r="D11" s="173" t="s">
        <v>337</v>
      </c>
      <c r="E11" s="174">
        <f>B11-C11</f>
        <v>20.3</v>
      </c>
      <c r="F11" s="173">
        <v>309227</v>
      </c>
      <c r="G11" s="173">
        <v>2.38</v>
      </c>
      <c r="H11" s="175">
        <f>ROUND(G11*20/E11,1)</f>
        <v>2.2999999999999998</v>
      </c>
    </row>
    <row r="12" spans="1:8" ht="22.5" customHeight="1">
      <c r="B12" s="23">
        <v>20.32</v>
      </c>
      <c r="C12" s="23">
        <v>0</v>
      </c>
      <c r="D12" s="173" t="s">
        <v>338</v>
      </c>
      <c r="E12" s="174">
        <f t="shared" ref="E12:E19" si="2">B12-C12</f>
        <v>20.32</v>
      </c>
      <c r="F12" s="173">
        <v>65115</v>
      </c>
      <c r="G12" s="173">
        <v>0.46</v>
      </c>
      <c r="H12" s="175">
        <f t="shared" ref="H12:H19" si="3">ROUND(G12*20/E12,1)</f>
        <v>0.5</v>
      </c>
    </row>
    <row r="13" spans="1:8" ht="22.5" customHeight="1">
      <c r="B13" s="23">
        <v>20.41</v>
      </c>
      <c r="C13" s="23">
        <v>0</v>
      </c>
      <c r="D13" s="173" t="s">
        <v>339</v>
      </c>
      <c r="E13" s="174">
        <f t="shared" si="2"/>
        <v>20.41</v>
      </c>
      <c r="F13" s="173">
        <v>207568</v>
      </c>
      <c r="G13" s="173">
        <v>1.58</v>
      </c>
      <c r="H13" s="175">
        <f t="shared" si="3"/>
        <v>1.5</v>
      </c>
    </row>
    <row r="14" spans="1:8" ht="22.5" customHeight="1">
      <c r="B14" s="23">
        <v>20.45</v>
      </c>
      <c r="C14" s="23">
        <v>0</v>
      </c>
      <c r="D14" s="173" t="s">
        <v>340</v>
      </c>
      <c r="E14" s="174">
        <f t="shared" si="2"/>
        <v>20.45</v>
      </c>
      <c r="F14" s="173">
        <v>306222</v>
      </c>
      <c r="G14" s="173">
        <v>2.36</v>
      </c>
      <c r="H14" s="175">
        <f t="shared" si="3"/>
        <v>2.2999999999999998</v>
      </c>
    </row>
    <row r="15" spans="1:8" ht="22.5" customHeight="1">
      <c r="B15" s="23">
        <v>20.49</v>
      </c>
      <c r="C15" s="23">
        <v>0.11</v>
      </c>
      <c r="D15" s="173" t="s">
        <v>341</v>
      </c>
      <c r="E15" s="174">
        <f t="shared" si="2"/>
        <v>20.38</v>
      </c>
      <c r="F15" s="173">
        <v>79818</v>
      </c>
      <c r="G15" s="173">
        <v>0.57999999999999996</v>
      </c>
      <c r="H15" s="175">
        <f t="shared" si="3"/>
        <v>0.6</v>
      </c>
    </row>
    <row r="16" spans="1:8" ht="22.5" customHeight="1">
      <c r="B16" s="23">
        <v>20.3</v>
      </c>
      <c r="C16" s="23">
        <v>0</v>
      </c>
      <c r="D16" s="173" t="s">
        <v>342</v>
      </c>
      <c r="E16" s="174">
        <f t="shared" si="2"/>
        <v>20.3</v>
      </c>
      <c r="F16" s="173">
        <v>306907</v>
      </c>
      <c r="G16" s="173">
        <v>2.36</v>
      </c>
      <c r="H16" s="175">
        <f t="shared" si="3"/>
        <v>2.2999999999999998</v>
      </c>
    </row>
    <row r="17" spans="2:8" ht="22.5" customHeight="1">
      <c r="B17" s="23">
        <v>20.13</v>
      </c>
      <c r="C17" s="23">
        <v>0</v>
      </c>
      <c r="D17" s="173" t="s">
        <v>343</v>
      </c>
      <c r="E17" s="174">
        <f t="shared" si="2"/>
        <v>20.13</v>
      </c>
      <c r="F17" s="173">
        <v>338554</v>
      </c>
      <c r="G17" s="173">
        <v>2.61</v>
      </c>
      <c r="H17" s="175">
        <f t="shared" si="3"/>
        <v>2.6</v>
      </c>
    </row>
    <row r="18" spans="2:8" ht="22.5" customHeight="1">
      <c r="B18" s="23">
        <v>20.309999999999999</v>
      </c>
      <c r="C18" s="23">
        <v>0.09</v>
      </c>
      <c r="D18" s="173" t="s">
        <v>344</v>
      </c>
      <c r="E18" s="174">
        <f t="shared" si="2"/>
        <v>20.22</v>
      </c>
      <c r="F18" s="173">
        <v>69184</v>
      </c>
      <c r="G18" s="173">
        <v>0.5</v>
      </c>
      <c r="H18" s="175">
        <f t="shared" si="3"/>
        <v>0.5</v>
      </c>
    </row>
    <row r="19" spans="2:8" ht="22.5" customHeight="1">
      <c r="B19" s="23">
        <v>20.53</v>
      </c>
      <c r="C19" s="23">
        <v>0.02</v>
      </c>
      <c r="D19" s="173" t="s">
        <v>345</v>
      </c>
      <c r="E19" s="174">
        <f t="shared" si="2"/>
        <v>20.51</v>
      </c>
      <c r="F19" s="173">
        <v>396442</v>
      </c>
      <c r="G19" s="173">
        <v>3.07</v>
      </c>
      <c r="H19" s="175">
        <f t="shared" si="3"/>
        <v>3</v>
      </c>
    </row>
    <row r="22" spans="2:8" ht="22.5" customHeight="1">
      <c r="D22" s="70" t="s">
        <v>54</v>
      </c>
      <c r="E22" s="71" t="s">
        <v>134</v>
      </c>
      <c r="F22" s="70" t="s">
        <v>346</v>
      </c>
      <c r="G22" s="70" t="s">
        <v>141</v>
      </c>
      <c r="H22" s="70" t="s">
        <v>142</v>
      </c>
    </row>
    <row r="23" spans="2:8" ht="22.5" customHeight="1">
      <c r="B23" s="23">
        <v>20.3</v>
      </c>
      <c r="C23" s="23">
        <v>0</v>
      </c>
      <c r="D23" s="173" t="s">
        <v>347</v>
      </c>
      <c r="E23" s="174">
        <v>20.25</v>
      </c>
      <c r="F23" s="276">
        <v>404234</v>
      </c>
      <c r="G23" s="173">
        <v>2.66</v>
      </c>
      <c r="H23" s="175">
        <f>ROUND(G23*20/E23,1)</f>
        <v>2.6</v>
      </c>
    </row>
    <row r="24" spans="2:8" ht="22.5" customHeight="1">
      <c r="B24" s="23">
        <v>20.32</v>
      </c>
      <c r="C24" s="23">
        <v>0</v>
      </c>
      <c r="D24" s="173" t="s">
        <v>348</v>
      </c>
      <c r="E24" s="174">
        <v>20.34</v>
      </c>
      <c r="F24" s="276">
        <v>95603</v>
      </c>
      <c r="G24" s="173">
        <v>0.65</v>
      </c>
      <c r="H24" s="175">
        <f t="shared" ref="H24:H31" si="4">ROUND(G24*20/E24,1)</f>
        <v>0.6</v>
      </c>
    </row>
    <row r="25" spans="2:8" ht="22.5" customHeight="1">
      <c r="B25" s="23">
        <v>20.41</v>
      </c>
      <c r="C25" s="23">
        <v>0</v>
      </c>
      <c r="D25" s="173" t="s">
        <v>349</v>
      </c>
      <c r="E25" s="174">
        <v>20.13</v>
      </c>
      <c r="F25" s="276">
        <v>314948</v>
      </c>
      <c r="G25" s="173">
        <v>2.08</v>
      </c>
      <c r="H25" s="175">
        <f t="shared" si="4"/>
        <v>2.1</v>
      </c>
    </row>
    <row r="26" spans="2:8" ht="22.5" customHeight="1">
      <c r="B26" s="23">
        <v>20.45</v>
      </c>
      <c r="C26" s="23">
        <v>0</v>
      </c>
      <c r="D26" s="173" t="s">
        <v>350</v>
      </c>
      <c r="E26" s="174">
        <v>20.02</v>
      </c>
      <c r="F26" s="276">
        <v>351774</v>
      </c>
      <c r="G26" s="173">
        <v>2.3199999999999998</v>
      </c>
      <c r="H26" s="175">
        <f t="shared" si="4"/>
        <v>2.2999999999999998</v>
      </c>
    </row>
    <row r="27" spans="2:8" ht="22.5" customHeight="1">
      <c r="B27" s="23">
        <v>20.49</v>
      </c>
      <c r="C27" s="23">
        <v>0.11</v>
      </c>
      <c r="D27" s="173" t="s">
        <v>351</v>
      </c>
      <c r="E27" s="174">
        <v>20.27</v>
      </c>
      <c r="F27" s="276">
        <v>308980</v>
      </c>
      <c r="G27" s="173">
        <v>2.04</v>
      </c>
      <c r="H27" s="175">
        <f t="shared" si="4"/>
        <v>2</v>
      </c>
    </row>
    <row r="28" spans="2:8" ht="22.5" customHeight="1">
      <c r="B28" s="23">
        <v>20.3</v>
      </c>
      <c r="C28" s="23">
        <v>0</v>
      </c>
      <c r="D28" s="173" t="s">
        <v>352</v>
      </c>
      <c r="E28" s="174">
        <v>20.22</v>
      </c>
      <c r="F28" s="276">
        <v>101159</v>
      </c>
      <c r="G28" s="173">
        <v>0.69</v>
      </c>
      <c r="H28" s="175">
        <f t="shared" si="4"/>
        <v>0.7</v>
      </c>
    </row>
    <row r="29" spans="2:8" ht="22.5" customHeight="1">
      <c r="B29" s="23">
        <v>20.13</v>
      </c>
      <c r="C29" s="23">
        <v>0</v>
      </c>
      <c r="D29" s="173" t="s">
        <v>353</v>
      </c>
      <c r="E29" s="174">
        <v>20.36</v>
      </c>
      <c r="F29" s="276">
        <v>78677</v>
      </c>
      <c r="G29" s="173">
        <v>0.54</v>
      </c>
      <c r="H29" s="175">
        <f t="shared" si="4"/>
        <v>0.5</v>
      </c>
    </row>
    <row r="30" spans="2:8" ht="22.5" customHeight="1">
      <c r="B30" s="23">
        <v>20.309999999999999</v>
      </c>
      <c r="C30" s="23">
        <v>0.09</v>
      </c>
      <c r="D30" s="173" t="s">
        <v>354</v>
      </c>
      <c r="E30" s="174">
        <v>20.2</v>
      </c>
      <c r="F30" s="276">
        <v>449151</v>
      </c>
      <c r="G30" s="173">
        <v>2.95</v>
      </c>
      <c r="H30" s="175">
        <f t="shared" si="4"/>
        <v>2.9</v>
      </c>
    </row>
    <row r="31" spans="2:8" ht="22.5" customHeight="1">
      <c r="B31" s="23">
        <v>20.53</v>
      </c>
      <c r="C31" s="23">
        <v>0.02</v>
      </c>
      <c r="D31" s="173" t="s">
        <v>355</v>
      </c>
      <c r="E31" s="174">
        <v>20.32</v>
      </c>
      <c r="F31" s="276">
        <v>273586</v>
      </c>
      <c r="G31" s="173">
        <v>1.81</v>
      </c>
      <c r="H31" s="175">
        <f t="shared" si="4"/>
        <v>1.8</v>
      </c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7"/>
  <sheetViews>
    <sheetView topLeftCell="A199" workbookViewId="0">
      <selection activeCell="G216" sqref="G216:G217"/>
    </sheetView>
  </sheetViews>
  <sheetFormatPr defaultColWidth="9" defaultRowHeight="13.5"/>
  <cols>
    <col min="1" max="1" width="16.75" style="134" customWidth="1"/>
    <col min="2" max="2" width="30.125" style="134" customWidth="1"/>
    <col min="3" max="3" width="17.5" style="134" customWidth="1"/>
    <col min="4" max="4" width="9.375" style="134" bestFit="1" customWidth="1"/>
    <col min="5" max="5" width="12" style="159" customWidth="1"/>
    <col min="6" max="6" width="12.5" style="134" customWidth="1"/>
    <col min="7" max="7" width="12.875" style="134" customWidth="1"/>
    <col min="8" max="9" width="9.625" style="134" bestFit="1" customWidth="1"/>
    <col min="10" max="10" width="9.375" style="134" bestFit="1" customWidth="1"/>
    <col min="11" max="11" width="15" style="134" bestFit="1" customWidth="1"/>
    <col min="12" max="12" width="17.5" style="134" bestFit="1" customWidth="1"/>
    <col min="13" max="13" width="29" style="134" customWidth="1"/>
    <col min="14" max="14" width="17.25" style="134" bestFit="1" customWidth="1"/>
    <col min="15" max="16384" width="9" style="134"/>
  </cols>
  <sheetData>
    <row r="1" spans="1:13">
      <c r="A1" s="53" t="s">
        <v>217</v>
      </c>
      <c r="B1" s="134" t="s">
        <v>69</v>
      </c>
      <c r="C1" s="134" t="s">
        <v>70</v>
      </c>
      <c r="D1" s="134">
        <v>0</v>
      </c>
      <c r="E1" s="159" t="s">
        <v>71</v>
      </c>
      <c r="F1" s="134" t="s">
        <v>71</v>
      </c>
      <c r="G1" s="134" t="s">
        <v>71</v>
      </c>
      <c r="H1" s="134" t="s">
        <v>71</v>
      </c>
      <c r="I1" s="134" t="s">
        <v>71</v>
      </c>
      <c r="J1" s="134" t="s">
        <v>71</v>
      </c>
      <c r="K1" s="134" t="s">
        <v>71</v>
      </c>
      <c r="L1" s="134">
        <v>0</v>
      </c>
      <c r="M1" s="135">
        <v>46162.449004629627</v>
      </c>
    </row>
    <row r="2" spans="1:13">
      <c r="B2" s="134" t="s">
        <v>72</v>
      </c>
      <c r="C2" s="134" t="s">
        <v>70</v>
      </c>
      <c r="D2" s="134">
        <v>0</v>
      </c>
      <c r="E2" s="159" t="s">
        <v>71</v>
      </c>
      <c r="F2" s="134" t="s">
        <v>71</v>
      </c>
      <c r="G2" s="134" t="s">
        <v>71</v>
      </c>
      <c r="H2" s="134" t="s">
        <v>71</v>
      </c>
      <c r="I2" s="134" t="s">
        <v>71</v>
      </c>
      <c r="J2" s="134" t="s">
        <v>71</v>
      </c>
      <c r="K2" s="134" t="s">
        <v>71</v>
      </c>
      <c r="L2" s="134">
        <v>0</v>
      </c>
      <c r="M2" s="135">
        <v>46162.459745370368</v>
      </c>
    </row>
    <row r="3" spans="1:13">
      <c r="B3" s="134" t="s">
        <v>73</v>
      </c>
      <c r="C3" s="134" t="s">
        <v>70</v>
      </c>
      <c r="D3" s="134">
        <v>0</v>
      </c>
      <c r="E3" s="159" t="s">
        <v>71</v>
      </c>
      <c r="F3" s="134" t="s">
        <v>71</v>
      </c>
      <c r="G3" s="134" t="s">
        <v>71</v>
      </c>
      <c r="H3" s="134" t="s">
        <v>71</v>
      </c>
      <c r="I3" s="134" t="s">
        <v>71</v>
      </c>
      <c r="J3" s="134" t="s">
        <v>71</v>
      </c>
      <c r="K3" s="134" t="s">
        <v>71</v>
      </c>
      <c r="L3" s="135">
        <v>0</v>
      </c>
      <c r="M3" s="135">
        <v>46162.470486111109</v>
      </c>
    </row>
    <row r="4" spans="1:13">
      <c r="B4" s="134" t="s">
        <v>81</v>
      </c>
      <c r="C4" s="134" t="s">
        <v>70</v>
      </c>
      <c r="D4" s="134">
        <v>0</v>
      </c>
      <c r="E4" s="159" t="s">
        <v>71</v>
      </c>
      <c r="F4" s="134" t="s">
        <v>71</v>
      </c>
      <c r="G4" s="134" t="s">
        <v>71</v>
      </c>
      <c r="H4" s="134" t="s">
        <v>71</v>
      </c>
      <c r="I4" s="134" t="s">
        <v>71</v>
      </c>
      <c r="J4" s="134" t="s">
        <v>71</v>
      </c>
      <c r="K4" s="134" t="s">
        <v>71</v>
      </c>
      <c r="L4" s="135">
        <v>0</v>
      </c>
      <c r="M4" s="135">
        <v>46162.481203703705</v>
      </c>
    </row>
    <row r="5" spans="1:13">
      <c r="B5" s="134" t="s">
        <v>89</v>
      </c>
      <c r="C5" s="134" t="s">
        <v>70</v>
      </c>
      <c r="D5" s="134">
        <v>0</v>
      </c>
      <c r="E5" s="159" t="s">
        <v>71</v>
      </c>
      <c r="F5" s="136" t="s">
        <v>71</v>
      </c>
      <c r="G5" s="134" t="s">
        <v>71</v>
      </c>
      <c r="H5" s="134" t="s">
        <v>71</v>
      </c>
      <c r="I5" s="134" t="s">
        <v>71</v>
      </c>
      <c r="J5" s="134" t="s">
        <v>71</v>
      </c>
      <c r="K5" s="134" t="s">
        <v>71</v>
      </c>
      <c r="L5" s="135">
        <v>0</v>
      </c>
      <c r="M5" s="135">
        <v>46162.4919212963</v>
      </c>
    </row>
    <row r="6" spans="1:13">
      <c r="B6" s="134" t="s">
        <v>74</v>
      </c>
      <c r="C6" s="134" t="s">
        <v>70</v>
      </c>
      <c r="D6" s="134">
        <v>0</v>
      </c>
      <c r="E6" s="159">
        <v>6.6479999999999997</v>
      </c>
      <c r="F6" s="136">
        <v>78627</v>
      </c>
      <c r="G6" s="134">
        <v>1.23</v>
      </c>
      <c r="H6" s="134">
        <v>102.89</v>
      </c>
      <c r="I6" s="134" t="s">
        <v>71</v>
      </c>
      <c r="J6" s="134" t="s">
        <v>71</v>
      </c>
      <c r="K6" s="134" t="s">
        <v>71</v>
      </c>
      <c r="L6" s="135">
        <v>0</v>
      </c>
      <c r="M6" s="135">
        <v>46162.502638888887</v>
      </c>
    </row>
    <row r="7" spans="1:13">
      <c r="B7" s="134" t="s">
        <v>219</v>
      </c>
      <c r="C7" s="134" t="s">
        <v>70</v>
      </c>
      <c r="D7" s="134">
        <v>0</v>
      </c>
      <c r="E7" s="159">
        <v>6.6420000000000003</v>
      </c>
      <c r="F7" s="136">
        <v>1561895</v>
      </c>
      <c r="G7" s="134">
        <v>25.56</v>
      </c>
      <c r="H7" s="134">
        <v>846.76</v>
      </c>
      <c r="I7" s="134" t="s">
        <v>71</v>
      </c>
      <c r="J7" s="134" t="s">
        <v>71</v>
      </c>
      <c r="K7" s="134" t="s">
        <v>71</v>
      </c>
      <c r="L7" s="135">
        <v>1</v>
      </c>
      <c r="M7" s="135">
        <v>46162.513356481482</v>
      </c>
    </row>
    <row r="8" spans="1:13">
      <c r="B8" s="134" t="s">
        <v>220</v>
      </c>
      <c r="C8" s="134" t="s">
        <v>70</v>
      </c>
      <c r="D8" s="134">
        <v>0</v>
      </c>
      <c r="E8" s="159">
        <v>6.6449999999999996</v>
      </c>
      <c r="F8" s="136">
        <v>1563156</v>
      </c>
      <c r="G8" s="134">
        <v>25.58</v>
      </c>
      <c r="H8" s="134">
        <v>837.02</v>
      </c>
      <c r="I8" s="134" t="s">
        <v>71</v>
      </c>
      <c r="J8" s="134" t="s">
        <v>71</v>
      </c>
      <c r="K8" s="134" t="s">
        <v>71</v>
      </c>
      <c r="L8" s="135">
        <v>1</v>
      </c>
      <c r="M8" s="135">
        <v>46162.52412037037</v>
      </c>
    </row>
    <row r="9" spans="1:13">
      <c r="B9" s="134" t="s">
        <v>221</v>
      </c>
      <c r="C9" s="134" t="s">
        <v>70</v>
      </c>
      <c r="D9" s="134">
        <v>0</v>
      </c>
      <c r="E9" s="159">
        <v>6.6449999999999996</v>
      </c>
      <c r="F9" s="136">
        <v>1549703</v>
      </c>
      <c r="G9" s="134">
        <v>25.36</v>
      </c>
      <c r="H9" s="134">
        <v>872.58</v>
      </c>
      <c r="I9" s="134" t="s">
        <v>71</v>
      </c>
      <c r="J9" s="134" t="s">
        <v>71</v>
      </c>
      <c r="K9" s="134" t="s">
        <v>71</v>
      </c>
      <c r="L9" s="135">
        <v>1</v>
      </c>
      <c r="M9" s="135">
        <v>46162.534861111111</v>
      </c>
    </row>
    <row r="10" spans="1:13">
      <c r="B10" s="134" t="s">
        <v>222</v>
      </c>
      <c r="C10" s="134" t="s">
        <v>70</v>
      </c>
      <c r="D10" s="134">
        <v>0</v>
      </c>
      <c r="E10" s="159">
        <v>6.6449999999999996</v>
      </c>
      <c r="F10" s="136">
        <v>1555639</v>
      </c>
      <c r="G10" s="134">
        <v>25.45</v>
      </c>
      <c r="H10" s="134">
        <v>906.86</v>
      </c>
      <c r="I10" s="134" t="s">
        <v>71</v>
      </c>
      <c r="J10" s="134" t="s">
        <v>71</v>
      </c>
      <c r="K10" s="134" t="s">
        <v>71</v>
      </c>
      <c r="L10" s="135">
        <v>1</v>
      </c>
      <c r="M10" s="135">
        <v>46162.545567129629</v>
      </c>
    </row>
    <row r="11" spans="1:13">
      <c r="B11" s="134" t="s">
        <v>223</v>
      </c>
      <c r="C11" s="134" t="s">
        <v>70</v>
      </c>
      <c r="D11" s="134">
        <v>0</v>
      </c>
      <c r="E11" s="159">
        <v>6.6429999999999998</v>
      </c>
      <c r="F11" s="136">
        <v>1564858</v>
      </c>
      <c r="G11" s="134">
        <v>25.6</v>
      </c>
      <c r="H11" s="137">
        <v>1020.09</v>
      </c>
      <c r="I11" s="134" t="s">
        <v>71</v>
      </c>
      <c r="J11" s="134" t="s">
        <v>71</v>
      </c>
      <c r="K11" s="134" t="s">
        <v>71</v>
      </c>
      <c r="L11" s="135">
        <v>1</v>
      </c>
      <c r="M11" s="135">
        <v>46162.556307870371</v>
      </c>
    </row>
    <row r="12" spans="1:13">
      <c r="B12" s="134" t="s">
        <v>224</v>
      </c>
      <c r="C12" s="134" t="s">
        <v>70</v>
      </c>
      <c r="D12" s="134">
        <v>0</v>
      </c>
      <c r="E12" s="159">
        <v>6.6440000000000001</v>
      </c>
      <c r="F12" s="136">
        <v>1550255</v>
      </c>
      <c r="G12" s="134">
        <v>25.36</v>
      </c>
      <c r="H12" s="134">
        <v>952.05</v>
      </c>
      <c r="I12" s="134" t="s">
        <v>71</v>
      </c>
      <c r="J12" s="134" t="s">
        <v>71</v>
      </c>
      <c r="K12" s="134" t="s">
        <v>71</v>
      </c>
      <c r="L12" s="135">
        <v>1</v>
      </c>
      <c r="M12" s="135">
        <v>46162.567048611112</v>
      </c>
    </row>
    <row r="13" spans="1:13" s="53" customFormat="1">
      <c r="B13" s="53" t="s">
        <v>225</v>
      </c>
      <c r="C13" s="53" t="s">
        <v>70</v>
      </c>
      <c r="D13" s="53">
        <v>0</v>
      </c>
      <c r="E13" s="160">
        <v>6.6420000000000003</v>
      </c>
      <c r="F13" s="78">
        <v>1540963</v>
      </c>
      <c r="G13" s="53">
        <v>25.21</v>
      </c>
      <c r="H13" s="53">
        <v>768.58</v>
      </c>
      <c r="I13" s="53" t="s">
        <v>71</v>
      </c>
      <c r="J13" s="53" t="s">
        <v>71</v>
      </c>
      <c r="K13" s="53" t="s">
        <v>71</v>
      </c>
      <c r="L13" s="107">
        <v>1</v>
      </c>
      <c r="M13" s="107">
        <v>46162.577766203707</v>
      </c>
    </row>
    <row r="14" spans="1:13">
      <c r="B14" s="134" t="s">
        <v>226</v>
      </c>
      <c r="C14" s="134" t="s">
        <v>70</v>
      </c>
      <c r="D14" s="134">
        <v>0</v>
      </c>
      <c r="E14" s="159">
        <v>6.6429999999999998</v>
      </c>
      <c r="F14" s="136">
        <v>1538920</v>
      </c>
      <c r="G14" s="53">
        <v>25.18</v>
      </c>
      <c r="H14" s="134">
        <v>824.14</v>
      </c>
      <c r="I14" s="134" t="s">
        <v>71</v>
      </c>
      <c r="J14" s="134" t="s">
        <v>71</v>
      </c>
      <c r="K14" s="134" t="s">
        <v>71</v>
      </c>
      <c r="L14" s="135">
        <v>1</v>
      </c>
      <c r="M14" s="135">
        <v>46162.588483796295</v>
      </c>
    </row>
    <row r="15" spans="1:13">
      <c r="B15" s="134" t="s">
        <v>227</v>
      </c>
      <c r="C15" s="134" t="s">
        <v>70</v>
      </c>
      <c r="D15" s="134">
        <v>0</v>
      </c>
      <c r="E15" s="159" t="s">
        <v>71</v>
      </c>
      <c r="F15" s="136" t="s">
        <v>71</v>
      </c>
      <c r="G15" s="134" t="s">
        <v>71</v>
      </c>
      <c r="H15" s="134" t="s">
        <v>71</v>
      </c>
      <c r="I15" s="134" t="s">
        <v>71</v>
      </c>
      <c r="J15" s="134" t="s">
        <v>71</v>
      </c>
      <c r="K15" s="134" t="s">
        <v>71</v>
      </c>
      <c r="L15" s="135">
        <v>1</v>
      </c>
      <c r="M15" s="135">
        <v>46162.599224537036</v>
      </c>
    </row>
    <row r="16" spans="1:13" s="53" customFormat="1">
      <c r="B16" s="53" t="s">
        <v>76</v>
      </c>
      <c r="C16" s="53" t="s">
        <v>77</v>
      </c>
      <c r="D16" s="53">
        <v>1</v>
      </c>
      <c r="E16" s="160">
        <v>6.6420000000000003</v>
      </c>
      <c r="F16" s="78">
        <v>157524</v>
      </c>
      <c r="G16" s="53">
        <v>2.5299999999999998</v>
      </c>
      <c r="H16" s="53">
        <v>177.15</v>
      </c>
      <c r="I16" s="53">
        <v>2.5299999999999998</v>
      </c>
      <c r="J16" s="53">
        <v>99.9</v>
      </c>
      <c r="K16" s="53">
        <v>1</v>
      </c>
      <c r="L16" s="107">
        <v>1</v>
      </c>
      <c r="M16" s="107">
        <v>46162.609953703701</v>
      </c>
    </row>
    <row r="17" spans="2:13" s="53" customFormat="1">
      <c r="B17" s="53" t="s">
        <v>78</v>
      </c>
      <c r="C17" s="53" t="s">
        <v>77</v>
      </c>
      <c r="D17" s="53">
        <v>2</v>
      </c>
      <c r="E17" s="160">
        <v>6.6449999999999996</v>
      </c>
      <c r="F17" s="78">
        <v>782288</v>
      </c>
      <c r="G17" s="53">
        <v>12.77</v>
      </c>
      <c r="H17" s="53">
        <v>708.14</v>
      </c>
      <c r="I17" s="53">
        <v>12.67</v>
      </c>
      <c r="J17" s="53">
        <v>100.8</v>
      </c>
      <c r="K17" s="53">
        <v>1</v>
      </c>
      <c r="L17" s="107">
        <v>1</v>
      </c>
      <c r="M17" s="107">
        <v>46162.620682870373</v>
      </c>
    </row>
    <row r="18" spans="2:13" s="53" customFormat="1">
      <c r="B18" s="53" t="s">
        <v>228</v>
      </c>
      <c r="C18" s="53" t="s">
        <v>77</v>
      </c>
      <c r="D18" s="53">
        <v>3</v>
      </c>
      <c r="E18" s="160">
        <v>6.6440000000000001</v>
      </c>
      <c r="F18" s="78">
        <v>1556490</v>
      </c>
      <c r="G18" s="53">
        <v>25.47</v>
      </c>
      <c r="H18" s="53">
        <v>767.4</v>
      </c>
      <c r="I18" s="53">
        <v>25.34</v>
      </c>
      <c r="J18" s="53">
        <v>100.5</v>
      </c>
      <c r="K18" s="53">
        <v>1</v>
      </c>
      <c r="L18" s="107">
        <v>1</v>
      </c>
      <c r="M18" s="107">
        <v>46162.631423611114</v>
      </c>
    </row>
    <row r="19" spans="2:13" s="53" customFormat="1">
      <c r="B19" s="53" t="s">
        <v>79</v>
      </c>
      <c r="C19" s="53" t="s">
        <v>77</v>
      </c>
      <c r="D19" s="53">
        <v>4</v>
      </c>
      <c r="E19" s="160">
        <v>6.6459999999999999</v>
      </c>
      <c r="F19" s="78">
        <v>2312100</v>
      </c>
      <c r="G19" s="53">
        <v>37.86</v>
      </c>
      <c r="H19" s="129">
        <v>1114.6400000000001</v>
      </c>
      <c r="I19" s="53">
        <v>38.01</v>
      </c>
      <c r="J19" s="53">
        <v>99.6</v>
      </c>
      <c r="K19" s="53">
        <v>1</v>
      </c>
      <c r="L19" s="107">
        <v>1</v>
      </c>
      <c r="M19" s="107">
        <v>46162.642152777778</v>
      </c>
    </row>
    <row r="20" spans="2:13" s="53" customFormat="1">
      <c r="B20" s="53" t="s">
        <v>80</v>
      </c>
      <c r="C20" s="53" t="s">
        <v>77</v>
      </c>
      <c r="D20" s="53">
        <v>5</v>
      </c>
      <c r="E20" s="160">
        <v>6.6459999999999999</v>
      </c>
      <c r="F20" s="78">
        <v>3070865</v>
      </c>
      <c r="G20" s="53">
        <v>50.3</v>
      </c>
      <c r="H20" s="129">
        <v>1007.81</v>
      </c>
      <c r="I20" s="53">
        <v>50.68</v>
      </c>
      <c r="J20" s="53">
        <v>99.2</v>
      </c>
      <c r="K20" s="53">
        <v>1</v>
      </c>
      <c r="L20" s="107">
        <v>1</v>
      </c>
      <c r="M20" s="107">
        <v>46162.65289351852</v>
      </c>
    </row>
    <row r="21" spans="2:13">
      <c r="B21" s="134" t="s">
        <v>229</v>
      </c>
      <c r="C21" s="134" t="s">
        <v>70</v>
      </c>
      <c r="D21" s="134">
        <v>0</v>
      </c>
      <c r="E21" s="159" t="s">
        <v>71</v>
      </c>
      <c r="F21" s="136" t="s">
        <v>71</v>
      </c>
      <c r="G21" s="134" t="s">
        <v>71</v>
      </c>
      <c r="H21" s="134" t="s">
        <v>71</v>
      </c>
      <c r="I21" s="134" t="s">
        <v>71</v>
      </c>
      <c r="J21" s="134" t="s">
        <v>71</v>
      </c>
      <c r="K21" s="134" t="s">
        <v>71</v>
      </c>
      <c r="L21" s="135">
        <v>1</v>
      </c>
      <c r="M21" s="135">
        <v>46162.663634259261</v>
      </c>
    </row>
    <row r="22" spans="2:13">
      <c r="B22" s="134" t="s">
        <v>230</v>
      </c>
      <c r="C22" s="134" t="s">
        <v>70</v>
      </c>
      <c r="D22" s="134">
        <v>0</v>
      </c>
      <c r="E22" s="159">
        <v>6.649</v>
      </c>
      <c r="F22" s="136">
        <v>76831</v>
      </c>
      <c r="G22" s="134">
        <v>1.2</v>
      </c>
      <c r="H22" s="134">
        <v>112.16</v>
      </c>
      <c r="I22" s="134" t="s">
        <v>71</v>
      </c>
      <c r="J22" s="134" t="s">
        <v>71</v>
      </c>
      <c r="K22" s="134" t="s">
        <v>71</v>
      </c>
      <c r="L22" s="135">
        <v>1</v>
      </c>
      <c r="M22" s="135">
        <v>46162.674363425926</v>
      </c>
    </row>
    <row r="23" spans="2:13">
      <c r="B23" s="134" t="s">
        <v>231</v>
      </c>
      <c r="C23" s="134" t="s">
        <v>70</v>
      </c>
      <c r="D23" s="134">
        <v>0</v>
      </c>
      <c r="E23" s="159" t="s">
        <v>71</v>
      </c>
      <c r="F23" s="136" t="s">
        <v>71</v>
      </c>
      <c r="G23" s="134" t="s">
        <v>71</v>
      </c>
      <c r="H23" s="134" t="s">
        <v>71</v>
      </c>
      <c r="I23" s="134" t="s">
        <v>71</v>
      </c>
      <c r="J23" s="134" t="s">
        <v>71</v>
      </c>
      <c r="K23" s="134" t="s">
        <v>71</v>
      </c>
      <c r="L23" s="135">
        <v>1</v>
      </c>
      <c r="M23" s="135">
        <v>46162.685081018521</v>
      </c>
    </row>
    <row r="24" spans="2:13">
      <c r="B24" s="134" t="s">
        <v>232</v>
      </c>
      <c r="C24" s="134" t="s">
        <v>70</v>
      </c>
      <c r="D24" s="134">
        <v>0</v>
      </c>
      <c r="E24" s="159">
        <v>6.6479999999999997</v>
      </c>
      <c r="F24" s="136">
        <v>1553898</v>
      </c>
      <c r="G24" s="134">
        <v>25.42</v>
      </c>
      <c r="H24" s="134">
        <v>886.02</v>
      </c>
      <c r="I24" s="134" t="s">
        <v>71</v>
      </c>
      <c r="J24" s="134" t="s">
        <v>71</v>
      </c>
      <c r="K24" s="134" t="s">
        <v>71</v>
      </c>
      <c r="L24" s="135">
        <v>1</v>
      </c>
      <c r="M24" s="135">
        <v>46162.695787037039</v>
      </c>
    </row>
    <row r="25" spans="2:13">
      <c r="B25" s="134" t="s">
        <v>233</v>
      </c>
      <c r="C25" s="134" t="s">
        <v>70</v>
      </c>
      <c r="D25" s="134">
        <v>0</v>
      </c>
      <c r="E25" s="159" t="s">
        <v>71</v>
      </c>
      <c r="F25" s="136" t="s">
        <v>71</v>
      </c>
      <c r="G25" s="134" t="s">
        <v>71</v>
      </c>
      <c r="H25" s="134" t="s">
        <v>71</v>
      </c>
      <c r="I25" s="134" t="s">
        <v>71</v>
      </c>
      <c r="J25" s="134" t="s">
        <v>71</v>
      </c>
      <c r="K25" s="134" t="s">
        <v>71</v>
      </c>
      <c r="L25" s="135">
        <v>1</v>
      </c>
      <c r="M25" s="135">
        <v>46162.70652777778</v>
      </c>
    </row>
    <row r="26" spans="2:13" s="53" customFormat="1">
      <c r="B26" s="53" t="s">
        <v>234</v>
      </c>
      <c r="C26" s="53" t="s">
        <v>70</v>
      </c>
      <c r="D26" s="53">
        <v>0</v>
      </c>
      <c r="E26" s="160">
        <v>6.649</v>
      </c>
      <c r="F26" s="78">
        <v>1569078</v>
      </c>
      <c r="G26" s="53">
        <v>25.67</v>
      </c>
      <c r="H26" s="129">
        <v>1021.94</v>
      </c>
      <c r="I26" s="53" t="s">
        <v>71</v>
      </c>
      <c r="J26" s="53" t="s">
        <v>71</v>
      </c>
      <c r="K26" s="53" t="s">
        <v>71</v>
      </c>
      <c r="L26" s="107">
        <v>1</v>
      </c>
      <c r="M26" s="107">
        <v>46162.717245370368</v>
      </c>
    </row>
    <row r="27" spans="2:13">
      <c r="B27" s="134" t="s">
        <v>235</v>
      </c>
      <c r="C27" s="134" t="s">
        <v>70</v>
      </c>
      <c r="D27" s="134">
        <v>0</v>
      </c>
      <c r="E27" s="159">
        <v>6.649</v>
      </c>
      <c r="F27" s="136">
        <v>1549274</v>
      </c>
      <c r="G27" s="53">
        <v>25.35</v>
      </c>
      <c r="H27" s="134">
        <v>793.41</v>
      </c>
      <c r="I27" s="134" t="s">
        <v>71</v>
      </c>
      <c r="J27" s="134" t="s">
        <v>71</v>
      </c>
      <c r="K27" s="134" t="s">
        <v>71</v>
      </c>
      <c r="L27" s="135">
        <v>1</v>
      </c>
      <c r="M27" s="135">
        <v>46162.727986111109</v>
      </c>
    </row>
    <row r="28" spans="2:13">
      <c r="B28" s="134" t="s">
        <v>236</v>
      </c>
      <c r="C28" s="134" t="s">
        <v>70</v>
      </c>
      <c r="D28" s="134">
        <v>0</v>
      </c>
      <c r="E28" s="159" t="s">
        <v>71</v>
      </c>
      <c r="F28" s="136" t="s">
        <v>71</v>
      </c>
      <c r="G28" s="134" t="s">
        <v>71</v>
      </c>
      <c r="H28" s="134" t="s">
        <v>71</v>
      </c>
      <c r="I28" s="134" t="s">
        <v>71</v>
      </c>
      <c r="J28" s="134" t="s">
        <v>71</v>
      </c>
      <c r="K28" s="134" t="s">
        <v>71</v>
      </c>
      <c r="L28" s="135">
        <v>1</v>
      </c>
      <c r="M28" s="135">
        <v>46162.738715277781</v>
      </c>
    </row>
    <row r="29" spans="2:13">
      <c r="B29" s="134" t="s">
        <v>237</v>
      </c>
      <c r="C29" s="134" t="s">
        <v>70</v>
      </c>
      <c r="D29" s="134">
        <v>0</v>
      </c>
      <c r="E29" s="159">
        <v>6.6509999999999998</v>
      </c>
      <c r="F29" s="136">
        <v>79279</v>
      </c>
      <c r="G29" s="134">
        <v>1.24</v>
      </c>
      <c r="H29" s="134">
        <v>114.36</v>
      </c>
      <c r="I29" s="134" t="s">
        <v>71</v>
      </c>
      <c r="J29" s="134" t="s">
        <v>71</v>
      </c>
      <c r="K29" s="134" t="s">
        <v>71</v>
      </c>
      <c r="L29" s="135">
        <v>1</v>
      </c>
      <c r="M29" s="135">
        <v>46162.749456018515</v>
      </c>
    </row>
    <row r="30" spans="2:13">
      <c r="B30" s="134" t="s">
        <v>238</v>
      </c>
      <c r="C30" s="134" t="s">
        <v>70</v>
      </c>
      <c r="D30" s="134">
        <v>0</v>
      </c>
      <c r="E30" s="159">
        <v>6.65</v>
      </c>
      <c r="F30" s="136">
        <v>79162</v>
      </c>
      <c r="G30" s="134">
        <v>1.24</v>
      </c>
      <c r="H30" s="134">
        <v>104.6</v>
      </c>
      <c r="I30" s="134" t="s">
        <v>71</v>
      </c>
      <c r="J30" s="134" t="s">
        <v>71</v>
      </c>
      <c r="K30" s="134" t="s">
        <v>71</v>
      </c>
      <c r="L30" s="135">
        <v>1</v>
      </c>
      <c r="M30" s="135">
        <v>46162.76017361111</v>
      </c>
    </row>
    <row r="31" spans="2:13">
      <c r="B31" s="134" t="s">
        <v>239</v>
      </c>
      <c r="C31" s="134" t="s">
        <v>70</v>
      </c>
      <c r="D31" s="134">
        <v>0</v>
      </c>
      <c r="E31" s="159">
        <v>6.649</v>
      </c>
      <c r="F31" s="136">
        <v>78470</v>
      </c>
      <c r="G31" s="134">
        <v>1.23</v>
      </c>
      <c r="H31" s="134">
        <v>114.04</v>
      </c>
      <c r="I31" s="134" t="s">
        <v>71</v>
      </c>
      <c r="J31" s="134" t="s">
        <v>71</v>
      </c>
      <c r="K31" s="134" t="s">
        <v>71</v>
      </c>
      <c r="L31" s="135">
        <v>1</v>
      </c>
      <c r="M31" s="135">
        <v>46162.770891203705</v>
      </c>
    </row>
    <row r="32" spans="2:13">
      <c r="B32" s="134" t="s">
        <v>240</v>
      </c>
      <c r="C32" s="134" t="s">
        <v>70</v>
      </c>
      <c r="D32" s="134">
        <v>0</v>
      </c>
      <c r="E32" s="159">
        <v>6.6459999999999999</v>
      </c>
      <c r="F32" s="136">
        <v>159081</v>
      </c>
      <c r="G32" s="134">
        <v>2.5499999999999998</v>
      </c>
      <c r="H32" s="134">
        <v>207.12</v>
      </c>
      <c r="I32" s="134" t="s">
        <v>71</v>
      </c>
      <c r="J32" s="134" t="s">
        <v>71</v>
      </c>
      <c r="K32" s="134" t="s">
        <v>71</v>
      </c>
      <c r="L32" s="135">
        <v>1</v>
      </c>
      <c r="M32" s="135">
        <v>46162.781608796293</v>
      </c>
    </row>
    <row r="33" spans="2:13">
      <c r="B33" s="134" t="s">
        <v>241</v>
      </c>
      <c r="C33" s="134" t="s">
        <v>70</v>
      </c>
      <c r="D33" s="134">
        <v>0</v>
      </c>
      <c r="E33" s="159">
        <v>6.649</v>
      </c>
      <c r="F33" s="136">
        <v>160198</v>
      </c>
      <c r="G33" s="134">
        <v>2.57</v>
      </c>
      <c r="H33" s="134">
        <v>208.93</v>
      </c>
      <c r="I33" s="134" t="s">
        <v>71</v>
      </c>
      <c r="J33" s="134" t="s">
        <v>71</v>
      </c>
      <c r="K33" s="134" t="s">
        <v>71</v>
      </c>
      <c r="L33" s="135">
        <v>1</v>
      </c>
      <c r="M33" s="135">
        <v>46162.792326388888</v>
      </c>
    </row>
    <row r="34" spans="2:13">
      <c r="B34" s="134" t="s">
        <v>242</v>
      </c>
      <c r="C34" s="134" t="s">
        <v>70</v>
      </c>
      <c r="D34" s="134">
        <v>0</v>
      </c>
      <c r="E34" s="159">
        <v>6.6449999999999996</v>
      </c>
      <c r="F34" s="136">
        <v>159966</v>
      </c>
      <c r="G34" s="134">
        <v>2.57</v>
      </c>
      <c r="H34" s="134">
        <v>231.06</v>
      </c>
      <c r="I34" s="134" t="s">
        <v>71</v>
      </c>
      <c r="J34" s="134" t="s">
        <v>71</v>
      </c>
      <c r="K34" s="134" t="s">
        <v>71</v>
      </c>
      <c r="L34" s="135">
        <v>1</v>
      </c>
      <c r="M34" s="135">
        <v>46162.803055555552</v>
      </c>
    </row>
    <row r="35" spans="2:13">
      <c r="B35" s="134" t="s">
        <v>243</v>
      </c>
      <c r="C35" s="134" t="s">
        <v>70</v>
      </c>
      <c r="D35" s="134">
        <v>0</v>
      </c>
      <c r="E35" s="159">
        <v>6.6429999999999998</v>
      </c>
      <c r="F35" s="136">
        <v>159943</v>
      </c>
      <c r="G35" s="134">
        <v>2.57</v>
      </c>
      <c r="H35" s="134">
        <v>232.19</v>
      </c>
      <c r="I35" s="134" t="s">
        <v>71</v>
      </c>
      <c r="J35" s="134" t="s">
        <v>71</v>
      </c>
      <c r="K35" s="134" t="s">
        <v>71</v>
      </c>
      <c r="L35" s="135">
        <v>1</v>
      </c>
      <c r="M35" s="135">
        <v>46162.813773148147</v>
      </c>
    </row>
    <row r="36" spans="2:13">
      <c r="B36" s="134" t="s">
        <v>244</v>
      </c>
      <c r="C36" s="134" t="s">
        <v>70</v>
      </c>
      <c r="D36" s="134">
        <v>0</v>
      </c>
      <c r="E36" s="159">
        <v>6.6509999999999998</v>
      </c>
      <c r="F36" s="136">
        <v>159464</v>
      </c>
      <c r="G36" s="134">
        <v>2.56</v>
      </c>
      <c r="H36" s="134">
        <v>211.48</v>
      </c>
      <c r="I36" s="134" t="s">
        <v>71</v>
      </c>
      <c r="J36" s="134" t="s">
        <v>71</v>
      </c>
      <c r="K36" s="134" t="s">
        <v>71</v>
      </c>
      <c r="L36" s="135">
        <v>1</v>
      </c>
      <c r="M36" s="135">
        <v>46162.824490740742</v>
      </c>
    </row>
    <row r="37" spans="2:13">
      <c r="B37" s="134" t="s">
        <v>245</v>
      </c>
      <c r="C37" s="134" t="s">
        <v>70</v>
      </c>
      <c r="D37" s="134">
        <v>0</v>
      </c>
      <c r="E37" s="159">
        <v>6.6479999999999997</v>
      </c>
      <c r="F37" s="136">
        <v>159340</v>
      </c>
      <c r="G37" s="134">
        <v>2.56</v>
      </c>
      <c r="H37" s="134">
        <v>189.44</v>
      </c>
      <c r="I37" s="134" t="s">
        <v>71</v>
      </c>
      <c r="J37" s="134" t="s">
        <v>71</v>
      </c>
      <c r="K37" s="134" t="s">
        <v>71</v>
      </c>
      <c r="L37" s="135">
        <v>1</v>
      </c>
      <c r="M37" s="135">
        <v>46162.83520833333</v>
      </c>
    </row>
    <row r="38" spans="2:13" s="53" customFormat="1">
      <c r="B38" s="53" t="s">
        <v>246</v>
      </c>
      <c r="C38" s="53" t="s">
        <v>70</v>
      </c>
      <c r="D38" s="53">
        <v>0</v>
      </c>
      <c r="E38" s="160">
        <v>6.6479999999999997</v>
      </c>
      <c r="F38" s="78">
        <v>1581130</v>
      </c>
      <c r="G38" s="53">
        <v>25.87</v>
      </c>
      <c r="H38" s="53">
        <v>807.93</v>
      </c>
      <c r="I38" s="53" t="s">
        <v>71</v>
      </c>
      <c r="J38" s="53" t="s">
        <v>71</v>
      </c>
      <c r="K38" s="53" t="s">
        <v>71</v>
      </c>
      <c r="L38" s="107">
        <v>1</v>
      </c>
      <c r="M38" s="107">
        <v>46162.845949074072</v>
      </c>
    </row>
    <row r="39" spans="2:13">
      <c r="B39" s="134" t="s">
        <v>247</v>
      </c>
      <c r="C39" s="134" t="s">
        <v>70</v>
      </c>
      <c r="D39" s="134">
        <v>0</v>
      </c>
      <c r="E39" s="159">
        <v>6.65</v>
      </c>
      <c r="F39" s="136">
        <v>1552958</v>
      </c>
      <c r="G39" s="53">
        <v>25.41</v>
      </c>
      <c r="H39" s="134">
        <v>786.48</v>
      </c>
      <c r="I39" s="134" t="s">
        <v>71</v>
      </c>
      <c r="J39" s="134" t="s">
        <v>71</v>
      </c>
      <c r="K39" s="134" t="s">
        <v>71</v>
      </c>
      <c r="L39" s="135">
        <v>1</v>
      </c>
      <c r="M39" s="135">
        <v>46162.856666666667</v>
      </c>
    </row>
    <row r="40" spans="2:13">
      <c r="B40" s="134" t="s">
        <v>248</v>
      </c>
      <c r="C40" s="134" t="s">
        <v>70</v>
      </c>
      <c r="D40" s="134">
        <v>0</v>
      </c>
      <c r="E40" s="159" t="s">
        <v>71</v>
      </c>
      <c r="F40" s="136" t="s">
        <v>71</v>
      </c>
      <c r="G40" s="134" t="s">
        <v>71</v>
      </c>
      <c r="H40" s="134" t="s">
        <v>71</v>
      </c>
      <c r="I40" s="134" t="s">
        <v>71</v>
      </c>
      <c r="J40" s="134" t="s">
        <v>71</v>
      </c>
      <c r="K40" s="134" t="s">
        <v>71</v>
      </c>
      <c r="L40" s="135">
        <v>1</v>
      </c>
      <c r="M40" s="135">
        <v>46162.867395833331</v>
      </c>
    </row>
    <row r="41" spans="2:13" s="53" customFormat="1">
      <c r="B41" s="53" t="s">
        <v>249</v>
      </c>
      <c r="C41" s="53" t="s">
        <v>70</v>
      </c>
      <c r="D41" s="53">
        <v>0</v>
      </c>
      <c r="E41" s="160" t="s">
        <v>71</v>
      </c>
      <c r="F41" s="53" t="s">
        <v>71</v>
      </c>
      <c r="G41" s="53" t="s">
        <v>71</v>
      </c>
      <c r="H41" s="53" t="s">
        <v>71</v>
      </c>
      <c r="I41" s="53" t="s">
        <v>71</v>
      </c>
      <c r="J41" s="53" t="s">
        <v>71</v>
      </c>
      <c r="K41" s="53" t="s">
        <v>71</v>
      </c>
      <c r="L41" s="107">
        <v>1</v>
      </c>
      <c r="M41" s="107">
        <v>46162.878125000003</v>
      </c>
    </row>
    <row r="42" spans="2:13" s="53" customFormat="1">
      <c r="B42" s="53" t="s">
        <v>250</v>
      </c>
      <c r="C42" s="53" t="s">
        <v>70</v>
      </c>
      <c r="D42" s="53">
        <v>0</v>
      </c>
      <c r="E42" s="160" t="s">
        <v>71</v>
      </c>
      <c r="F42" s="78" t="s">
        <v>71</v>
      </c>
      <c r="G42" s="53" t="s">
        <v>71</v>
      </c>
      <c r="H42" s="53" t="s">
        <v>71</v>
      </c>
      <c r="I42" s="53" t="s">
        <v>71</v>
      </c>
      <c r="J42" s="53" t="s">
        <v>71</v>
      </c>
      <c r="K42" s="53" t="s">
        <v>71</v>
      </c>
      <c r="L42" s="107">
        <v>1</v>
      </c>
      <c r="M42" s="107">
        <v>46162.888842592591</v>
      </c>
    </row>
    <row r="43" spans="2:13" s="53" customFormat="1">
      <c r="B43" s="53" t="s">
        <v>251</v>
      </c>
      <c r="C43" s="53" t="s">
        <v>70</v>
      </c>
      <c r="D43" s="53">
        <v>0</v>
      </c>
      <c r="E43" s="160" t="s">
        <v>71</v>
      </c>
      <c r="F43" s="78" t="s">
        <v>71</v>
      </c>
      <c r="G43" s="53" t="s">
        <v>71</v>
      </c>
      <c r="H43" s="53" t="s">
        <v>71</v>
      </c>
      <c r="I43" s="53" t="s">
        <v>71</v>
      </c>
      <c r="J43" s="53" t="s">
        <v>71</v>
      </c>
      <c r="K43" s="53" t="s">
        <v>71</v>
      </c>
      <c r="L43" s="107">
        <v>1</v>
      </c>
      <c r="M43" s="107">
        <v>46162.899560185186</v>
      </c>
    </row>
    <row r="44" spans="2:13" s="53" customFormat="1">
      <c r="B44" s="53" t="s">
        <v>252</v>
      </c>
      <c r="C44" s="53" t="s">
        <v>70</v>
      </c>
      <c r="D44" s="53">
        <v>0</v>
      </c>
      <c r="E44" s="160">
        <v>6.6520000000000001</v>
      </c>
      <c r="F44" s="78">
        <v>159463</v>
      </c>
      <c r="G44" s="53">
        <v>2.56</v>
      </c>
      <c r="H44" s="53">
        <v>133.88</v>
      </c>
      <c r="I44" s="53" t="s">
        <v>71</v>
      </c>
      <c r="J44" s="53" t="s">
        <v>71</v>
      </c>
      <c r="K44" s="53" t="s">
        <v>71</v>
      </c>
      <c r="L44" s="107">
        <v>1</v>
      </c>
      <c r="M44" s="107">
        <v>46162.910277777781</v>
      </c>
    </row>
    <row r="45" spans="2:13" s="53" customFormat="1">
      <c r="B45" s="53" t="s">
        <v>253</v>
      </c>
      <c r="C45" s="53" t="s">
        <v>70</v>
      </c>
      <c r="D45" s="53">
        <v>0</v>
      </c>
      <c r="E45" s="160">
        <v>6.6509999999999998</v>
      </c>
      <c r="F45" s="78">
        <v>159715</v>
      </c>
      <c r="G45" s="53">
        <v>2.56</v>
      </c>
      <c r="H45" s="53">
        <v>169.02</v>
      </c>
      <c r="I45" s="53" t="s">
        <v>71</v>
      </c>
      <c r="J45" s="53" t="s">
        <v>71</v>
      </c>
      <c r="K45" s="53" t="s">
        <v>71</v>
      </c>
      <c r="L45" s="107">
        <v>1</v>
      </c>
      <c r="M45" s="107">
        <v>46162.921006944445</v>
      </c>
    </row>
    <row r="46" spans="2:13" s="53" customFormat="1">
      <c r="B46" s="53" t="s">
        <v>254</v>
      </c>
      <c r="C46" s="53" t="s">
        <v>70</v>
      </c>
      <c r="D46" s="53">
        <v>0</v>
      </c>
      <c r="E46" s="160">
        <v>6.649</v>
      </c>
      <c r="F46" s="78">
        <v>158384</v>
      </c>
      <c r="G46" s="53">
        <v>2.54</v>
      </c>
      <c r="H46" s="53">
        <v>135.12</v>
      </c>
      <c r="I46" s="53" t="s">
        <v>71</v>
      </c>
      <c r="J46" s="53" t="s">
        <v>71</v>
      </c>
      <c r="K46" s="53" t="s">
        <v>71</v>
      </c>
      <c r="L46" s="107">
        <v>1</v>
      </c>
      <c r="M46" s="107">
        <v>46162.931759259256</v>
      </c>
    </row>
    <row r="47" spans="2:13">
      <c r="B47" s="134" t="s">
        <v>255</v>
      </c>
      <c r="C47" s="134" t="s">
        <v>70</v>
      </c>
      <c r="D47" s="134">
        <v>0</v>
      </c>
      <c r="E47" s="159" t="s">
        <v>71</v>
      </c>
      <c r="F47" s="136" t="s">
        <v>71</v>
      </c>
      <c r="G47" s="134" t="s">
        <v>71</v>
      </c>
      <c r="H47" s="134" t="s">
        <v>71</v>
      </c>
      <c r="I47" s="134" t="s">
        <v>71</v>
      </c>
      <c r="J47" s="134" t="s">
        <v>71</v>
      </c>
      <c r="K47" s="134" t="s">
        <v>71</v>
      </c>
      <c r="L47" s="135">
        <v>1</v>
      </c>
      <c r="M47" s="135">
        <v>46162.942465277774</v>
      </c>
    </row>
    <row r="48" spans="2:13" s="53" customFormat="1">
      <c r="B48" s="53" t="s">
        <v>256</v>
      </c>
      <c r="C48" s="53" t="s">
        <v>70</v>
      </c>
      <c r="D48" s="53">
        <v>0</v>
      </c>
      <c r="E48" s="160">
        <v>6.6520000000000001</v>
      </c>
      <c r="F48" s="78">
        <v>1579851</v>
      </c>
      <c r="G48" s="53">
        <v>25.85</v>
      </c>
      <c r="H48" s="53">
        <v>950.8</v>
      </c>
      <c r="I48" s="53" t="s">
        <v>71</v>
      </c>
      <c r="J48" s="53" t="s">
        <v>71</v>
      </c>
      <c r="K48" s="53" t="s">
        <v>71</v>
      </c>
      <c r="L48" s="107">
        <v>1</v>
      </c>
      <c r="M48" s="107">
        <v>46162.953182870369</v>
      </c>
    </row>
    <row r="49" spans="2:13" s="53" customFormat="1">
      <c r="B49" s="53" t="s">
        <v>257</v>
      </c>
      <c r="C49" s="53" t="s">
        <v>70</v>
      </c>
      <c r="D49" s="53">
        <v>0</v>
      </c>
      <c r="E49" s="160">
        <v>6.6539999999999999</v>
      </c>
      <c r="F49" s="78">
        <v>1565401</v>
      </c>
      <c r="G49" s="53">
        <v>25.61</v>
      </c>
      <c r="H49" s="53">
        <v>797.89</v>
      </c>
      <c r="I49" s="53" t="s">
        <v>71</v>
      </c>
      <c r="J49" s="53" t="s">
        <v>71</v>
      </c>
      <c r="K49" s="53" t="s">
        <v>71</v>
      </c>
      <c r="L49" s="107">
        <v>1</v>
      </c>
      <c r="M49" s="107">
        <v>46162.963888888888</v>
      </c>
    </row>
    <row r="50" spans="2:13" s="53" customFormat="1">
      <c r="B50" s="53" t="s">
        <v>258</v>
      </c>
      <c r="C50" s="53" t="s">
        <v>70</v>
      </c>
      <c r="D50" s="53">
        <v>0</v>
      </c>
      <c r="E50" s="160">
        <v>6.6509999999999998</v>
      </c>
      <c r="F50" s="78">
        <v>1575384</v>
      </c>
      <c r="G50" s="53">
        <v>25.78</v>
      </c>
      <c r="H50" s="53">
        <v>638.69000000000005</v>
      </c>
      <c r="I50" s="53" t="s">
        <v>71</v>
      </c>
      <c r="J50" s="53" t="s">
        <v>71</v>
      </c>
      <c r="K50" s="53" t="s">
        <v>71</v>
      </c>
      <c r="L50" s="107">
        <v>1</v>
      </c>
      <c r="M50" s="107">
        <v>46162.974629629629</v>
      </c>
    </row>
    <row r="51" spans="2:13">
      <c r="B51" s="134" t="s">
        <v>259</v>
      </c>
      <c r="C51" s="134" t="s">
        <v>70</v>
      </c>
      <c r="D51" s="134">
        <v>0</v>
      </c>
      <c r="E51" s="159">
        <v>6.6509999999999998</v>
      </c>
      <c r="F51" s="136">
        <v>1557578</v>
      </c>
      <c r="G51" s="134">
        <v>25.48</v>
      </c>
      <c r="H51" s="134">
        <v>717.63</v>
      </c>
      <c r="I51" s="134" t="s">
        <v>71</v>
      </c>
      <c r="J51" s="134" t="s">
        <v>71</v>
      </c>
      <c r="K51" s="134" t="s">
        <v>71</v>
      </c>
      <c r="L51" s="135">
        <v>1</v>
      </c>
      <c r="M51" s="135">
        <v>46162.985335648147</v>
      </c>
    </row>
    <row r="52" spans="2:13">
      <c r="B52" s="134" t="s">
        <v>260</v>
      </c>
      <c r="C52" s="134" t="s">
        <v>70</v>
      </c>
      <c r="D52" s="134">
        <v>0</v>
      </c>
      <c r="E52" s="159">
        <v>6.6520000000000001</v>
      </c>
      <c r="F52" s="136">
        <v>1576255</v>
      </c>
      <c r="G52" s="134">
        <v>25.79</v>
      </c>
      <c r="H52" s="134">
        <v>821.77</v>
      </c>
      <c r="I52" s="134" t="s">
        <v>71</v>
      </c>
      <c r="J52" s="134" t="s">
        <v>71</v>
      </c>
      <c r="K52" s="134" t="s">
        <v>71</v>
      </c>
      <c r="L52" s="135">
        <v>1</v>
      </c>
      <c r="M52" s="135">
        <v>46162.996099537035</v>
      </c>
    </row>
    <row r="53" spans="2:13">
      <c r="B53" s="134" t="s">
        <v>261</v>
      </c>
      <c r="C53" s="134" t="s">
        <v>70</v>
      </c>
      <c r="D53" s="134">
        <v>0</v>
      </c>
      <c r="E53" s="159">
        <v>6.649</v>
      </c>
      <c r="F53" s="136">
        <v>1569074</v>
      </c>
      <c r="G53" s="134">
        <v>25.67</v>
      </c>
      <c r="H53" s="134">
        <v>839.05</v>
      </c>
      <c r="I53" s="134" t="s">
        <v>71</v>
      </c>
      <c r="J53" s="134" t="s">
        <v>71</v>
      </c>
      <c r="K53" s="134" t="s">
        <v>71</v>
      </c>
      <c r="L53" s="135">
        <v>1</v>
      </c>
      <c r="M53" s="135">
        <v>46163.006828703707</v>
      </c>
    </row>
    <row r="54" spans="2:13">
      <c r="B54" s="134" t="s">
        <v>262</v>
      </c>
      <c r="C54" s="134" t="s">
        <v>70</v>
      </c>
      <c r="D54" s="134">
        <v>0</v>
      </c>
      <c r="E54" s="159" t="s">
        <v>71</v>
      </c>
      <c r="F54" s="136" t="s">
        <v>71</v>
      </c>
      <c r="G54" s="134" t="s">
        <v>71</v>
      </c>
      <c r="H54" s="134" t="s">
        <v>71</v>
      </c>
      <c r="I54" s="134" t="s">
        <v>71</v>
      </c>
      <c r="J54" s="134" t="s">
        <v>71</v>
      </c>
      <c r="K54" s="134" t="s">
        <v>71</v>
      </c>
      <c r="L54" s="135">
        <v>1</v>
      </c>
      <c r="M54" s="135">
        <v>46163.017557870371</v>
      </c>
    </row>
    <row r="55" spans="2:13" s="53" customFormat="1">
      <c r="B55" s="53" t="s">
        <v>263</v>
      </c>
      <c r="C55" s="53" t="s">
        <v>70</v>
      </c>
      <c r="D55" s="53">
        <v>0</v>
      </c>
      <c r="E55" s="160">
        <v>6.65</v>
      </c>
      <c r="F55" s="78">
        <v>2355183</v>
      </c>
      <c r="G55" s="53">
        <v>38.56</v>
      </c>
      <c r="H55" s="129">
        <v>1017.2</v>
      </c>
      <c r="I55" s="53" t="s">
        <v>71</v>
      </c>
      <c r="J55" s="53" t="s">
        <v>71</v>
      </c>
      <c r="K55" s="53" t="s">
        <v>71</v>
      </c>
      <c r="L55" s="107">
        <v>1</v>
      </c>
      <c r="M55" s="107">
        <v>46163.028287037036</v>
      </c>
    </row>
    <row r="56" spans="2:13" s="53" customFormat="1">
      <c r="B56" s="53" t="s">
        <v>264</v>
      </c>
      <c r="C56" s="53" t="s">
        <v>70</v>
      </c>
      <c r="D56" s="53">
        <v>0</v>
      </c>
      <c r="E56" s="160">
        <v>6.649</v>
      </c>
      <c r="F56" s="78">
        <v>2366572</v>
      </c>
      <c r="G56" s="53">
        <v>38.75</v>
      </c>
      <c r="H56" s="53">
        <v>954.88</v>
      </c>
      <c r="I56" s="53" t="s">
        <v>71</v>
      </c>
      <c r="J56" s="53" t="s">
        <v>71</v>
      </c>
      <c r="K56" s="53" t="s">
        <v>71</v>
      </c>
      <c r="L56" s="107">
        <v>1</v>
      </c>
      <c r="M56" s="107">
        <v>46163.038993055554</v>
      </c>
    </row>
    <row r="57" spans="2:13" s="53" customFormat="1">
      <c r="B57" s="53" t="s">
        <v>265</v>
      </c>
      <c r="C57" s="53" t="s">
        <v>70</v>
      </c>
      <c r="D57" s="53">
        <v>0</v>
      </c>
      <c r="E57" s="160">
        <v>6.6509999999999998</v>
      </c>
      <c r="F57" s="78">
        <v>2359244</v>
      </c>
      <c r="G57" s="53">
        <v>38.630000000000003</v>
      </c>
      <c r="H57" s="53">
        <v>875.63</v>
      </c>
      <c r="I57" s="53" t="s">
        <v>71</v>
      </c>
      <c r="J57" s="53" t="s">
        <v>71</v>
      </c>
      <c r="K57" s="53" t="s">
        <v>71</v>
      </c>
      <c r="L57" s="107">
        <v>1</v>
      </c>
      <c r="M57" s="107">
        <v>46163.049722222226</v>
      </c>
    </row>
    <row r="58" spans="2:13">
      <c r="B58" s="134" t="s">
        <v>266</v>
      </c>
      <c r="C58" s="134" t="s">
        <v>70</v>
      </c>
      <c r="D58" s="134">
        <v>0</v>
      </c>
      <c r="E58" s="159" t="s">
        <v>71</v>
      </c>
      <c r="F58" s="136" t="s">
        <v>71</v>
      </c>
      <c r="G58" s="134" t="s">
        <v>71</v>
      </c>
      <c r="H58" s="134" t="s">
        <v>71</v>
      </c>
      <c r="I58" s="134" t="s">
        <v>71</v>
      </c>
      <c r="J58" s="134" t="s">
        <v>71</v>
      </c>
      <c r="K58" s="134" t="s">
        <v>71</v>
      </c>
      <c r="L58" s="135">
        <v>1</v>
      </c>
      <c r="M58" s="135">
        <v>46163.06045138889</v>
      </c>
    </row>
    <row r="59" spans="2:13" s="53" customFormat="1">
      <c r="B59" s="53" t="s">
        <v>267</v>
      </c>
      <c r="C59" s="53" t="s">
        <v>70</v>
      </c>
      <c r="D59" s="53">
        <v>0</v>
      </c>
      <c r="E59" s="160">
        <v>6.6559999999999997</v>
      </c>
      <c r="F59" s="78">
        <v>1582338</v>
      </c>
      <c r="G59" s="53">
        <v>25.89</v>
      </c>
      <c r="H59" s="53">
        <v>777.59</v>
      </c>
      <c r="I59" s="53" t="s">
        <v>71</v>
      </c>
      <c r="J59" s="53" t="s">
        <v>71</v>
      </c>
      <c r="K59" s="53" t="s">
        <v>71</v>
      </c>
      <c r="L59" s="107">
        <v>1</v>
      </c>
      <c r="M59" s="107">
        <v>46163.071203703701</v>
      </c>
    </row>
    <row r="60" spans="2:13">
      <c r="B60" s="134" t="s">
        <v>268</v>
      </c>
      <c r="C60" s="134" t="s">
        <v>70</v>
      </c>
      <c r="D60" s="134">
        <v>0</v>
      </c>
      <c r="E60" s="159">
        <v>6.6550000000000002</v>
      </c>
      <c r="F60" s="136">
        <v>1576487</v>
      </c>
      <c r="G60" s="53">
        <v>25.79</v>
      </c>
      <c r="H60" s="134">
        <v>787.88</v>
      </c>
      <c r="I60" s="134" t="s">
        <v>71</v>
      </c>
      <c r="J60" s="134" t="s">
        <v>71</v>
      </c>
      <c r="K60" s="134" t="s">
        <v>71</v>
      </c>
      <c r="L60" s="135">
        <v>1</v>
      </c>
      <c r="M60" s="135">
        <v>46163.081944444442</v>
      </c>
    </row>
    <row r="61" spans="2:13">
      <c r="B61" s="134" t="s">
        <v>269</v>
      </c>
      <c r="C61" s="134" t="s">
        <v>70</v>
      </c>
      <c r="D61" s="134">
        <v>0</v>
      </c>
      <c r="E61" s="159" t="s">
        <v>71</v>
      </c>
      <c r="F61" s="136" t="s">
        <v>71</v>
      </c>
      <c r="G61" s="134" t="s">
        <v>71</v>
      </c>
      <c r="H61" s="134" t="s">
        <v>71</v>
      </c>
      <c r="I61" s="134" t="s">
        <v>71</v>
      </c>
      <c r="J61" s="134" t="s">
        <v>71</v>
      </c>
      <c r="K61" s="134" t="s">
        <v>71</v>
      </c>
      <c r="L61" s="135">
        <v>1</v>
      </c>
      <c r="M61" s="135">
        <v>46163.092673611114</v>
      </c>
    </row>
    <row r="62" spans="2:13">
      <c r="B62" s="134" t="s">
        <v>270</v>
      </c>
      <c r="C62" s="134" t="s">
        <v>70</v>
      </c>
      <c r="D62" s="134">
        <v>0</v>
      </c>
      <c r="E62" s="159" t="s">
        <v>71</v>
      </c>
      <c r="F62" s="136" t="s">
        <v>71</v>
      </c>
      <c r="G62" s="134" t="s">
        <v>71</v>
      </c>
      <c r="H62" s="134" t="s">
        <v>71</v>
      </c>
      <c r="I62" s="134" t="s">
        <v>71</v>
      </c>
      <c r="J62" s="134" t="s">
        <v>71</v>
      </c>
      <c r="K62" s="134" t="s">
        <v>71</v>
      </c>
      <c r="L62" s="135">
        <v>1</v>
      </c>
      <c r="M62" s="135">
        <v>46163.134652777779</v>
      </c>
    </row>
    <row r="63" spans="2:13">
      <c r="B63" s="134" t="s">
        <v>271</v>
      </c>
      <c r="C63" s="134" t="s">
        <v>70</v>
      </c>
      <c r="D63" s="134">
        <v>0</v>
      </c>
      <c r="E63" s="159" t="s">
        <v>71</v>
      </c>
      <c r="F63" s="136" t="s">
        <v>71</v>
      </c>
      <c r="G63" s="134" t="s">
        <v>71</v>
      </c>
      <c r="H63" s="134" t="s">
        <v>71</v>
      </c>
      <c r="I63" s="134" t="s">
        <v>71</v>
      </c>
      <c r="J63" s="134" t="s">
        <v>71</v>
      </c>
      <c r="K63" s="134" t="s">
        <v>71</v>
      </c>
      <c r="L63" s="135">
        <v>1</v>
      </c>
      <c r="M63" s="135">
        <v>46163.176631944443</v>
      </c>
    </row>
    <row r="64" spans="2:13" s="53" customFormat="1">
      <c r="B64" s="53" t="s">
        <v>272</v>
      </c>
      <c r="C64" s="53" t="s">
        <v>70</v>
      </c>
      <c r="D64" s="53">
        <v>0</v>
      </c>
      <c r="E64" s="160">
        <v>6.6619999999999999</v>
      </c>
      <c r="F64" s="78">
        <v>1534629</v>
      </c>
      <c r="G64" s="53">
        <v>25.11</v>
      </c>
      <c r="H64" s="53">
        <v>697.79</v>
      </c>
      <c r="I64" s="53" t="s">
        <v>71</v>
      </c>
      <c r="J64" s="53" t="s">
        <v>71</v>
      </c>
      <c r="K64" s="53" t="s">
        <v>71</v>
      </c>
      <c r="L64" s="107">
        <v>1</v>
      </c>
      <c r="M64" s="107">
        <v>46163.218599537038</v>
      </c>
    </row>
    <row r="65" spans="1:13">
      <c r="B65" s="134" t="s">
        <v>273</v>
      </c>
      <c r="C65" s="134" t="s">
        <v>70</v>
      </c>
      <c r="D65" s="134">
        <v>0</v>
      </c>
      <c r="E65" s="159">
        <v>6.6520000000000001</v>
      </c>
      <c r="F65" s="136">
        <v>1586761</v>
      </c>
      <c r="G65" s="53">
        <v>25.96</v>
      </c>
      <c r="H65" s="134">
        <v>796.03</v>
      </c>
      <c r="I65" s="134" t="s">
        <v>71</v>
      </c>
      <c r="J65" s="134" t="s">
        <v>71</v>
      </c>
      <c r="K65" s="134" t="s">
        <v>71</v>
      </c>
      <c r="L65" s="135">
        <v>1</v>
      </c>
      <c r="M65" s="135">
        <v>46163.229317129626</v>
      </c>
    </row>
    <row r="66" spans="1:13">
      <c r="B66" s="134" t="s">
        <v>274</v>
      </c>
      <c r="C66" s="134" t="s">
        <v>70</v>
      </c>
      <c r="D66" s="134">
        <v>0</v>
      </c>
      <c r="E66" s="159" t="s">
        <v>71</v>
      </c>
      <c r="F66" s="136" t="s">
        <v>71</v>
      </c>
      <c r="G66" s="134" t="s">
        <v>71</v>
      </c>
      <c r="H66" s="134" t="s">
        <v>71</v>
      </c>
      <c r="I66" s="134" t="s">
        <v>71</v>
      </c>
      <c r="J66" s="134" t="s">
        <v>71</v>
      </c>
      <c r="K66" s="134" t="s">
        <v>71</v>
      </c>
      <c r="L66" s="135">
        <v>1</v>
      </c>
      <c r="M66" s="135">
        <v>46163.240046296298</v>
      </c>
    </row>
    <row r="67" spans="1:13">
      <c r="B67" s="134" t="s">
        <v>275</v>
      </c>
      <c r="C67" s="134" t="s">
        <v>70</v>
      </c>
      <c r="D67" s="134">
        <v>0</v>
      </c>
      <c r="E67" s="159" t="s">
        <v>71</v>
      </c>
      <c r="F67" s="136" t="s">
        <v>71</v>
      </c>
      <c r="G67" s="134" t="s">
        <v>71</v>
      </c>
      <c r="H67" s="134" t="s">
        <v>71</v>
      </c>
      <c r="I67" s="134" t="s">
        <v>71</v>
      </c>
      <c r="J67" s="134" t="s">
        <v>71</v>
      </c>
      <c r="K67" s="134" t="s">
        <v>71</v>
      </c>
      <c r="L67" s="135">
        <v>1</v>
      </c>
      <c r="M67" s="135">
        <v>46163.282025462962</v>
      </c>
    </row>
    <row r="68" spans="1:13">
      <c r="B68" s="134" t="s">
        <v>276</v>
      </c>
      <c r="C68" s="134" t="s">
        <v>70</v>
      </c>
      <c r="D68" s="134">
        <v>0</v>
      </c>
      <c r="E68" s="159" t="s">
        <v>71</v>
      </c>
      <c r="F68" s="134" t="s">
        <v>71</v>
      </c>
      <c r="G68" s="134" t="s">
        <v>71</v>
      </c>
      <c r="H68" s="134" t="s">
        <v>71</v>
      </c>
      <c r="I68" s="134" t="s">
        <v>71</v>
      </c>
      <c r="J68" s="134" t="s">
        <v>71</v>
      </c>
      <c r="K68" s="134" t="s">
        <v>71</v>
      </c>
      <c r="L68" s="135">
        <v>1</v>
      </c>
      <c r="M68" s="135">
        <v>46163.324004629627</v>
      </c>
    </row>
    <row r="69" spans="1:13" s="53" customFormat="1">
      <c r="B69" s="53" t="s">
        <v>277</v>
      </c>
      <c r="C69" s="53" t="s">
        <v>70</v>
      </c>
      <c r="D69" s="53">
        <v>0</v>
      </c>
      <c r="E69" s="160">
        <v>6.67</v>
      </c>
      <c r="F69" s="78">
        <v>1585497</v>
      </c>
      <c r="G69" s="53">
        <v>25.94</v>
      </c>
      <c r="H69" s="53">
        <v>838.85</v>
      </c>
      <c r="I69" s="53" t="s">
        <v>71</v>
      </c>
      <c r="J69" s="53" t="s">
        <v>71</v>
      </c>
      <c r="K69" s="53" t="s">
        <v>71</v>
      </c>
      <c r="L69" s="107">
        <v>1</v>
      </c>
      <c r="M69" s="107">
        <v>46163.365972222222</v>
      </c>
    </row>
    <row r="70" spans="1:13">
      <c r="B70" s="134" t="s">
        <v>278</v>
      </c>
      <c r="C70" s="134" t="s">
        <v>70</v>
      </c>
      <c r="D70" s="134">
        <v>0</v>
      </c>
      <c r="E70" s="159">
        <v>6.6609999999999996</v>
      </c>
      <c r="F70" s="136">
        <v>1604431</v>
      </c>
      <c r="G70" s="53">
        <v>26.25</v>
      </c>
      <c r="H70" s="134">
        <v>712.79</v>
      </c>
      <c r="I70" s="134" t="s">
        <v>71</v>
      </c>
      <c r="J70" s="134" t="s">
        <v>71</v>
      </c>
      <c r="K70" s="134" t="s">
        <v>71</v>
      </c>
      <c r="L70" s="135">
        <v>1</v>
      </c>
      <c r="M70" s="135">
        <v>46163.376736111109</v>
      </c>
    </row>
    <row r="71" spans="1:13">
      <c r="F71" s="136"/>
      <c r="L71" s="135"/>
      <c r="M71" s="135"/>
    </row>
    <row r="72" spans="1:13">
      <c r="F72" s="136"/>
      <c r="L72" s="135"/>
    </row>
    <row r="73" spans="1:13">
      <c r="F73" s="136"/>
      <c r="L73" s="135"/>
    </row>
    <row r="74" spans="1:13">
      <c r="A74" s="134" t="s">
        <v>279</v>
      </c>
      <c r="B74" s="134" t="s">
        <v>59</v>
      </c>
      <c r="C74" s="134" t="s">
        <v>60</v>
      </c>
      <c r="D74" s="134" t="s">
        <v>61</v>
      </c>
      <c r="E74" s="159" t="s">
        <v>62</v>
      </c>
      <c r="F74" s="134" t="s">
        <v>63</v>
      </c>
      <c r="G74" s="134" t="s">
        <v>64</v>
      </c>
      <c r="H74" s="134" t="s">
        <v>65</v>
      </c>
      <c r="I74" s="134" t="s">
        <v>66</v>
      </c>
      <c r="J74" s="134" t="s">
        <v>67</v>
      </c>
      <c r="K74" s="134" t="s">
        <v>68</v>
      </c>
      <c r="L74" s="134" t="s">
        <v>280</v>
      </c>
      <c r="M74" s="134" t="s">
        <v>281</v>
      </c>
    </row>
    <row r="75" spans="1:13">
      <c r="B75" s="134" t="s">
        <v>69</v>
      </c>
      <c r="C75" s="134" t="s">
        <v>70</v>
      </c>
      <c r="D75" s="134">
        <v>0</v>
      </c>
      <c r="E75" s="159" t="s">
        <v>71</v>
      </c>
      <c r="F75" s="134" t="s">
        <v>71</v>
      </c>
      <c r="G75" s="134" t="s">
        <v>71</v>
      </c>
      <c r="H75" s="134" t="s">
        <v>71</v>
      </c>
      <c r="I75" s="134" t="s">
        <v>71</v>
      </c>
      <c r="J75" s="134" t="s">
        <v>71</v>
      </c>
      <c r="K75" s="134" t="s">
        <v>71</v>
      </c>
      <c r="L75" s="134">
        <v>0</v>
      </c>
      <c r="M75" s="135">
        <v>46162.449004629627</v>
      </c>
    </row>
    <row r="76" spans="1:13">
      <c r="B76" s="134" t="s">
        <v>72</v>
      </c>
      <c r="C76" s="134" t="s">
        <v>70</v>
      </c>
      <c r="D76" s="134">
        <v>0</v>
      </c>
      <c r="E76" s="159" t="s">
        <v>71</v>
      </c>
      <c r="F76" s="134" t="s">
        <v>71</v>
      </c>
      <c r="G76" s="134" t="s">
        <v>71</v>
      </c>
      <c r="H76" s="134" t="s">
        <v>71</v>
      </c>
      <c r="I76" s="134" t="s">
        <v>71</v>
      </c>
      <c r="J76" s="134" t="s">
        <v>71</v>
      </c>
      <c r="K76" s="134" t="s">
        <v>71</v>
      </c>
      <c r="L76" s="134">
        <v>0</v>
      </c>
      <c r="M76" s="135">
        <v>46162.459745370368</v>
      </c>
    </row>
    <row r="77" spans="1:13">
      <c r="B77" s="134" t="s">
        <v>73</v>
      </c>
      <c r="C77" s="134" t="s">
        <v>70</v>
      </c>
      <c r="D77" s="134">
        <v>0</v>
      </c>
      <c r="E77" s="159" t="s">
        <v>71</v>
      </c>
      <c r="F77" s="134" t="s">
        <v>71</v>
      </c>
      <c r="G77" s="134" t="s">
        <v>71</v>
      </c>
      <c r="H77" s="134" t="s">
        <v>71</v>
      </c>
      <c r="I77" s="134" t="s">
        <v>71</v>
      </c>
      <c r="J77" s="134" t="s">
        <v>71</v>
      </c>
      <c r="K77" s="134" t="s">
        <v>71</v>
      </c>
      <c r="L77" s="134">
        <v>0</v>
      </c>
      <c r="M77" s="135">
        <v>46162.470486111109</v>
      </c>
    </row>
    <row r="78" spans="1:13">
      <c r="B78" s="134" t="s">
        <v>81</v>
      </c>
      <c r="C78" s="134" t="s">
        <v>70</v>
      </c>
      <c r="D78" s="134">
        <v>0</v>
      </c>
      <c r="E78" s="159" t="s">
        <v>71</v>
      </c>
      <c r="F78" s="134" t="s">
        <v>71</v>
      </c>
      <c r="G78" s="134" t="s">
        <v>71</v>
      </c>
      <c r="H78" s="134" t="s">
        <v>71</v>
      </c>
      <c r="I78" s="134" t="s">
        <v>71</v>
      </c>
      <c r="J78" s="134" t="s">
        <v>71</v>
      </c>
      <c r="K78" s="134" t="s">
        <v>71</v>
      </c>
      <c r="L78" s="134">
        <v>0</v>
      </c>
      <c r="M78" s="135">
        <v>46162.481203703705</v>
      </c>
    </row>
    <row r="79" spans="1:13">
      <c r="B79" s="134" t="s">
        <v>89</v>
      </c>
      <c r="C79" s="134" t="s">
        <v>70</v>
      </c>
      <c r="D79" s="134">
        <v>0</v>
      </c>
      <c r="E79" s="159" t="s">
        <v>71</v>
      </c>
      <c r="F79" s="134" t="s">
        <v>71</v>
      </c>
      <c r="G79" s="134" t="s">
        <v>71</v>
      </c>
      <c r="H79" s="134" t="s">
        <v>71</v>
      </c>
      <c r="I79" s="134" t="s">
        <v>71</v>
      </c>
      <c r="J79" s="134" t="s">
        <v>71</v>
      </c>
      <c r="K79" s="135" t="s">
        <v>71</v>
      </c>
      <c r="L79" s="134">
        <v>0</v>
      </c>
      <c r="M79" s="135">
        <v>46162.4919212963</v>
      </c>
    </row>
    <row r="80" spans="1:13">
      <c r="B80" s="134" t="s">
        <v>74</v>
      </c>
      <c r="C80" s="134" t="s">
        <v>70</v>
      </c>
      <c r="D80" s="134">
        <v>0</v>
      </c>
      <c r="E80" s="159">
        <v>7.3579999999999997</v>
      </c>
      <c r="F80" s="136">
        <v>150110</v>
      </c>
      <c r="G80" s="134">
        <v>1.22</v>
      </c>
      <c r="H80" s="134">
        <v>270.48</v>
      </c>
      <c r="I80" s="134" t="s">
        <v>71</v>
      </c>
      <c r="J80" s="134" t="s">
        <v>71</v>
      </c>
      <c r="K80" s="135" t="s">
        <v>71</v>
      </c>
      <c r="L80" s="134">
        <v>0</v>
      </c>
      <c r="M80" s="135">
        <v>46162.502638888887</v>
      </c>
    </row>
    <row r="81" spans="2:13">
      <c r="B81" s="134" t="s">
        <v>219</v>
      </c>
      <c r="C81" s="134" t="s">
        <v>70</v>
      </c>
      <c r="D81" s="134">
        <v>0</v>
      </c>
      <c r="E81" s="159">
        <v>7.3529999999999998</v>
      </c>
      <c r="F81" s="136">
        <v>3045826</v>
      </c>
      <c r="G81" s="134">
        <v>25.48</v>
      </c>
      <c r="H81" s="134">
        <v>879.74</v>
      </c>
      <c r="I81" s="134" t="s">
        <v>71</v>
      </c>
      <c r="J81" s="134" t="s">
        <v>71</v>
      </c>
      <c r="K81" s="135" t="s">
        <v>71</v>
      </c>
      <c r="L81" s="134">
        <v>1</v>
      </c>
      <c r="M81" s="135">
        <v>46162.513356481482</v>
      </c>
    </row>
    <row r="82" spans="2:13">
      <c r="B82" s="134" t="s">
        <v>220</v>
      </c>
      <c r="C82" s="134" t="s">
        <v>70</v>
      </c>
      <c r="D82" s="134">
        <v>0</v>
      </c>
      <c r="E82" s="159">
        <v>7.359</v>
      </c>
      <c r="F82" s="136">
        <v>3047952</v>
      </c>
      <c r="G82" s="134">
        <v>25.5</v>
      </c>
      <c r="H82" s="137">
        <v>1008.33</v>
      </c>
      <c r="I82" s="134" t="s">
        <v>71</v>
      </c>
      <c r="J82" s="134" t="s">
        <v>71</v>
      </c>
      <c r="K82" s="135" t="s">
        <v>71</v>
      </c>
      <c r="L82" s="134">
        <v>1</v>
      </c>
      <c r="M82" s="135">
        <v>46162.52412037037</v>
      </c>
    </row>
    <row r="83" spans="2:13">
      <c r="B83" s="134" t="s">
        <v>221</v>
      </c>
      <c r="C83" s="134" t="s">
        <v>70</v>
      </c>
      <c r="D83" s="134">
        <v>0</v>
      </c>
      <c r="E83" s="159">
        <v>7.3550000000000004</v>
      </c>
      <c r="F83" s="136">
        <v>3044076</v>
      </c>
      <c r="G83" s="134">
        <v>25.46</v>
      </c>
      <c r="H83" s="134">
        <v>981.79</v>
      </c>
      <c r="I83" s="134" t="s">
        <v>71</v>
      </c>
      <c r="J83" s="134" t="s">
        <v>71</v>
      </c>
      <c r="K83" s="135" t="s">
        <v>71</v>
      </c>
      <c r="L83" s="134">
        <v>1</v>
      </c>
      <c r="M83" s="135">
        <v>46162.534861111111</v>
      </c>
    </row>
    <row r="84" spans="2:13">
      <c r="B84" s="134" t="s">
        <v>222</v>
      </c>
      <c r="C84" s="134" t="s">
        <v>70</v>
      </c>
      <c r="D84" s="134">
        <v>0</v>
      </c>
      <c r="E84" s="159">
        <v>7.3559999999999999</v>
      </c>
      <c r="F84" s="136">
        <v>3041981</v>
      </c>
      <c r="G84" s="134">
        <v>25.45</v>
      </c>
      <c r="H84" s="134">
        <v>927.93</v>
      </c>
      <c r="I84" s="134" t="s">
        <v>71</v>
      </c>
      <c r="J84" s="134" t="s">
        <v>71</v>
      </c>
      <c r="K84" s="135" t="s">
        <v>71</v>
      </c>
      <c r="L84" s="134">
        <v>1</v>
      </c>
      <c r="M84" s="135">
        <v>46162.545567129629</v>
      </c>
    </row>
    <row r="85" spans="2:13">
      <c r="B85" s="134" t="s">
        <v>223</v>
      </c>
      <c r="C85" s="134" t="s">
        <v>70</v>
      </c>
      <c r="D85" s="134">
        <v>0</v>
      </c>
      <c r="E85" s="159">
        <v>7.3579999999999997</v>
      </c>
      <c r="F85" s="136">
        <v>3063681</v>
      </c>
      <c r="G85" s="134">
        <v>25.63</v>
      </c>
      <c r="H85" s="137">
        <v>1009.06</v>
      </c>
      <c r="I85" s="134" t="s">
        <v>71</v>
      </c>
      <c r="J85" s="134" t="s">
        <v>71</v>
      </c>
      <c r="K85" s="135" t="s">
        <v>71</v>
      </c>
      <c r="L85" s="134">
        <v>1</v>
      </c>
      <c r="M85" s="135">
        <v>46162.556307870371</v>
      </c>
    </row>
    <row r="86" spans="2:13">
      <c r="B86" s="134" t="s">
        <v>224</v>
      </c>
      <c r="C86" s="134" t="s">
        <v>70</v>
      </c>
      <c r="D86" s="134">
        <v>0</v>
      </c>
      <c r="E86" s="159">
        <v>7.3540000000000001</v>
      </c>
      <c r="F86" s="136">
        <v>3045932</v>
      </c>
      <c r="G86" s="134">
        <v>25.48</v>
      </c>
      <c r="H86" s="134">
        <v>960.17</v>
      </c>
      <c r="I86" s="134" t="s">
        <v>71</v>
      </c>
      <c r="J86" s="134" t="s">
        <v>71</v>
      </c>
      <c r="K86" s="135" t="s">
        <v>71</v>
      </c>
      <c r="L86" s="134">
        <v>1</v>
      </c>
      <c r="M86" s="135">
        <v>46162.567048611112</v>
      </c>
    </row>
    <row r="87" spans="2:13" s="53" customFormat="1">
      <c r="B87" s="53" t="s">
        <v>225</v>
      </c>
      <c r="C87" s="53" t="s">
        <v>70</v>
      </c>
      <c r="D87" s="53">
        <v>0</v>
      </c>
      <c r="E87" s="160">
        <v>7.3540000000000001</v>
      </c>
      <c r="F87" s="78">
        <v>3035681</v>
      </c>
      <c r="G87" s="53">
        <v>25.39</v>
      </c>
      <c r="H87" s="129">
        <v>1002.69</v>
      </c>
      <c r="I87" s="53" t="s">
        <v>71</v>
      </c>
      <c r="J87" s="53" t="s">
        <v>71</v>
      </c>
      <c r="K87" s="107" t="s">
        <v>71</v>
      </c>
      <c r="L87" s="53">
        <v>1</v>
      </c>
      <c r="M87" s="107">
        <v>46162.577766203707</v>
      </c>
    </row>
    <row r="88" spans="2:13" s="53" customFormat="1">
      <c r="B88" s="53" t="s">
        <v>226</v>
      </c>
      <c r="C88" s="53" t="s">
        <v>70</v>
      </c>
      <c r="D88" s="53">
        <v>0</v>
      </c>
      <c r="E88" s="160">
        <v>7.3550000000000004</v>
      </c>
      <c r="F88" s="78">
        <v>3302642</v>
      </c>
      <c r="G88" s="53">
        <v>27.63</v>
      </c>
      <c r="H88" s="129">
        <v>1026.83</v>
      </c>
      <c r="I88" s="53" t="s">
        <v>71</v>
      </c>
      <c r="J88" s="53" t="s">
        <v>71</v>
      </c>
      <c r="K88" s="107" t="s">
        <v>71</v>
      </c>
      <c r="L88" s="53">
        <v>1</v>
      </c>
      <c r="M88" s="107">
        <v>46162.588483796295</v>
      </c>
    </row>
    <row r="89" spans="2:13">
      <c r="B89" s="134" t="s">
        <v>227</v>
      </c>
      <c r="C89" s="134" t="s">
        <v>70</v>
      </c>
      <c r="D89" s="134">
        <v>0</v>
      </c>
      <c r="E89" s="159" t="s">
        <v>71</v>
      </c>
      <c r="F89" s="134" t="s">
        <v>71</v>
      </c>
      <c r="G89" s="134" t="s">
        <v>71</v>
      </c>
      <c r="H89" s="134" t="s">
        <v>71</v>
      </c>
      <c r="I89" s="134" t="s">
        <v>71</v>
      </c>
      <c r="J89" s="134" t="s">
        <v>71</v>
      </c>
      <c r="K89" s="135" t="s">
        <v>71</v>
      </c>
      <c r="L89" s="134">
        <v>1</v>
      </c>
      <c r="M89" s="135">
        <v>46162.599224537036</v>
      </c>
    </row>
    <row r="90" spans="2:13" s="53" customFormat="1">
      <c r="B90" s="53" t="s">
        <v>76</v>
      </c>
      <c r="C90" s="53" t="s">
        <v>77</v>
      </c>
      <c r="D90" s="53">
        <v>1</v>
      </c>
      <c r="E90" s="160">
        <v>7.3540000000000001</v>
      </c>
      <c r="F90" s="78">
        <v>310048</v>
      </c>
      <c r="G90" s="53">
        <v>2.56</v>
      </c>
      <c r="H90" s="53">
        <v>456.94</v>
      </c>
      <c r="I90" s="53">
        <v>2.56</v>
      </c>
      <c r="J90" s="53">
        <v>99.8</v>
      </c>
      <c r="K90" s="107">
        <v>1</v>
      </c>
      <c r="L90" s="53">
        <v>1</v>
      </c>
      <c r="M90" s="107">
        <v>46162.609953703701</v>
      </c>
    </row>
    <row r="91" spans="2:13" s="53" customFormat="1">
      <c r="B91" s="53" t="s">
        <v>78</v>
      </c>
      <c r="C91" s="53" t="s">
        <v>77</v>
      </c>
      <c r="D91" s="53">
        <v>2</v>
      </c>
      <c r="E91" s="160">
        <v>7.36</v>
      </c>
      <c r="F91" s="78">
        <v>1553302</v>
      </c>
      <c r="G91" s="53">
        <v>12.97</v>
      </c>
      <c r="H91" s="53">
        <v>749.37</v>
      </c>
      <c r="I91" s="53">
        <v>12.81</v>
      </c>
      <c r="J91" s="53">
        <v>101.3</v>
      </c>
      <c r="K91" s="107">
        <v>1</v>
      </c>
      <c r="L91" s="53">
        <v>1</v>
      </c>
      <c r="M91" s="107">
        <v>46162.620682870373</v>
      </c>
    </row>
    <row r="92" spans="2:13" s="53" customFormat="1">
      <c r="B92" s="53" t="s">
        <v>228</v>
      </c>
      <c r="C92" s="53" t="s">
        <v>77</v>
      </c>
      <c r="D92" s="53">
        <v>3</v>
      </c>
      <c r="E92" s="160">
        <v>7.3550000000000004</v>
      </c>
      <c r="F92" s="78">
        <v>3043807</v>
      </c>
      <c r="G92" s="53">
        <v>25.46</v>
      </c>
      <c r="H92" s="53">
        <v>966.07</v>
      </c>
      <c r="I92" s="53">
        <v>25.62</v>
      </c>
      <c r="J92" s="53">
        <v>99.4</v>
      </c>
      <c r="K92" s="107">
        <v>1</v>
      </c>
      <c r="L92" s="53">
        <v>1</v>
      </c>
      <c r="M92" s="107">
        <v>46162.631423611114</v>
      </c>
    </row>
    <row r="93" spans="2:13" s="53" customFormat="1">
      <c r="B93" s="53" t="s">
        <v>79</v>
      </c>
      <c r="C93" s="53" t="s">
        <v>77</v>
      </c>
      <c r="D93" s="53">
        <v>4</v>
      </c>
      <c r="E93" s="160">
        <v>7.3579999999999997</v>
      </c>
      <c r="F93" s="78">
        <v>4589359</v>
      </c>
      <c r="G93" s="53">
        <v>38.409999999999997</v>
      </c>
      <c r="H93" s="129">
        <v>1047.08</v>
      </c>
      <c r="I93" s="53">
        <v>38.44</v>
      </c>
      <c r="J93" s="53">
        <v>99.9</v>
      </c>
      <c r="K93" s="107">
        <v>1</v>
      </c>
      <c r="L93" s="53">
        <v>1</v>
      </c>
      <c r="M93" s="107">
        <v>46162.642152777778</v>
      </c>
    </row>
    <row r="94" spans="2:13" s="53" customFormat="1">
      <c r="B94" s="53" t="s">
        <v>80</v>
      </c>
      <c r="C94" s="53" t="s">
        <v>77</v>
      </c>
      <c r="D94" s="53">
        <v>5</v>
      </c>
      <c r="E94" s="160">
        <v>7.3559999999999999</v>
      </c>
      <c r="F94" s="78">
        <v>6096396</v>
      </c>
      <c r="G94" s="53">
        <v>51.04</v>
      </c>
      <c r="H94" s="129">
        <v>1000.98</v>
      </c>
      <c r="I94" s="53">
        <v>51.25</v>
      </c>
      <c r="J94" s="53">
        <v>99.6</v>
      </c>
      <c r="K94" s="107">
        <v>1</v>
      </c>
      <c r="L94" s="53">
        <v>1</v>
      </c>
      <c r="M94" s="107">
        <v>46162.65289351852</v>
      </c>
    </row>
    <row r="95" spans="2:13">
      <c r="B95" s="134" t="s">
        <v>229</v>
      </c>
      <c r="C95" s="134" t="s">
        <v>70</v>
      </c>
      <c r="D95" s="134">
        <v>0</v>
      </c>
      <c r="E95" s="159" t="s">
        <v>71</v>
      </c>
      <c r="F95" s="134" t="s">
        <v>71</v>
      </c>
      <c r="G95" s="134" t="s">
        <v>71</v>
      </c>
      <c r="H95" s="134" t="s">
        <v>71</v>
      </c>
      <c r="I95" s="134" t="s">
        <v>71</v>
      </c>
      <c r="J95" s="134" t="s">
        <v>71</v>
      </c>
      <c r="K95" s="135" t="s">
        <v>71</v>
      </c>
      <c r="L95" s="134">
        <v>1</v>
      </c>
      <c r="M95" s="135">
        <v>46162.663634259261</v>
      </c>
    </row>
    <row r="96" spans="2:13">
      <c r="B96" s="134" t="s">
        <v>230</v>
      </c>
      <c r="C96" s="134" t="s">
        <v>70</v>
      </c>
      <c r="D96" s="134">
        <v>0</v>
      </c>
      <c r="E96" s="159">
        <v>7.359</v>
      </c>
      <c r="F96" s="136">
        <v>156335</v>
      </c>
      <c r="G96" s="134">
        <v>1.27</v>
      </c>
      <c r="H96" s="134">
        <v>281.74</v>
      </c>
      <c r="I96" s="134" t="s">
        <v>71</v>
      </c>
      <c r="J96" s="134" t="s">
        <v>71</v>
      </c>
      <c r="K96" s="135" t="s">
        <v>71</v>
      </c>
      <c r="L96" s="134">
        <v>1</v>
      </c>
      <c r="M96" s="135">
        <v>46162.674363425926</v>
      </c>
    </row>
    <row r="97" spans="2:13">
      <c r="B97" s="134" t="s">
        <v>231</v>
      </c>
      <c r="C97" s="134" t="s">
        <v>70</v>
      </c>
      <c r="D97" s="134">
        <v>0</v>
      </c>
      <c r="E97" s="159">
        <v>7.3620000000000001</v>
      </c>
      <c r="F97" s="136">
        <v>307885</v>
      </c>
      <c r="G97" s="134">
        <v>2.54</v>
      </c>
      <c r="H97" s="134">
        <v>328.53</v>
      </c>
      <c r="I97" s="134" t="s">
        <v>71</v>
      </c>
      <c r="J97" s="134" t="s">
        <v>71</v>
      </c>
      <c r="K97" s="135" t="s">
        <v>71</v>
      </c>
      <c r="L97" s="134">
        <v>1</v>
      </c>
      <c r="M97" s="135">
        <v>46162.685081018521</v>
      </c>
    </row>
    <row r="98" spans="2:13">
      <c r="B98" s="134" t="s">
        <v>232</v>
      </c>
      <c r="C98" s="134" t="s">
        <v>70</v>
      </c>
      <c r="D98" s="134">
        <v>0</v>
      </c>
      <c r="E98" s="159">
        <v>7.359</v>
      </c>
      <c r="F98" s="136">
        <v>3372774</v>
      </c>
      <c r="G98" s="134">
        <v>28.22</v>
      </c>
      <c r="H98" s="134">
        <v>992.4</v>
      </c>
      <c r="I98" s="134" t="s">
        <v>71</v>
      </c>
      <c r="J98" s="134" t="s">
        <v>71</v>
      </c>
      <c r="K98" s="135" t="s">
        <v>71</v>
      </c>
      <c r="L98" s="134">
        <v>1</v>
      </c>
      <c r="M98" s="135">
        <v>46162.695787037039</v>
      </c>
    </row>
    <row r="99" spans="2:13">
      <c r="B99" s="134" t="s">
        <v>233</v>
      </c>
      <c r="C99" s="134" t="s">
        <v>70</v>
      </c>
      <c r="D99" s="134">
        <v>0</v>
      </c>
      <c r="E99" s="159" t="s">
        <v>71</v>
      </c>
      <c r="F99" s="134" t="s">
        <v>71</v>
      </c>
      <c r="G99" s="134" t="s">
        <v>71</v>
      </c>
      <c r="H99" s="134" t="s">
        <v>71</v>
      </c>
      <c r="I99" s="134" t="s">
        <v>71</v>
      </c>
      <c r="J99" s="134" t="s">
        <v>71</v>
      </c>
      <c r="K99" s="135" t="s">
        <v>71</v>
      </c>
      <c r="L99" s="134">
        <v>1</v>
      </c>
      <c r="M99" s="135">
        <v>46162.70652777778</v>
      </c>
    </row>
    <row r="100" spans="2:13" s="53" customFormat="1">
      <c r="B100" s="53" t="s">
        <v>234</v>
      </c>
      <c r="C100" s="53" t="s">
        <v>70</v>
      </c>
      <c r="D100" s="53">
        <v>0</v>
      </c>
      <c r="E100" s="160">
        <v>7.3579999999999997</v>
      </c>
      <c r="F100" s="78">
        <v>3120178</v>
      </c>
      <c r="G100" s="53">
        <v>26.1</v>
      </c>
      <c r="H100" s="53">
        <v>978.36</v>
      </c>
      <c r="I100" s="53" t="s">
        <v>71</v>
      </c>
      <c r="J100" s="53" t="s">
        <v>71</v>
      </c>
      <c r="K100" s="107" t="s">
        <v>71</v>
      </c>
      <c r="L100" s="53">
        <v>1</v>
      </c>
      <c r="M100" s="107">
        <v>46162.717245370368</v>
      </c>
    </row>
    <row r="101" spans="2:13" s="53" customFormat="1">
      <c r="B101" s="53" t="s">
        <v>235</v>
      </c>
      <c r="C101" s="53" t="s">
        <v>70</v>
      </c>
      <c r="D101" s="53">
        <v>0</v>
      </c>
      <c r="E101" s="160">
        <v>7.3639999999999999</v>
      </c>
      <c r="F101" s="78">
        <v>3371230</v>
      </c>
      <c r="G101" s="53">
        <v>28.21</v>
      </c>
      <c r="H101" s="53">
        <v>933.74</v>
      </c>
      <c r="I101" s="53" t="s">
        <v>71</v>
      </c>
      <c r="J101" s="53" t="s">
        <v>71</v>
      </c>
      <c r="K101" s="107" t="s">
        <v>71</v>
      </c>
      <c r="L101" s="53">
        <v>1</v>
      </c>
      <c r="M101" s="107">
        <v>46162.727986111109</v>
      </c>
    </row>
    <row r="102" spans="2:13">
      <c r="B102" s="134" t="s">
        <v>236</v>
      </c>
      <c r="C102" s="134" t="s">
        <v>70</v>
      </c>
      <c r="D102" s="134">
        <v>0</v>
      </c>
      <c r="E102" s="159" t="s">
        <v>71</v>
      </c>
      <c r="F102" s="134" t="s">
        <v>71</v>
      </c>
      <c r="G102" s="134" t="s">
        <v>71</v>
      </c>
      <c r="H102" s="134" t="s">
        <v>71</v>
      </c>
      <c r="I102" s="134" t="s">
        <v>71</v>
      </c>
      <c r="J102" s="134" t="s">
        <v>71</v>
      </c>
      <c r="K102" s="135" t="s">
        <v>71</v>
      </c>
      <c r="L102" s="134">
        <v>1</v>
      </c>
      <c r="M102" s="135">
        <v>46162.738715277781</v>
      </c>
    </row>
    <row r="103" spans="2:13">
      <c r="B103" s="134" t="s">
        <v>237</v>
      </c>
      <c r="C103" s="134" t="s">
        <v>70</v>
      </c>
      <c r="D103" s="134">
        <v>0</v>
      </c>
      <c r="E103" s="159">
        <v>7.3620000000000001</v>
      </c>
      <c r="F103" s="136">
        <v>156597</v>
      </c>
      <c r="G103" s="134">
        <v>1.27</v>
      </c>
      <c r="H103" s="134">
        <v>249.03</v>
      </c>
      <c r="I103" s="134" t="s">
        <v>71</v>
      </c>
      <c r="J103" s="134" t="s">
        <v>71</v>
      </c>
      <c r="K103" s="135" t="s">
        <v>71</v>
      </c>
      <c r="L103" s="134">
        <v>1</v>
      </c>
      <c r="M103" s="135">
        <v>46162.749456018515</v>
      </c>
    </row>
    <row r="104" spans="2:13">
      <c r="B104" s="134" t="s">
        <v>238</v>
      </c>
      <c r="C104" s="134" t="s">
        <v>70</v>
      </c>
      <c r="D104" s="134">
        <v>0</v>
      </c>
      <c r="E104" s="159">
        <v>7.3639999999999999</v>
      </c>
      <c r="F104" s="136">
        <v>157988</v>
      </c>
      <c r="G104" s="134">
        <v>1.28</v>
      </c>
      <c r="H104" s="134">
        <v>221.34</v>
      </c>
      <c r="I104" s="134" t="s">
        <v>71</v>
      </c>
      <c r="J104" s="134" t="s">
        <v>71</v>
      </c>
      <c r="K104" s="135" t="s">
        <v>71</v>
      </c>
      <c r="L104" s="134">
        <v>1</v>
      </c>
      <c r="M104" s="135">
        <v>46162.76017361111</v>
      </c>
    </row>
    <row r="105" spans="2:13">
      <c r="B105" s="134" t="s">
        <v>239</v>
      </c>
      <c r="C105" s="134" t="s">
        <v>70</v>
      </c>
      <c r="D105" s="134">
        <v>0</v>
      </c>
      <c r="E105" s="159">
        <v>7.36</v>
      </c>
      <c r="F105" s="136">
        <v>156992</v>
      </c>
      <c r="G105" s="134">
        <v>1.27</v>
      </c>
      <c r="H105" s="134">
        <v>240.4</v>
      </c>
      <c r="I105" s="134" t="s">
        <v>71</v>
      </c>
      <c r="J105" s="134" t="s">
        <v>71</v>
      </c>
      <c r="K105" s="135" t="s">
        <v>71</v>
      </c>
      <c r="L105" s="134">
        <v>1</v>
      </c>
      <c r="M105" s="135">
        <v>46162.770891203705</v>
      </c>
    </row>
    <row r="106" spans="2:13">
      <c r="B106" s="134" t="s">
        <v>240</v>
      </c>
      <c r="C106" s="134" t="s">
        <v>70</v>
      </c>
      <c r="D106" s="134">
        <v>0</v>
      </c>
      <c r="E106" s="159">
        <v>7.3620000000000001</v>
      </c>
      <c r="F106" s="136">
        <v>312984</v>
      </c>
      <c r="G106" s="134">
        <v>2.58</v>
      </c>
      <c r="H106" s="134">
        <v>423.01</v>
      </c>
      <c r="I106" s="134" t="s">
        <v>71</v>
      </c>
      <c r="J106" s="134" t="s">
        <v>71</v>
      </c>
      <c r="K106" s="135" t="s">
        <v>71</v>
      </c>
      <c r="L106" s="134">
        <v>1</v>
      </c>
      <c r="M106" s="135">
        <v>46162.781608796293</v>
      </c>
    </row>
    <row r="107" spans="2:13">
      <c r="B107" s="134" t="s">
        <v>241</v>
      </c>
      <c r="C107" s="134" t="s">
        <v>70</v>
      </c>
      <c r="D107" s="134">
        <v>0</v>
      </c>
      <c r="E107" s="159">
        <v>7.36</v>
      </c>
      <c r="F107" s="136">
        <v>313669</v>
      </c>
      <c r="G107" s="134">
        <v>2.59</v>
      </c>
      <c r="H107" s="134">
        <v>453.92</v>
      </c>
      <c r="I107" s="134" t="s">
        <v>71</v>
      </c>
      <c r="J107" s="134" t="s">
        <v>71</v>
      </c>
      <c r="K107" s="135" t="s">
        <v>71</v>
      </c>
      <c r="L107" s="134">
        <v>1</v>
      </c>
      <c r="M107" s="135">
        <v>46162.792326388888</v>
      </c>
    </row>
    <row r="108" spans="2:13">
      <c r="B108" s="134" t="s">
        <v>242</v>
      </c>
      <c r="C108" s="134" t="s">
        <v>70</v>
      </c>
      <c r="D108" s="134">
        <v>0</v>
      </c>
      <c r="E108" s="159">
        <v>7.36</v>
      </c>
      <c r="F108" s="136">
        <v>315523</v>
      </c>
      <c r="G108" s="134">
        <v>2.6</v>
      </c>
      <c r="H108" s="134">
        <v>494.22</v>
      </c>
      <c r="I108" s="134" t="s">
        <v>71</v>
      </c>
      <c r="J108" s="134" t="s">
        <v>71</v>
      </c>
      <c r="K108" s="135" t="s">
        <v>71</v>
      </c>
      <c r="L108" s="134">
        <v>1</v>
      </c>
      <c r="M108" s="135">
        <v>46162.803055555552</v>
      </c>
    </row>
    <row r="109" spans="2:13">
      <c r="B109" s="134" t="s">
        <v>243</v>
      </c>
      <c r="C109" s="134" t="s">
        <v>70</v>
      </c>
      <c r="D109" s="134">
        <v>0</v>
      </c>
      <c r="E109" s="159">
        <v>7.3609999999999998</v>
      </c>
      <c r="F109" s="136">
        <v>318405</v>
      </c>
      <c r="G109" s="134">
        <v>2.63</v>
      </c>
      <c r="H109" s="134">
        <v>468.61</v>
      </c>
      <c r="I109" s="134" t="s">
        <v>71</v>
      </c>
      <c r="J109" s="134" t="s">
        <v>71</v>
      </c>
      <c r="K109" s="135" t="s">
        <v>71</v>
      </c>
      <c r="L109" s="134">
        <v>1</v>
      </c>
      <c r="M109" s="135">
        <v>46162.813773148147</v>
      </c>
    </row>
    <row r="110" spans="2:13">
      <c r="B110" s="134" t="s">
        <v>244</v>
      </c>
      <c r="C110" s="134" t="s">
        <v>70</v>
      </c>
      <c r="D110" s="134">
        <v>0</v>
      </c>
      <c r="E110" s="159">
        <v>7.36</v>
      </c>
      <c r="F110" s="136">
        <v>315611</v>
      </c>
      <c r="G110" s="134">
        <v>2.6</v>
      </c>
      <c r="H110" s="134">
        <v>486.52</v>
      </c>
      <c r="I110" s="134" t="s">
        <v>71</v>
      </c>
      <c r="J110" s="134" t="s">
        <v>71</v>
      </c>
      <c r="K110" s="135" t="s">
        <v>71</v>
      </c>
      <c r="L110" s="134">
        <v>1</v>
      </c>
      <c r="M110" s="135">
        <v>46162.824490740742</v>
      </c>
    </row>
    <row r="111" spans="2:13">
      <c r="B111" s="134" t="s">
        <v>245</v>
      </c>
      <c r="C111" s="134" t="s">
        <v>70</v>
      </c>
      <c r="D111" s="134">
        <v>0</v>
      </c>
      <c r="E111" s="159">
        <v>7.3620000000000001</v>
      </c>
      <c r="F111" s="136">
        <v>315255</v>
      </c>
      <c r="G111" s="134">
        <v>2.6</v>
      </c>
      <c r="H111" s="134">
        <v>495.5</v>
      </c>
      <c r="I111" s="134" t="s">
        <v>71</v>
      </c>
      <c r="J111" s="134" t="s">
        <v>71</v>
      </c>
      <c r="K111" s="135" t="s">
        <v>71</v>
      </c>
      <c r="L111" s="134">
        <v>1</v>
      </c>
      <c r="M111" s="135">
        <v>46162.83520833333</v>
      </c>
    </row>
    <row r="112" spans="2:13" s="53" customFormat="1">
      <c r="B112" s="53" t="s">
        <v>246</v>
      </c>
      <c r="C112" s="53" t="s">
        <v>70</v>
      </c>
      <c r="D112" s="53">
        <v>0</v>
      </c>
      <c r="E112" s="160">
        <v>7.36</v>
      </c>
      <c r="F112" s="78">
        <v>3144620</v>
      </c>
      <c r="G112" s="53">
        <v>26.31</v>
      </c>
      <c r="H112" s="129">
        <v>1024.9100000000001</v>
      </c>
      <c r="I112" s="53" t="s">
        <v>71</v>
      </c>
      <c r="J112" s="53" t="s">
        <v>71</v>
      </c>
      <c r="K112" s="107" t="s">
        <v>71</v>
      </c>
      <c r="L112" s="53">
        <v>1</v>
      </c>
      <c r="M112" s="107">
        <v>46162.845949074072</v>
      </c>
    </row>
    <row r="113" spans="2:13" s="53" customFormat="1">
      <c r="B113" s="53" t="s">
        <v>247</v>
      </c>
      <c r="C113" s="53" t="s">
        <v>70</v>
      </c>
      <c r="D113" s="53">
        <v>0</v>
      </c>
      <c r="E113" s="160">
        <v>7.36</v>
      </c>
      <c r="F113" s="78">
        <v>3419940</v>
      </c>
      <c r="G113" s="53">
        <v>28.61</v>
      </c>
      <c r="H113" s="53">
        <v>991.09</v>
      </c>
      <c r="I113" s="53" t="s">
        <v>71</v>
      </c>
      <c r="J113" s="53" t="s">
        <v>71</v>
      </c>
      <c r="K113" s="107" t="s">
        <v>71</v>
      </c>
      <c r="L113" s="53">
        <v>1</v>
      </c>
      <c r="M113" s="107">
        <v>46162.856666666667</v>
      </c>
    </row>
    <row r="114" spans="2:13">
      <c r="B114" s="134" t="s">
        <v>248</v>
      </c>
      <c r="C114" s="134" t="s">
        <v>70</v>
      </c>
      <c r="D114" s="134">
        <v>0</v>
      </c>
      <c r="E114" s="159" t="s">
        <v>71</v>
      </c>
      <c r="F114" s="134" t="s">
        <v>71</v>
      </c>
      <c r="G114" s="134" t="s">
        <v>71</v>
      </c>
      <c r="H114" s="134" t="s">
        <v>71</v>
      </c>
      <c r="I114" s="134" t="s">
        <v>71</v>
      </c>
      <c r="J114" s="134" t="s">
        <v>71</v>
      </c>
      <c r="K114" s="135" t="s">
        <v>71</v>
      </c>
      <c r="L114" s="134">
        <v>1</v>
      </c>
      <c r="M114" s="135">
        <v>46162.867395833331</v>
      </c>
    </row>
    <row r="115" spans="2:13" s="53" customFormat="1">
      <c r="B115" s="53" t="s">
        <v>249</v>
      </c>
      <c r="C115" s="53" t="s">
        <v>70</v>
      </c>
      <c r="D115" s="53">
        <v>0</v>
      </c>
      <c r="E115" s="160">
        <v>7.3639999999999999</v>
      </c>
      <c r="F115" s="78">
        <v>313751</v>
      </c>
      <c r="G115" s="53">
        <v>2.59</v>
      </c>
      <c r="H115" s="53">
        <v>306.06</v>
      </c>
      <c r="I115" s="53" t="s">
        <v>71</v>
      </c>
      <c r="J115" s="53" t="s">
        <v>71</v>
      </c>
      <c r="K115" s="107" t="s">
        <v>71</v>
      </c>
      <c r="L115" s="53">
        <v>1</v>
      </c>
      <c r="M115" s="107">
        <v>46162.878125000003</v>
      </c>
    </row>
    <row r="116" spans="2:13" s="53" customFormat="1">
      <c r="B116" s="53" t="s">
        <v>250</v>
      </c>
      <c r="C116" s="53" t="s">
        <v>70</v>
      </c>
      <c r="D116" s="53">
        <v>0</v>
      </c>
      <c r="E116" s="160">
        <v>7.3650000000000002</v>
      </c>
      <c r="F116" s="78">
        <v>315652</v>
      </c>
      <c r="G116" s="53">
        <v>2.6</v>
      </c>
      <c r="H116" s="53">
        <v>337.22</v>
      </c>
      <c r="I116" s="53" t="s">
        <v>71</v>
      </c>
      <c r="J116" s="53" t="s">
        <v>71</v>
      </c>
      <c r="K116" s="107" t="s">
        <v>71</v>
      </c>
      <c r="L116" s="53">
        <v>1</v>
      </c>
      <c r="M116" s="107">
        <v>46162.888842592591</v>
      </c>
    </row>
    <row r="117" spans="2:13" s="53" customFormat="1">
      <c r="B117" s="53" t="s">
        <v>251</v>
      </c>
      <c r="C117" s="53" t="s">
        <v>70</v>
      </c>
      <c r="D117" s="53">
        <v>0</v>
      </c>
      <c r="E117" s="160">
        <v>7.3639999999999999</v>
      </c>
      <c r="F117" s="78">
        <v>314928</v>
      </c>
      <c r="G117" s="53">
        <v>2.6</v>
      </c>
      <c r="H117" s="53">
        <v>326.10000000000002</v>
      </c>
      <c r="I117" s="53" t="s">
        <v>71</v>
      </c>
      <c r="J117" s="53" t="s">
        <v>71</v>
      </c>
      <c r="K117" s="107" t="s">
        <v>71</v>
      </c>
      <c r="L117" s="53">
        <v>1</v>
      </c>
      <c r="M117" s="107">
        <v>46162.899560185186</v>
      </c>
    </row>
    <row r="118" spans="2:13" s="53" customFormat="1">
      <c r="B118" s="53" t="s">
        <v>252</v>
      </c>
      <c r="C118" s="53" t="s">
        <v>70</v>
      </c>
      <c r="D118" s="53">
        <v>0</v>
      </c>
      <c r="E118" s="160">
        <v>7.3639999999999999</v>
      </c>
      <c r="F118" s="78">
        <v>643582</v>
      </c>
      <c r="G118" s="53">
        <v>5.35</v>
      </c>
      <c r="H118" s="53">
        <v>623.04</v>
      </c>
      <c r="I118" s="53" t="s">
        <v>71</v>
      </c>
      <c r="J118" s="53" t="s">
        <v>71</v>
      </c>
      <c r="K118" s="107" t="s">
        <v>71</v>
      </c>
      <c r="L118" s="53">
        <v>1</v>
      </c>
      <c r="M118" s="107">
        <v>46162.910277777781</v>
      </c>
    </row>
    <row r="119" spans="2:13" s="53" customFormat="1">
      <c r="B119" s="53" t="s">
        <v>253</v>
      </c>
      <c r="C119" s="53" t="s">
        <v>70</v>
      </c>
      <c r="D119" s="53">
        <v>0</v>
      </c>
      <c r="E119" s="160">
        <v>7.3659999999999997</v>
      </c>
      <c r="F119" s="78">
        <v>642683</v>
      </c>
      <c r="G119" s="53">
        <v>5.34</v>
      </c>
      <c r="H119" s="53">
        <v>683.23</v>
      </c>
      <c r="I119" s="53" t="s">
        <v>71</v>
      </c>
      <c r="J119" s="53" t="s">
        <v>71</v>
      </c>
      <c r="K119" s="107" t="s">
        <v>71</v>
      </c>
      <c r="L119" s="53">
        <v>1</v>
      </c>
      <c r="M119" s="107">
        <v>46162.921006944445</v>
      </c>
    </row>
    <row r="120" spans="2:13" s="53" customFormat="1">
      <c r="B120" s="53" t="s">
        <v>254</v>
      </c>
      <c r="C120" s="53" t="s">
        <v>70</v>
      </c>
      <c r="D120" s="53">
        <v>0</v>
      </c>
      <c r="E120" s="160">
        <v>7.3639999999999999</v>
      </c>
      <c r="F120" s="78">
        <v>641115</v>
      </c>
      <c r="G120" s="53">
        <v>5.33</v>
      </c>
      <c r="H120" s="53">
        <v>584.55999999999995</v>
      </c>
      <c r="I120" s="53" t="s">
        <v>71</v>
      </c>
      <c r="J120" s="53" t="s">
        <v>71</v>
      </c>
      <c r="K120" s="107" t="s">
        <v>71</v>
      </c>
      <c r="L120" s="53">
        <v>1</v>
      </c>
      <c r="M120" s="107">
        <v>46162.931759259256</v>
      </c>
    </row>
    <row r="121" spans="2:13">
      <c r="B121" s="134" t="s">
        <v>255</v>
      </c>
      <c r="C121" s="134" t="s">
        <v>70</v>
      </c>
      <c r="D121" s="134">
        <v>0</v>
      </c>
      <c r="E121" s="159" t="s">
        <v>71</v>
      </c>
      <c r="F121" s="134" t="s">
        <v>71</v>
      </c>
      <c r="G121" s="134" t="s">
        <v>71</v>
      </c>
      <c r="H121" s="134" t="s">
        <v>71</v>
      </c>
      <c r="I121" s="134" t="s">
        <v>71</v>
      </c>
      <c r="J121" s="134" t="s">
        <v>71</v>
      </c>
      <c r="K121" s="135" t="s">
        <v>71</v>
      </c>
      <c r="L121" s="134">
        <v>1</v>
      </c>
      <c r="M121" s="135">
        <v>46162.942465277774</v>
      </c>
    </row>
    <row r="122" spans="2:13" s="53" customFormat="1">
      <c r="B122" s="53" t="s">
        <v>256</v>
      </c>
      <c r="C122" s="53" t="s">
        <v>70</v>
      </c>
      <c r="D122" s="53">
        <v>0</v>
      </c>
      <c r="E122" s="160">
        <v>7.3650000000000002</v>
      </c>
      <c r="F122" s="78">
        <v>3459985</v>
      </c>
      <c r="G122" s="53">
        <v>28.95</v>
      </c>
      <c r="H122" s="129">
        <v>1098.31</v>
      </c>
      <c r="I122" s="53" t="s">
        <v>71</v>
      </c>
      <c r="J122" s="53" t="s">
        <v>71</v>
      </c>
      <c r="K122" s="107" t="s">
        <v>71</v>
      </c>
      <c r="L122" s="53">
        <v>1</v>
      </c>
      <c r="M122" s="107">
        <v>46162.953182870369</v>
      </c>
    </row>
    <row r="123" spans="2:13" s="53" customFormat="1">
      <c r="B123" s="53" t="s">
        <v>257</v>
      </c>
      <c r="C123" s="53" t="s">
        <v>70</v>
      </c>
      <c r="D123" s="53">
        <v>0</v>
      </c>
      <c r="E123" s="160">
        <v>7.3659999999999997</v>
      </c>
      <c r="F123" s="78">
        <v>3481046</v>
      </c>
      <c r="G123" s="53">
        <v>29.13</v>
      </c>
      <c r="H123" s="53">
        <v>921.76</v>
      </c>
      <c r="I123" s="53" t="s">
        <v>71</v>
      </c>
      <c r="J123" s="53" t="s">
        <v>71</v>
      </c>
      <c r="K123" s="107" t="s">
        <v>71</v>
      </c>
      <c r="L123" s="53">
        <v>1</v>
      </c>
      <c r="M123" s="107">
        <v>46162.963888888888</v>
      </c>
    </row>
    <row r="124" spans="2:13" s="53" customFormat="1">
      <c r="B124" s="53" t="s">
        <v>258</v>
      </c>
      <c r="C124" s="53" t="s">
        <v>70</v>
      </c>
      <c r="D124" s="53">
        <v>0</v>
      </c>
      <c r="E124" s="160">
        <v>7.3650000000000002</v>
      </c>
      <c r="F124" s="78">
        <v>3452124</v>
      </c>
      <c r="G124" s="53">
        <v>28.88</v>
      </c>
      <c r="H124" s="129">
        <v>1037.4000000000001</v>
      </c>
      <c r="I124" s="53" t="s">
        <v>71</v>
      </c>
      <c r="J124" s="53" t="s">
        <v>71</v>
      </c>
      <c r="K124" s="107" t="s">
        <v>71</v>
      </c>
      <c r="L124" s="53">
        <v>1</v>
      </c>
      <c r="M124" s="107">
        <v>46162.974629629629</v>
      </c>
    </row>
    <row r="125" spans="2:13">
      <c r="B125" s="134" t="s">
        <v>259</v>
      </c>
      <c r="C125" s="134" t="s">
        <v>70</v>
      </c>
      <c r="D125" s="134">
        <v>0</v>
      </c>
      <c r="E125" s="159">
        <v>7.3680000000000003</v>
      </c>
      <c r="F125" s="136">
        <v>3464053</v>
      </c>
      <c r="G125" s="134">
        <v>28.98</v>
      </c>
      <c r="H125" s="137">
        <v>1006.83</v>
      </c>
      <c r="I125" s="134" t="s">
        <v>71</v>
      </c>
      <c r="J125" s="134" t="s">
        <v>71</v>
      </c>
      <c r="K125" s="135" t="s">
        <v>71</v>
      </c>
      <c r="L125" s="134">
        <v>1</v>
      </c>
      <c r="M125" s="135">
        <v>46162.985335648147</v>
      </c>
    </row>
    <row r="126" spans="2:13">
      <c r="B126" s="134" t="s">
        <v>260</v>
      </c>
      <c r="C126" s="134" t="s">
        <v>70</v>
      </c>
      <c r="D126" s="134">
        <v>0</v>
      </c>
      <c r="E126" s="159">
        <v>7.3630000000000004</v>
      </c>
      <c r="F126" s="136">
        <v>3441481</v>
      </c>
      <c r="G126" s="134">
        <v>28.79</v>
      </c>
      <c r="H126" s="134">
        <v>990.57</v>
      </c>
      <c r="I126" s="134" t="s">
        <v>71</v>
      </c>
      <c r="J126" s="134" t="s">
        <v>71</v>
      </c>
      <c r="K126" s="135" t="s">
        <v>71</v>
      </c>
      <c r="L126" s="134">
        <v>1</v>
      </c>
      <c r="M126" s="135">
        <v>46162.996099537035</v>
      </c>
    </row>
    <row r="127" spans="2:13">
      <c r="B127" s="134" t="s">
        <v>261</v>
      </c>
      <c r="C127" s="134" t="s">
        <v>70</v>
      </c>
      <c r="D127" s="134">
        <v>0</v>
      </c>
      <c r="E127" s="159">
        <v>7.3659999999999997</v>
      </c>
      <c r="F127" s="136">
        <v>3483571</v>
      </c>
      <c r="G127" s="134">
        <v>29.15</v>
      </c>
      <c r="H127" s="134">
        <v>991.25</v>
      </c>
      <c r="I127" s="134" t="s">
        <v>71</v>
      </c>
      <c r="J127" s="134" t="s">
        <v>71</v>
      </c>
      <c r="K127" s="135" t="s">
        <v>71</v>
      </c>
      <c r="L127" s="134">
        <v>1</v>
      </c>
      <c r="M127" s="135">
        <v>46163.006828703707</v>
      </c>
    </row>
    <row r="128" spans="2:13">
      <c r="B128" s="134" t="s">
        <v>262</v>
      </c>
      <c r="C128" s="134" t="s">
        <v>70</v>
      </c>
      <c r="D128" s="134">
        <v>0</v>
      </c>
      <c r="E128" s="159" t="s">
        <v>71</v>
      </c>
      <c r="F128" s="134" t="s">
        <v>71</v>
      </c>
      <c r="G128" s="134" t="s">
        <v>71</v>
      </c>
      <c r="H128" s="134" t="s">
        <v>71</v>
      </c>
      <c r="I128" s="134" t="s">
        <v>71</v>
      </c>
      <c r="J128" s="134" t="s">
        <v>71</v>
      </c>
      <c r="K128" s="135" t="s">
        <v>71</v>
      </c>
      <c r="L128" s="134">
        <v>1</v>
      </c>
      <c r="M128" s="135">
        <v>46163.017557870371</v>
      </c>
    </row>
    <row r="129" spans="2:13" s="53" customFormat="1">
      <c r="B129" s="53" t="s">
        <v>263</v>
      </c>
      <c r="C129" s="53" t="s">
        <v>70</v>
      </c>
      <c r="D129" s="53">
        <v>0</v>
      </c>
      <c r="E129" s="160">
        <v>7.367</v>
      </c>
      <c r="F129" s="78">
        <v>5073197</v>
      </c>
      <c r="G129" s="53">
        <v>42.47</v>
      </c>
      <c r="H129" s="129">
        <v>1028.1199999999999</v>
      </c>
      <c r="I129" s="53" t="s">
        <v>71</v>
      </c>
      <c r="J129" s="53" t="s">
        <v>71</v>
      </c>
      <c r="K129" s="107" t="s">
        <v>71</v>
      </c>
      <c r="L129" s="53">
        <v>1</v>
      </c>
      <c r="M129" s="107">
        <v>46163.028287037036</v>
      </c>
    </row>
    <row r="130" spans="2:13" s="53" customFormat="1">
      <c r="B130" s="53" t="s">
        <v>264</v>
      </c>
      <c r="C130" s="53" t="s">
        <v>70</v>
      </c>
      <c r="D130" s="53">
        <v>0</v>
      </c>
      <c r="E130" s="160">
        <v>7.3659999999999997</v>
      </c>
      <c r="F130" s="78">
        <v>5090568</v>
      </c>
      <c r="G130" s="53">
        <v>42.61</v>
      </c>
      <c r="H130" s="129">
        <v>1028.43</v>
      </c>
      <c r="I130" s="53" t="s">
        <v>71</v>
      </c>
      <c r="J130" s="53" t="s">
        <v>71</v>
      </c>
      <c r="K130" s="107" t="s">
        <v>71</v>
      </c>
      <c r="L130" s="53">
        <v>1</v>
      </c>
      <c r="M130" s="107">
        <v>46163.038993055554</v>
      </c>
    </row>
    <row r="131" spans="2:13" s="53" customFormat="1">
      <c r="B131" s="53" t="s">
        <v>265</v>
      </c>
      <c r="C131" s="53" t="s">
        <v>70</v>
      </c>
      <c r="D131" s="53">
        <v>0</v>
      </c>
      <c r="E131" s="160">
        <v>7.37</v>
      </c>
      <c r="F131" s="78">
        <v>5066316</v>
      </c>
      <c r="G131" s="53">
        <v>42.41</v>
      </c>
      <c r="H131" s="53">
        <v>993.74</v>
      </c>
      <c r="I131" s="53" t="s">
        <v>71</v>
      </c>
      <c r="J131" s="53" t="s">
        <v>71</v>
      </c>
      <c r="K131" s="107" t="s">
        <v>71</v>
      </c>
      <c r="L131" s="53">
        <v>1</v>
      </c>
      <c r="M131" s="107">
        <v>46163.049722222226</v>
      </c>
    </row>
    <row r="132" spans="2:13">
      <c r="B132" s="134" t="s">
        <v>266</v>
      </c>
      <c r="C132" s="134" t="s">
        <v>70</v>
      </c>
      <c r="D132" s="134">
        <v>0</v>
      </c>
      <c r="E132" s="159" t="s">
        <v>71</v>
      </c>
      <c r="F132" s="134" t="s">
        <v>71</v>
      </c>
      <c r="G132" s="134" t="s">
        <v>71</v>
      </c>
      <c r="H132" s="134" t="s">
        <v>71</v>
      </c>
      <c r="I132" s="134" t="s">
        <v>71</v>
      </c>
      <c r="J132" s="134" t="s">
        <v>71</v>
      </c>
      <c r="K132" s="135" t="s">
        <v>71</v>
      </c>
      <c r="L132" s="134">
        <v>1</v>
      </c>
      <c r="M132" s="135">
        <v>46163.06045138889</v>
      </c>
    </row>
    <row r="133" spans="2:13" s="53" customFormat="1">
      <c r="B133" s="53" t="s">
        <v>267</v>
      </c>
      <c r="C133" s="53" t="s">
        <v>70</v>
      </c>
      <c r="D133" s="53">
        <v>0</v>
      </c>
      <c r="E133" s="160">
        <v>7.367</v>
      </c>
      <c r="F133" s="78">
        <v>3182272</v>
      </c>
      <c r="G133" s="53">
        <v>26.62</v>
      </c>
      <c r="H133" s="53">
        <v>893.06</v>
      </c>
      <c r="I133" s="53" t="s">
        <v>71</v>
      </c>
      <c r="J133" s="53" t="s">
        <v>71</v>
      </c>
      <c r="K133" s="107" t="s">
        <v>71</v>
      </c>
      <c r="L133" s="53">
        <v>1</v>
      </c>
      <c r="M133" s="107">
        <v>46163.071203703701</v>
      </c>
    </row>
    <row r="134" spans="2:13" s="53" customFormat="1">
      <c r="B134" s="53" t="s">
        <v>268</v>
      </c>
      <c r="C134" s="53" t="s">
        <v>70</v>
      </c>
      <c r="D134" s="53">
        <v>0</v>
      </c>
      <c r="E134" s="160">
        <v>7.3650000000000002</v>
      </c>
      <c r="F134" s="78">
        <v>3485205</v>
      </c>
      <c r="G134" s="53">
        <v>29.16</v>
      </c>
      <c r="H134" s="53">
        <v>958.18</v>
      </c>
      <c r="I134" s="53" t="s">
        <v>71</v>
      </c>
      <c r="J134" s="53" t="s">
        <v>71</v>
      </c>
      <c r="K134" s="107" t="s">
        <v>71</v>
      </c>
      <c r="L134" s="53">
        <v>1</v>
      </c>
      <c r="M134" s="107">
        <v>46163.081944444442</v>
      </c>
    </row>
    <row r="135" spans="2:13">
      <c r="B135" s="134" t="s">
        <v>269</v>
      </c>
      <c r="C135" s="134" t="s">
        <v>70</v>
      </c>
      <c r="D135" s="134">
        <v>0</v>
      </c>
      <c r="E135" s="159" t="s">
        <v>71</v>
      </c>
      <c r="F135" s="134" t="s">
        <v>71</v>
      </c>
      <c r="G135" s="134" t="s">
        <v>71</v>
      </c>
      <c r="H135" s="134" t="s">
        <v>71</v>
      </c>
      <c r="I135" s="134" t="s">
        <v>71</v>
      </c>
      <c r="J135" s="134" t="s">
        <v>71</v>
      </c>
      <c r="K135" s="135" t="s">
        <v>71</v>
      </c>
      <c r="L135" s="134">
        <v>1</v>
      </c>
      <c r="M135" s="135">
        <v>46163.092673611114</v>
      </c>
    </row>
    <row r="136" spans="2:13">
      <c r="B136" s="134" t="s">
        <v>270</v>
      </c>
      <c r="C136" s="134" t="s">
        <v>70</v>
      </c>
      <c r="D136" s="134">
        <v>0</v>
      </c>
      <c r="E136" s="159" t="s">
        <v>71</v>
      </c>
      <c r="F136" s="134" t="s">
        <v>71</v>
      </c>
      <c r="G136" s="134" t="s">
        <v>71</v>
      </c>
      <c r="H136" s="134" t="s">
        <v>71</v>
      </c>
      <c r="I136" s="134" t="s">
        <v>71</v>
      </c>
      <c r="J136" s="134" t="s">
        <v>71</v>
      </c>
      <c r="K136" s="135" t="s">
        <v>71</v>
      </c>
      <c r="L136" s="134">
        <v>1</v>
      </c>
      <c r="M136" s="135">
        <v>46163.134652777779</v>
      </c>
    </row>
    <row r="137" spans="2:13">
      <c r="B137" s="134" t="s">
        <v>271</v>
      </c>
      <c r="C137" s="134" t="s">
        <v>70</v>
      </c>
      <c r="D137" s="134">
        <v>0</v>
      </c>
      <c r="E137" s="159" t="s">
        <v>71</v>
      </c>
      <c r="F137" s="134" t="s">
        <v>71</v>
      </c>
      <c r="G137" s="134" t="s">
        <v>71</v>
      </c>
      <c r="H137" s="134" t="s">
        <v>71</v>
      </c>
      <c r="I137" s="134" t="s">
        <v>71</v>
      </c>
      <c r="J137" s="134" t="s">
        <v>71</v>
      </c>
      <c r="K137" s="135" t="s">
        <v>71</v>
      </c>
      <c r="L137" s="134">
        <v>1</v>
      </c>
      <c r="M137" s="135">
        <v>46163.176631944443</v>
      </c>
    </row>
    <row r="138" spans="2:13" s="53" customFormat="1">
      <c r="B138" s="53" t="s">
        <v>272</v>
      </c>
      <c r="C138" s="53" t="s">
        <v>70</v>
      </c>
      <c r="D138" s="53">
        <v>0</v>
      </c>
      <c r="E138" s="160">
        <v>7.3730000000000002</v>
      </c>
      <c r="F138" s="78">
        <v>2924737</v>
      </c>
      <c r="G138" s="53">
        <v>24.46</v>
      </c>
      <c r="H138" s="53">
        <v>818.7</v>
      </c>
      <c r="I138" s="53" t="s">
        <v>71</v>
      </c>
      <c r="J138" s="53" t="s">
        <v>71</v>
      </c>
      <c r="K138" s="107" t="s">
        <v>71</v>
      </c>
      <c r="L138" s="53">
        <v>1</v>
      </c>
      <c r="M138" s="107">
        <v>46163.218599537038</v>
      </c>
    </row>
    <row r="139" spans="2:13" s="53" customFormat="1">
      <c r="B139" s="53" t="s">
        <v>273</v>
      </c>
      <c r="C139" s="53" t="s">
        <v>70</v>
      </c>
      <c r="D139" s="53">
        <v>0</v>
      </c>
      <c r="E139" s="160">
        <v>7.3689999999999998</v>
      </c>
      <c r="F139" s="78">
        <v>3411708</v>
      </c>
      <c r="G139" s="53">
        <v>28.54</v>
      </c>
      <c r="H139" s="53">
        <v>957.98</v>
      </c>
      <c r="I139" s="53" t="s">
        <v>71</v>
      </c>
      <c r="J139" s="53" t="s">
        <v>71</v>
      </c>
      <c r="K139" s="107" t="s">
        <v>71</v>
      </c>
      <c r="L139" s="53">
        <v>1</v>
      </c>
      <c r="M139" s="107">
        <v>46163.229317129626</v>
      </c>
    </row>
    <row r="140" spans="2:13">
      <c r="B140" s="134" t="s">
        <v>274</v>
      </c>
      <c r="C140" s="134" t="s">
        <v>70</v>
      </c>
      <c r="D140" s="134">
        <v>0</v>
      </c>
      <c r="E140" s="159" t="s">
        <v>71</v>
      </c>
      <c r="F140" s="134" t="s">
        <v>71</v>
      </c>
      <c r="G140" s="134" t="s">
        <v>71</v>
      </c>
      <c r="H140" s="134" t="s">
        <v>71</v>
      </c>
      <c r="I140" s="134" t="s">
        <v>71</v>
      </c>
      <c r="J140" s="134" t="s">
        <v>71</v>
      </c>
      <c r="K140" s="135" t="s">
        <v>71</v>
      </c>
      <c r="L140" s="134">
        <v>1</v>
      </c>
      <c r="M140" s="135">
        <v>46163.240046296298</v>
      </c>
    </row>
    <row r="141" spans="2:13">
      <c r="B141" s="134" t="s">
        <v>275</v>
      </c>
      <c r="C141" s="134" t="s">
        <v>70</v>
      </c>
      <c r="D141" s="134">
        <v>0</v>
      </c>
      <c r="E141" s="159" t="s">
        <v>71</v>
      </c>
      <c r="F141" s="134" t="s">
        <v>71</v>
      </c>
      <c r="G141" s="134" t="s">
        <v>71</v>
      </c>
      <c r="H141" s="134" t="s">
        <v>71</v>
      </c>
      <c r="I141" s="134" t="s">
        <v>71</v>
      </c>
      <c r="J141" s="134" t="s">
        <v>71</v>
      </c>
      <c r="K141" s="135" t="s">
        <v>71</v>
      </c>
      <c r="L141" s="134">
        <v>1</v>
      </c>
      <c r="M141" s="135">
        <v>46163.282025462962</v>
      </c>
    </row>
    <row r="142" spans="2:13">
      <c r="B142" s="134" t="s">
        <v>276</v>
      </c>
      <c r="C142" s="134" t="s">
        <v>70</v>
      </c>
      <c r="D142" s="134">
        <v>0</v>
      </c>
      <c r="E142" s="159" t="s">
        <v>71</v>
      </c>
      <c r="F142" s="134" t="s">
        <v>71</v>
      </c>
      <c r="G142" s="134" t="s">
        <v>71</v>
      </c>
      <c r="H142" s="134" t="s">
        <v>71</v>
      </c>
      <c r="I142" s="134" t="s">
        <v>71</v>
      </c>
      <c r="J142" s="134" t="s">
        <v>71</v>
      </c>
      <c r="K142" s="135" t="s">
        <v>71</v>
      </c>
      <c r="L142" s="134">
        <v>1</v>
      </c>
      <c r="M142" s="135">
        <v>46163.324004629627</v>
      </c>
    </row>
    <row r="143" spans="2:13" s="53" customFormat="1">
      <c r="B143" s="53" t="s">
        <v>277</v>
      </c>
      <c r="C143" s="53" t="s">
        <v>70</v>
      </c>
      <c r="D143" s="53">
        <v>0</v>
      </c>
      <c r="E143" s="160">
        <v>7.3769999999999998</v>
      </c>
      <c r="F143" s="78">
        <v>3020940</v>
      </c>
      <c r="H143" s="53">
        <v>863.82</v>
      </c>
      <c r="I143" s="53" t="s">
        <v>71</v>
      </c>
      <c r="J143" s="53" t="s">
        <v>71</v>
      </c>
      <c r="K143" s="107" t="s">
        <v>71</v>
      </c>
      <c r="L143" s="53">
        <v>1</v>
      </c>
      <c r="M143" s="107">
        <v>46163.365972222222</v>
      </c>
    </row>
    <row r="144" spans="2:13" s="53" customFormat="1">
      <c r="B144" s="53" t="s">
        <v>278</v>
      </c>
      <c r="C144" s="53" t="s">
        <v>70</v>
      </c>
      <c r="D144" s="53">
        <v>0</v>
      </c>
      <c r="E144" s="160">
        <v>7.3710000000000004</v>
      </c>
      <c r="F144" s="78">
        <v>3480939</v>
      </c>
      <c r="H144" s="53">
        <v>904.64</v>
      </c>
      <c r="I144" s="53" t="s">
        <v>71</v>
      </c>
      <c r="J144" s="53" t="s">
        <v>71</v>
      </c>
      <c r="K144" s="107" t="s">
        <v>71</v>
      </c>
      <c r="L144" s="53">
        <v>1</v>
      </c>
      <c r="M144" s="107">
        <v>46163.376736111109</v>
      </c>
    </row>
    <row r="145" spans="1:13">
      <c r="K145" s="135"/>
    </row>
    <row r="146" spans="1:13">
      <c r="K146" s="135"/>
    </row>
    <row r="147" spans="1:13">
      <c r="A147" s="134" t="s">
        <v>218</v>
      </c>
      <c r="B147" s="134" t="s">
        <v>59</v>
      </c>
      <c r="C147" s="134" t="s">
        <v>60</v>
      </c>
      <c r="D147" s="134" t="s">
        <v>61</v>
      </c>
      <c r="E147" s="159" t="s">
        <v>62</v>
      </c>
      <c r="F147" s="134" t="s">
        <v>63</v>
      </c>
      <c r="G147" s="134" t="s">
        <v>64</v>
      </c>
      <c r="H147" s="134" t="s">
        <v>65</v>
      </c>
      <c r="I147" s="134" t="s">
        <v>66</v>
      </c>
      <c r="J147" s="134" t="s">
        <v>67</v>
      </c>
      <c r="K147" s="135" t="s">
        <v>68</v>
      </c>
      <c r="L147" s="134" t="s">
        <v>280</v>
      </c>
      <c r="M147" s="134" t="s">
        <v>281</v>
      </c>
    </row>
    <row r="148" spans="1:13">
      <c r="B148" s="134" t="s">
        <v>69</v>
      </c>
      <c r="C148" s="134" t="s">
        <v>70</v>
      </c>
      <c r="D148" s="134">
        <v>0</v>
      </c>
      <c r="E148" s="159" t="s">
        <v>71</v>
      </c>
      <c r="F148" s="134" t="s">
        <v>71</v>
      </c>
      <c r="G148" s="134" t="s">
        <v>71</v>
      </c>
      <c r="H148" s="134" t="s">
        <v>71</v>
      </c>
      <c r="I148" s="134" t="s">
        <v>71</v>
      </c>
      <c r="J148" s="134" t="s">
        <v>71</v>
      </c>
      <c r="K148" s="135" t="s">
        <v>71</v>
      </c>
      <c r="L148" s="134">
        <v>0</v>
      </c>
      <c r="M148" s="135">
        <v>46162.449004629627</v>
      </c>
    </row>
    <row r="149" spans="1:13">
      <c r="B149" s="134" t="s">
        <v>72</v>
      </c>
      <c r="C149" s="134" t="s">
        <v>70</v>
      </c>
      <c r="D149" s="134">
        <v>0</v>
      </c>
      <c r="E149" s="159" t="s">
        <v>71</v>
      </c>
      <c r="F149" s="134" t="s">
        <v>71</v>
      </c>
      <c r="G149" s="134" t="s">
        <v>71</v>
      </c>
      <c r="H149" s="134" t="s">
        <v>71</v>
      </c>
      <c r="I149" s="134" t="s">
        <v>71</v>
      </c>
      <c r="J149" s="134" t="s">
        <v>71</v>
      </c>
      <c r="K149" s="135" t="s">
        <v>71</v>
      </c>
      <c r="L149" s="134">
        <v>0</v>
      </c>
      <c r="M149" s="135">
        <v>46162.459745370368</v>
      </c>
    </row>
    <row r="150" spans="1:13">
      <c r="B150" s="134" t="s">
        <v>73</v>
      </c>
      <c r="C150" s="134" t="s">
        <v>70</v>
      </c>
      <c r="D150" s="134">
        <v>0</v>
      </c>
      <c r="E150" s="159" t="s">
        <v>71</v>
      </c>
      <c r="F150" s="134" t="s">
        <v>71</v>
      </c>
      <c r="G150" s="134" t="s">
        <v>71</v>
      </c>
      <c r="H150" s="134" t="s">
        <v>71</v>
      </c>
      <c r="I150" s="134" t="s">
        <v>71</v>
      </c>
      <c r="J150" s="134" t="s">
        <v>71</v>
      </c>
      <c r="K150" s="134" t="s">
        <v>71</v>
      </c>
      <c r="L150" s="134">
        <v>0</v>
      </c>
      <c r="M150" s="135">
        <v>46162.470486111109</v>
      </c>
    </row>
    <row r="151" spans="1:13">
      <c r="B151" s="134" t="s">
        <v>81</v>
      </c>
      <c r="C151" s="134" t="s">
        <v>70</v>
      </c>
      <c r="D151" s="134">
        <v>0</v>
      </c>
      <c r="E151" s="159" t="s">
        <v>71</v>
      </c>
      <c r="F151" s="134" t="s">
        <v>71</v>
      </c>
      <c r="G151" s="134" t="s">
        <v>71</v>
      </c>
      <c r="H151" s="134" t="s">
        <v>71</v>
      </c>
      <c r="I151" s="134" t="s">
        <v>71</v>
      </c>
      <c r="J151" s="134" t="s">
        <v>71</v>
      </c>
      <c r="K151" s="134" t="s">
        <v>71</v>
      </c>
      <c r="L151" s="134">
        <v>0</v>
      </c>
      <c r="M151" s="135">
        <v>46162.481203703705</v>
      </c>
    </row>
    <row r="152" spans="1:13">
      <c r="B152" s="134" t="s">
        <v>89</v>
      </c>
      <c r="C152" s="134" t="s">
        <v>70</v>
      </c>
      <c r="D152" s="134">
        <v>0</v>
      </c>
      <c r="E152" s="159" t="s">
        <v>71</v>
      </c>
      <c r="F152" s="134" t="s">
        <v>71</v>
      </c>
      <c r="G152" s="134" t="s">
        <v>71</v>
      </c>
      <c r="H152" s="134" t="s">
        <v>71</v>
      </c>
      <c r="I152" s="134" t="s">
        <v>71</v>
      </c>
      <c r="J152" s="134" t="s">
        <v>71</v>
      </c>
      <c r="K152" s="134" t="s">
        <v>71</v>
      </c>
      <c r="L152" s="134">
        <v>0</v>
      </c>
      <c r="M152" s="135">
        <v>46162.4919212963</v>
      </c>
    </row>
    <row r="153" spans="1:13">
      <c r="B153" s="134" t="s">
        <v>74</v>
      </c>
      <c r="C153" s="134" t="s">
        <v>70</v>
      </c>
      <c r="D153" s="134">
        <v>0</v>
      </c>
      <c r="E153" s="159">
        <v>8.5359999999999996</v>
      </c>
      <c r="F153" s="136">
        <v>50446</v>
      </c>
      <c r="G153" s="134">
        <v>1.34</v>
      </c>
      <c r="H153" s="134">
        <v>91.49</v>
      </c>
      <c r="I153" s="134" t="s">
        <v>71</v>
      </c>
      <c r="J153" s="134" t="s">
        <v>71</v>
      </c>
      <c r="K153" s="134" t="s">
        <v>71</v>
      </c>
      <c r="L153" s="134">
        <v>0</v>
      </c>
      <c r="M153" s="135">
        <v>46162.502638888887</v>
      </c>
    </row>
    <row r="154" spans="1:13">
      <c r="B154" s="134" t="s">
        <v>219</v>
      </c>
      <c r="C154" s="134" t="s">
        <v>70</v>
      </c>
      <c r="D154" s="134">
        <v>0</v>
      </c>
      <c r="E154" s="159">
        <v>8.5280000000000005</v>
      </c>
      <c r="F154" s="136">
        <v>987888</v>
      </c>
      <c r="G154" s="134">
        <v>25.8</v>
      </c>
      <c r="H154" s="137">
        <v>2656.75</v>
      </c>
      <c r="I154" s="134" t="s">
        <v>71</v>
      </c>
      <c r="J154" s="134" t="s">
        <v>71</v>
      </c>
      <c r="K154" s="134" t="s">
        <v>71</v>
      </c>
      <c r="L154" s="134">
        <v>1</v>
      </c>
      <c r="M154" s="135">
        <v>46162.513356481482</v>
      </c>
    </row>
    <row r="155" spans="1:13">
      <c r="B155" s="134" t="s">
        <v>220</v>
      </c>
      <c r="C155" s="134" t="s">
        <v>70</v>
      </c>
      <c r="D155" s="134">
        <v>0</v>
      </c>
      <c r="E155" s="159">
        <v>8.5359999999999996</v>
      </c>
      <c r="F155" s="136">
        <v>986817</v>
      </c>
      <c r="G155" s="134">
        <v>25.77</v>
      </c>
      <c r="H155" s="137">
        <v>2155.2199999999998</v>
      </c>
      <c r="I155" s="134" t="s">
        <v>71</v>
      </c>
      <c r="J155" s="134" t="s">
        <v>71</v>
      </c>
      <c r="K155" s="134" t="s">
        <v>71</v>
      </c>
      <c r="L155" s="134">
        <v>1</v>
      </c>
      <c r="M155" s="135">
        <v>46162.52412037037</v>
      </c>
    </row>
    <row r="156" spans="1:13">
      <c r="B156" s="134" t="s">
        <v>221</v>
      </c>
      <c r="C156" s="134" t="s">
        <v>70</v>
      </c>
      <c r="D156" s="134">
        <v>0</v>
      </c>
      <c r="E156" s="159">
        <v>8.5329999999999995</v>
      </c>
      <c r="F156" s="136">
        <v>970614</v>
      </c>
      <c r="G156" s="134">
        <v>25.35</v>
      </c>
      <c r="H156" s="137">
        <v>2104.6</v>
      </c>
      <c r="I156" s="134" t="s">
        <v>71</v>
      </c>
      <c r="J156" s="134" t="s">
        <v>71</v>
      </c>
      <c r="K156" s="134" t="s">
        <v>71</v>
      </c>
      <c r="L156" s="134">
        <v>1</v>
      </c>
      <c r="M156" s="135">
        <v>46162.534861111111</v>
      </c>
    </row>
    <row r="157" spans="1:13">
      <c r="B157" s="134" t="s">
        <v>222</v>
      </c>
      <c r="C157" s="134" t="s">
        <v>70</v>
      </c>
      <c r="D157" s="134">
        <v>0</v>
      </c>
      <c r="E157" s="159">
        <v>8.532</v>
      </c>
      <c r="F157" s="136">
        <v>982675</v>
      </c>
      <c r="G157" s="134">
        <v>25.66</v>
      </c>
      <c r="H157" s="137">
        <v>2426.62</v>
      </c>
      <c r="I157" s="134" t="s">
        <v>71</v>
      </c>
      <c r="J157" s="134" t="s">
        <v>71</v>
      </c>
      <c r="K157" s="134" t="s">
        <v>71</v>
      </c>
      <c r="L157" s="134">
        <v>1</v>
      </c>
      <c r="M157" s="135">
        <v>46162.545567129629</v>
      </c>
    </row>
    <row r="158" spans="1:13">
      <c r="B158" s="134" t="s">
        <v>223</v>
      </c>
      <c r="C158" s="134" t="s">
        <v>70</v>
      </c>
      <c r="D158" s="134">
        <v>0</v>
      </c>
      <c r="E158" s="159">
        <v>8.5370000000000008</v>
      </c>
      <c r="F158" s="136">
        <v>984509</v>
      </c>
      <c r="G158" s="134">
        <v>25.71</v>
      </c>
      <c r="H158" s="137">
        <v>2130.5700000000002</v>
      </c>
      <c r="I158" s="134" t="s">
        <v>71</v>
      </c>
      <c r="J158" s="134" t="s">
        <v>71</v>
      </c>
      <c r="K158" s="134" t="s">
        <v>71</v>
      </c>
      <c r="L158" s="134">
        <v>1</v>
      </c>
      <c r="M158" s="135">
        <v>46162.556307870371</v>
      </c>
    </row>
    <row r="159" spans="1:13">
      <c r="B159" s="134" t="s">
        <v>224</v>
      </c>
      <c r="C159" s="134" t="s">
        <v>70</v>
      </c>
      <c r="D159" s="134">
        <v>0</v>
      </c>
      <c r="E159" s="159">
        <v>8.5329999999999995</v>
      </c>
      <c r="F159" s="136">
        <v>964919</v>
      </c>
      <c r="G159" s="134">
        <v>25.2</v>
      </c>
      <c r="H159" s="137">
        <v>1818.31</v>
      </c>
      <c r="I159" s="134" t="s">
        <v>71</v>
      </c>
      <c r="J159" s="134" t="s">
        <v>71</v>
      </c>
      <c r="K159" s="134" t="s">
        <v>71</v>
      </c>
      <c r="L159" s="134">
        <v>1</v>
      </c>
      <c r="M159" s="135">
        <v>46162.567048611112</v>
      </c>
    </row>
    <row r="160" spans="1:13" s="53" customFormat="1">
      <c r="B160" s="53" t="s">
        <v>225</v>
      </c>
      <c r="C160" s="53" t="s">
        <v>70</v>
      </c>
      <c r="D160" s="53">
        <v>0</v>
      </c>
      <c r="E160" s="160">
        <v>8.532</v>
      </c>
      <c r="F160" s="78">
        <v>973882</v>
      </c>
      <c r="G160" s="53">
        <v>25.43</v>
      </c>
      <c r="H160" s="129">
        <v>1665.5</v>
      </c>
      <c r="I160" s="53" t="s">
        <v>71</v>
      </c>
      <c r="J160" s="53" t="s">
        <v>71</v>
      </c>
      <c r="K160" s="53" t="s">
        <v>71</v>
      </c>
      <c r="L160" s="53">
        <v>1</v>
      </c>
      <c r="M160" s="107">
        <v>46162.577766203707</v>
      </c>
    </row>
    <row r="161" spans="2:13" s="53" customFormat="1">
      <c r="B161" s="53" t="s">
        <v>226</v>
      </c>
      <c r="C161" s="53" t="s">
        <v>70</v>
      </c>
      <c r="D161" s="53">
        <v>0</v>
      </c>
      <c r="E161" s="160">
        <v>8.5350000000000001</v>
      </c>
      <c r="F161" s="78">
        <v>961890</v>
      </c>
      <c r="G161" s="53">
        <v>25.12</v>
      </c>
      <c r="H161" s="129">
        <v>1897.11</v>
      </c>
      <c r="I161" s="53" t="s">
        <v>71</v>
      </c>
      <c r="J161" s="53" t="s">
        <v>71</v>
      </c>
      <c r="K161" s="53" t="s">
        <v>71</v>
      </c>
      <c r="L161" s="53">
        <v>1</v>
      </c>
      <c r="M161" s="107">
        <v>46162.588483796295</v>
      </c>
    </row>
    <row r="162" spans="2:13">
      <c r="B162" s="134" t="s">
        <v>227</v>
      </c>
      <c r="C162" s="134" t="s">
        <v>70</v>
      </c>
      <c r="D162" s="134">
        <v>0</v>
      </c>
      <c r="E162" s="159" t="s">
        <v>71</v>
      </c>
      <c r="F162" s="134" t="s">
        <v>71</v>
      </c>
      <c r="G162" s="134" t="s">
        <v>71</v>
      </c>
      <c r="H162" s="134" t="s">
        <v>71</v>
      </c>
      <c r="I162" s="134" t="s">
        <v>71</v>
      </c>
      <c r="J162" s="134" t="s">
        <v>71</v>
      </c>
      <c r="K162" s="134" t="s">
        <v>71</v>
      </c>
      <c r="L162" s="134">
        <v>1</v>
      </c>
      <c r="M162" s="135">
        <v>46162.599224537036</v>
      </c>
    </row>
    <row r="163" spans="2:13" s="53" customFormat="1">
      <c r="B163" s="53" t="s">
        <v>76</v>
      </c>
      <c r="C163" s="53" t="s">
        <v>77</v>
      </c>
      <c r="D163" s="53">
        <v>1</v>
      </c>
      <c r="E163" s="160">
        <v>8.5350000000000001</v>
      </c>
      <c r="F163" s="78">
        <v>96891</v>
      </c>
      <c r="G163" s="53">
        <v>2.5499999999999998</v>
      </c>
      <c r="H163" s="53">
        <v>185.98</v>
      </c>
      <c r="I163" s="53">
        <v>2.5499999999999998</v>
      </c>
      <c r="J163" s="53">
        <v>100</v>
      </c>
      <c r="K163" s="53">
        <v>1</v>
      </c>
      <c r="L163" s="53">
        <v>1</v>
      </c>
      <c r="M163" s="107">
        <v>46162.609953703701</v>
      </c>
    </row>
    <row r="164" spans="2:13" s="53" customFormat="1">
      <c r="B164" s="53" t="s">
        <v>78</v>
      </c>
      <c r="C164" s="53" t="s">
        <v>77</v>
      </c>
      <c r="D164" s="53">
        <v>2</v>
      </c>
      <c r="E164" s="160">
        <v>8.5429999999999993</v>
      </c>
      <c r="F164" s="78">
        <v>485608</v>
      </c>
      <c r="G164" s="53">
        <v>12.69</v>
      </c>
      <c r="H164" s="53">
        <v>886.06</v>
      </c>
      <c r="I164" s="53">
        <v>12.73</v>
      </c>
      <c r="J164" s="53">
        <v>99.7</v>
      </c>
      <c r="K164" s="53">
        <v>1</v>
      </c>
      <c r="L164" s="53">
        <v>1</v>
      </c>
      <c r="M164" s="107">
        <v>46162.620682870373</v>
      </c>
    </row>
    <row r="165" spans="2:13" s="53" customFormat="1">
      <c r="B165" s="53" t="s">
        <v>228</v>
      </c>
      <c r="C165" s="53" t="s">
        <v>77</v>
      </c>
      <c r="D165" s="53">
        <v>3</v>
      </c>
      <c r="E165" s="160">
        <v>8.5359999999999996</v>
      </c>
      <c r="F165" s="78">
        <v>985017</v>
      </c>
      <c r="G165" s="53">
        <v>25.73</v>
      </c>
      <c r="H165" s="129">
        <v>2192.4899999999998</v>
      </c>
      <c r="I165" s="53">
        <v>25.45</v>
      </c>
      <c r="J165" s="53">
        <v>101.1</v>
      </c>
      <c r="K165" s="53">
        <v>1</v>
      </c>
      <c r="L165" s="53">
        <v>1</v>
      </c>
      <c r="M165" s="107">
        <v>46162.631423611114</v>
      </c>
    </row>
    <row r="166" spans="2:13" s="53" customFormat="1">
      <c r="B166" s="53" t="s">
        <v>79</v>
      </c>
      <c r="C166" s="53" t="s">
        <v>77</v>
      </c>
      <c r="D166" s="53">
        <v>4</v>
      </c>
      <c r="E166" s="160">
        <v>8.5389999999999997</v>
      </c>
      <c r="F166" s="78">
        <v>1460350</v>
      </c>
      <c r="G166" s="53">
        <v>38.130000000000003</v>
      </c>
      <c r="H166" s="129">
        <v>3576.07</v>
      </c>
      <c r="I166" s="53">
        <v>38.18</v>
      </c>
      <c r="J166" s="53">
        <v>99.9</v>
      </c>
      <c r="K166" s="53">
        <v>1</v>
      </c>
      <c r="L166" s="53">
        <v>1</v>
      </c>
      <c r="M166" s="107">
        <v>46162.642152777778</v>
      </c>
    </row>
    <row r="167" spans="2:13" s="53" customFormat="1">
      <c r="B167" s="53" t="s">
        <v>80</v>
      </c>
      <c r="C167" s="53" t="s">
        <v>77</v>
      </c>
      <c r="D167" s="53">
        <v>5</v>
      </c>
      <c r="E167" s="160">
        <v>8.5380000000000003</v>
      </c>
      <c r="F167" s="78">
        <v>1937067</v>
      </c>
      <c r="G167" s="53">
        <v>50.57</v>
      </c>
      <c r="H167" s="129">
        <v>3869.16</v>
      </c>
      <c r="I167" s="53">
        <v>50.9</v>
      </c>
      <c r="J167" s="53">
        <v>99.3</v>
      </c>
      <c r="K167" s="53">
        <v>1</v>
      </c>
      <c r="L167" s="53">
        <v>1</v>
      </c>
      <c r="M167" s="107">
        <v>46162.65289351852</v>
      </c>
    </row>
    <row r="168" spans="2:13">
      <c r="B168" s="134" t="s">
        <v>229</v>
      </c>
      <c r="C168" s="134" t="s">
        <v>70</v>
      </c>
      <c r="D168" s="134">
        <v>0</v>
      </c>
      <c r="E168" s="159" t="s">
        <v>71</v>
      </c>
      <c r="F168" s="134" t="s">
        <v>71</v>
      </c>
      <c r="G168" s="134" t="s">
        <v>71</v>
      </c>
      <c r="H168" s="134" t="s">
        <v>71</v>
      </c>
      <c r="I168" s="134" t="s">
        <v>71</v>
      </c>
      <c r="J168" s="134" t="s">
        <v>71</v>
      </c>
      <c r="K168" s="134" t="s">
        <v>71</v>
      </c>
      <c r="L168" s="134">
        <v>1</v>
      </c>
      <c r="M168" s="135">
        <v>46162.663634259261</v>
      </c>
    </row>
    <row r="169" spans="2:13">
      <c r="B169" s="134" t="s">
        <v>230</v>
      </c>
      <c r="C169" s="134" t="s">
        <v>70</v>
      </c>
      <c r="D169" s="134">
        <v>0</v>
      </c>
      <c r="E169" s="159">
        <v>8.5419999999999998</v>
      </c>
      <c r="F169" s="136">
        <v>49199</v>
      </c>
      <c r="G169" s="134">
        <v>1.31</v>
      </c>
      <c r="H169" s="134">
        <v>88.81</v>
      </c>
      <c r="I169" s="134" t="s">
        <v>71</v>
      </c>
      <c r="J169" s="134" t="s">
        <v>71</v>
      </c>
      <c r="K169" s="134" t="s">
        <v>71</v>
      </c>
      <c r="L169" s="134">
        <v>1</v>
      </c>
      <c r="M169" s="135">
        <v>46162.674363425926</v>
      </c>
    </row>
    <row r="170" spans="2:13">
      <c r="B170" s="134" t="s">
        <v>231</v>
      </c>
      <c r="C170" s="134" t="s">
        <v>70</v>
      </c>
      <c r="D170" s="134">
        <v>0</v>
      </c>
      <c r="E170" s="159" t="s">
        <v>71</v>
      </c>
      <c r="F170" s="134" t="s">
        <v>71</v>
      </c>
      <c r="G170" s="134" t="s">
        <v>71</v>
      </c>
      <c r="H170" s="134" t="s">
        <v>71</v>
      </c>
      <c r="I170" s="134" t="s">
        <v>71</v>
      </c>
      <c r="J170" s="134" t="s">
        <v>71</v>
      </c>
      <c r="K170" s="134" t="s">
        <v>71</v>
      </c>
      <c r="L170" s="134">
        <v>1</v>
      </c>
      <c r="M170" s="135">
        <v>46162.685081018521</v>
      </c>
    </row>
    <row r="171" spans="2:13">
      <c r="B171" s="134" t="s">
        <v>232</v>
      </c>
      <c r="C171" s="134" t="s">
        <v>70</v>
      </c>
      <c r="D171" s="134">
        <v>0</v>
      </c>
      <c r="E171" s="159">
        <v>8.5419999999999998</v>
      </c>
      <c r="F171" s="136">
        <v>982441</v>
      </c>
      <c r="G171" s="134">
        <v>25.66</v>
      </c>
      <c r="H171" s="137">
        <v>2446.7800000000002</v>
      </c>
      <c r="I171" s="134" t="s">
        <v>71</v>
      </c>
      <c r="J171" s="134" t="s">
        <v>71</v>
      </c>
      <c r="K171" s="134" t="s">
        <v>71</v>
      </c>
      <c r="L171" s="134">
        <v>1</v>
      </c>
      <c r="M171" s="135">
        <v>46162.695787037039</v>
      </c>
    </row>
    <row r="172" spans="2:13">
      <c r="B172" s="134" t="s">
        <v>233</v>
      </c>
      <c r="C172" s="134" t="s">
        <v>70</v>
      </c>
      <c r="D172" s="134">
        <v>0</v>
      </c>
      <c r="E172" s="159" t="s">
        <v>71</v>
      </c>
      <c r="F172" s="134" t="s">
        <v>71</v>
      </c>
      <c r="G172" s="134" t="s">
        <v>71</v>
      </c>
      <c r="H172" s="134" t="s">
        <v>71</v>
      </c>
      <c r="I172" s="134" t="s">
        <v>71</v>
      </c>
      <c r="J172" s="134" t="s">
        <v>71</v>
      </c>
      <c r="K172" s="134" t="s">
        <v>71</v>
      </c>
      <c r="L172" s="134">
        <v>1</v>
      </c>
      <c r="M172" s="135">
        <v>46162.70652777778</v>
      </c>
    </row>
    <row r="173" spans="2:13" s="53" customFormat="1">
      <c r="B173" s="53" t="s">
        <v>234</v>
      </c>
      <c r="C173" s="53" t="s">
        <v>70</v>
      </c>
      <c r="D173" s="53">
        <v>0</v>
      </c>
      <c r="E173" s="160">
        <v>8.5440000000000005</v>
      </c>
      <c r="F173" s="78">
        <v>980390</v>
      </c>
      <c r="G173" s="53">
        <v>25.6</v>
      </c>
      <c r="H173" s="129">
        <v>2239.77</v>
      </c>
      <c r="I173" s="53" t="s">
        <v>71</v>
      </c>
      <c r="J173" s="53" t="s">
        <v>71</v>
      </c>
      <c r="K173" s="53" t="s">
        <v>71</v>
      </c>
      <c r="L173" s="53">
        <v>1</v>
      </c>
      <c r="M173" s="107">
        <v>46162.717245370368</v>
      </c>
    </row>
    <row r="174" spans="2:13" s="53" customFormat="1">
      <c r="B174" s="53" t="s">
        <v>235</v>
      </c>
      <c r="C174" s="53" t="s">
        <v>70</v>
      </c>
      <c r="D174" s="53">
        <v>0</v>
      </c>
      <c r="E174" s="160">
        <v>8.5510000000000002</v>
      </c>
      <c r="F174" s="78">
        <v>974707</v>
      </c>
      <c r="G174" s="53">
        <v>25.46</v>
      </c>
      <c r="H174" s="129">
        <v>1888.29</v>
      </c>
      <c r="I174" s="53" t="s">
        <v>71</v>
      </c>
      <c r="J174" s="53" t="s">
        <v>71</v>
      </c>
      <c r="K174" s="53" t="s">
        <v>71</v>
      </c>
      <c r="L174" s="53">
        <v>1</v>
      </c>
      <c r="M174" s="107">
        <v>46162.727986111109</v>
      </c>
    </row>
    <row r="175" spans="2:13">
      <c r="B175" s="134" t="s">
        <v>236</v>
      </c>
      <c r="C175" s="134" t="s">
        <v>70</v>
      </c>
      <c r="D175" s="134">
        <v>0</v>
      </c>
      <c r="E175" s="159" t="s">
        <v>71</v>
      </c>
      <c r="F175" s="134" t="s">
        <v>71</v>
      </c>
      <c r="G175" s="134" t="s">
        <v>71</v>
      </c>
      <c r="H175" s="134" t="s">
        <v>71</v>
      </c>
      <c r="I175" s="134" t="s">
        <v>71</v>
      </c>
      <c r="J175" s="134" t="s">
        <v>71</v>
      </c>
      <c r="K175" s="134" t="s">
        <v>71</v>
      </c>
      <c r="L175" s="134">
        <v>1</v>
      </c>
      <c r="M175" s="135">
        <v>46162.738715277781</v>
      </c>
    </row>
    <row r="176" spans="2:13">
      <c r="B176" s="134" t="s">
        <v>237</v>
      </c>
      <c r="C176" s="134" t="s">
        <v>70</v>
      </c>
      <c r="D176" s="134">
        <v>0</v>
      </c>
      <c r="E176" s="159">
        <v>8.5489999999999995</v>
      </c>
      <c r="F176" s="136">
        <v>50022</v>
      </c>
      <c r="G176" s="134">
        <v>1.33</v>
      </c>
      <c r="H176" s="134">
        <v>104.12</v>
      </c>
      <c r="I176" s="134" t="s">
        <v>71</v>
      </c>
      <c r="J176" s="134" t="s">
        <v>71</v>
      </c>
      <c r="K176" s="134" t="s">
        <v>71</v>
      </c>
      <c r="L176" s="134">
        <v>1</v>
      </c>
      <c r="M176" s="135">
        <v>46162.749456018515</v>
      </c>
    </row>
    <row r="177" spans="2:13">
      <c r="B177" s="134" t="s">
        <v>238</v>
      </c>
      <c r="C177" s="134" t="s">
        <v>70</v>
      </c>
      <c r="D177" s="134">
        <v>0</v>
      </c>
      <c r="E177" s="159">
        <v>8.5519999999999996</v>
      </c>
      <c r="F177" s="136">
        <v>48420</v>
      </c>
      <c r="G177" s="134">
        <v>1.28</v>
      </c>
      <c r="H177" s="134">
        <v>72.180000000000007</v>
      </c>
      <c r="I177" s="134" t="s">
        <v>71</v>
      </c>
      <c r="J177" s="134" t="s">
        <v>71</v>
      </c>
      <c r="K177" s="134" t="s">
        <v>71</v>
      </c>
      <c r="L177" s="134">
        <v>1</v>
      </c>
      <c r="M177" s="135">
        <v>46162.76017361111</v>
      </c>
    </row>
    <row r="178" spans="2:13">
      <c r="B178" s="134" t="s">
        <v>239</v>
      </c>
      <c r="C178" s="134" t="s">
        <v>70</v>
      </c>
      <c r="D178" s="134">
        <v>0</v>
      </c>
      <c r="E178" s="159">
        <v>8.5510000000000002</v>
      </c>
      <c r="F178" s="136">
        <v>48253</v>
      </c>
      <c r="G178" s="134">
        <v>1.28</v>
      </c>
      <c r="H178" s="134">
        <v>108.07</v>
      </c>
      <c r="I178" s="134" t="s">
        <v>71</v>
      </c>
      <c r="J178" s="134" t="s">
        <v>71</v>
      </c>
      <c r="K178" s="134" t="s">
        <v>71</v>
      </c>
      <c r="L178" s="134">
        <v>1</v>
      </c>
      <c r="M178" s="135">
        <v>46162.770891203705</v>
      </c>
    </row>
    <row r="179" spans="2:13">
      <c r="B179" s="134" t="s">
        <v>240</v>
      </c>
      <c r="C179" s="134" t="s">
        <v>70</v>
      </c>
      <c r="D179" s="134">
        <v>0</v>
      </c>
      <c r="E179" s="159">
        <v>8.5510000000000002</v>
      </c>
      <c r="F179" s="136">
        <v>99977</v>
      </c>
      <c r="G179" s="134">
        <v>2.63</v>
      </c>
      <c r="H179" s="134">
        <v>162.28</v>
      </c>
      <c r="I179" s="134" t="s">
        <v>71</v>
      </c>
      <c r="J179" s="134" t="s">
        <v>71</v>
      </c>
      <c r="K179" s="134" t="s">
        <v>71</v>
      </c>
      <c r="L179" s="134">
        <v>1</v>
      </c>
      <c r="M179" s="135">
        <v>46162.781608796293</v>
      </c>
    </row>
    <row r="180" spans="2:13">
      <c r="B180" s="134" t="s">
        <v>241</v>
      </c>
      <c r="C180" s="134" t="s">
        <v>70</v>
      </c>
      <c r="D180" s="134">
        <v>0</v>
      </c>
      <c r="E180" s="159">
        <v>8.5519999999999996</v>
      </c>
      <c r="F180" s="136">
        <v>101372</v>
      </c>
      <c r="G180" s="134">
        <v>2.67</v>
      </c>
      <c r="H180" s="134">
        <v>183.67</v>
      </c>
      <c r="I180" s="134" t="s">
        <v>71</v>
      </c>
      <c r="J180" s="134" t="s">
        <v>71</v>
      </c>
      <c r="K180" s="134" t="s">
        <v>71</v>
      </c>
      <c r="L180" s="134">
        <v>1</v>
      </c>
      <c r="M180" s="135">
        <v>46162.792326388888</v>
      </c>
    </row>
    <row r="181" spans="2:13">
      <c r="B181" s="134" t="s">
        <v>242</v>
      </c>
      <c r="C181" s="134" t="s">
        <v>70</v>
      </c>
      <c r="D181" s="134">
        <v>0</v>
      </c>
      <c r="E181" s="159">
        <v>8.5510000000000002</v>
      </c>
      <c r="F181" s="136">
        <v>96583</v>
      </c>
      <c r="G181" s="134">
        <v>2.54</v>
      </c>
      <c r="H181" s="134">
        <v>194.85</v>
      </c>
      <c r="I181" s="134" t="s">
        <v>71</v>
      </c>
      <c r="J181" s="134" t="s">
        <v>71</v>
      </c>
      <c r="K181" s="134" t="s">
        <v>71</v>
      </c>
      <c r="L181" s="134">
        <v>1</v>
      </c>
      <c r="M181" s="135">
        <v>46162.803055555552</v>
      </c>
    </row>
    <row r="182" spans="2:13">
      <c r="B182" s="134" t="s">
        <v>243</v>
      </c>
      <c r="C182" s="134" t="s">
        <v>70</v>
      </c>
      <c r="D182" s="134">
        <v>0</v>
      </c>
      <c r="E182" s="159">
        <v>8.5519999999999996</v>
      </c>
      <c r="F182" s="136">
        <v>101019</v>
      </c>
      <c r="G182" s="134">
        <v>2.66</v>
      </c>
      <c r="H182" s="134">
        <v>242.34</v>
      </c>
      <c r="I182" s="134" t="s">
        <v>71</v>
      </c>
      <c r="J182" s="134" t="s">
        <v>71</v>
      </c>
      <c r="K182" s="134" t="s">
        <v>71</v>
      </c>
      <c r="L182" s="134">
        <v>1</v>
      </c>
      <c r="M182" s="135">
        <v>46162.813773148147</v>
      </c>
    </row>
    <row r="183" spans="2:13">
      <c r="B183" s="134" t="s">
        <v>244</v>
      </c>
      <c r="C183" s="134" t="s">
        <v>70</v>
      </c>
      <c r="D183" s="134">
        <v>0</v>
      </c>
      <c r="E183" s="159">
        <v>8.5519999999999996</v>
      </c>
      <c r="F183" s="136">
        <v>100954</v>
      </c>
      <c r="G183" s="134">
        <v>2.66</v>
      </c>
      <c r="H183" s="134">
        <v>175.57</v>
      </c>
      <c r="I183" s="134" t="s">
        <v>71</v>
      </c>
      <c r="J183" s="134" t="s">
        <v>71</v>
      </c>
      <c r="K183" s="134" t="s">
        <v>71</v>
      </c>
      <c r="L183" s="134">
        <v>1</v>
      </c>
      <c r="M183" s="135">
        <v>46162.824490740742</v>
      </c>
    </row>
    <row r="184" spans="2:13">
      <c r="B184" s="134" t="s">
        <v>245</v>
      </c>
      <c r="C184" s="134" t="s">
        <v>70</v>
      </c>
      <c r="D184" s="134">
        <v>0</v>
      </c>
      <c r="E184" s="159">
        <v>8.5530000000000008</v>
      </c>
      <c r="F184" s="136">
        <v>100534</v>
      </c>
      <c r="G184" s="134">
        <v>2.64</v>
      </c>
      <c r="H184" s="134">
        <v>166.09</v>
      </c>
      <c r="I184" s="134" t="s">
        <v>71</v>
      </c>
      <c r="J184" s="134" t="s">
        <v>71</v>
      </c>
      <c r="K184" s="134" t="s">
        <v>71</v>
      </c>
      <c r="L184" s="134">
        <v>1</v>
      </c>
      <c r="M184" s="135">
        <v>46162.83520833333</v>
      </c>
    </row>
    <row r="185" spans="2:13" s="53" customFormat="1">
      <c r="B185" s="53" t="s">
        <v>246</v>
      </c>
      <c r="C185" s="53" t="s">
        <v>70</v>
      </c>
      <c r="D185" s="53">
        <v>0</v>
      </c>
      <c r="E185" s="160">
        <v>8.5530000000000008</v>
      </c>
      <c r="F185" s="78">
        <v>990364</v>
      </c>
      <c r="G185" s="53">
        <v>25.86</v>
      </c>
      <c r="H185" s="129">
        <v>1765.38</v>
      </c>
      <c r="I185" s="53" t="s">
        <v>71</v>
      </c>
      <c r="J185" s="53" t="s">
        <v>71</v>
      </c>
      <c r="K185" s="53" t="s">
        <v>71</v>
      </c>
      <c r="L185" s="53">
        <v>1</v>
      </c>
      <c r="M185" s="107">
        <v>46162.845949074072</v>
      </c>
    </row>
    <row r="186" spans="2:13" s="53" customFormat="1">
      <c r="B186" s="53" t="s">
        <v>247</v>
      </c>
      <c r="C186" s="53" t="s">
        <v>70</v>
      </c>
      <c r="D186" s="53">
        <v>0</v>
      </c>
      <c r="E186" s="160">
        <v>8.5510000000000002</v>
      </c>
      <c r="F186" s="78">
        <v>986413</v>
      </c>
      <c r="G186" s="53">
        <v>25.76</v>
      </c>
      <c r="H186" s="129">
        <v>1803</v>
      </c>
      <c r="I186" s="53" t="s">
        <v>71</v>
      </c>
      <c r="J186" s="53" t="s">
        <v>71</v>
      </c>
      <c r="K186" s="53" t="s">
        <v>71</v>
      </c>
      <c r="L186" s="53">
        <v>1</v>
      </c>
      <c r="M186" s="107">
        <v>46162.856666666667</v>
      </c>
    </row>
    <row r="187" spans="2:13">
      <c r="B187" s="134" t="s">
        <v>248</v>
      </c>
      <c r="C187" s="134" t="s">
        <v>70</v>
      </c>
      <c r="D187" s="134">
        <v>0</v>
      </c>
      <c r="E187" s="159" t="s">
        <v>71</v>
      </c>
      <c r="F187" s="134" t="s">
        <v>71</v>
      </c>
      <c r="G187" s="134" t="s">
        <v>71</v>
      </c>
      <c r="H187" s="134" t="s">
        <v>71</v>
      </c>
      <c r="I187" s="134" t="s">
        <v>71</v>
      </c>
      <c r="J187" s="134" t="s">
        <v>71</v>
      </c>
      <c r="K187" s="134" t="s">
        <v>71</v>
      </c>
      <c r="L187" s="134">
        <v>1</v>
      </c>
      <c r="M187" s="135">
        <v>46162.867395833331</v>
      </c>
    </row>
    <row r="188" spans="2:13" s="53" customFormat="1">
      <c r="B188" s="53" t="s">
        <v>249</v>
      </c>
      <c r="C188" s="53" t="s">
        <v>70</v>
      </c>
      <c r="D188" s="53">
        <v>0</v>
      </c>
      <c r="E188" s="160" t="s">
        <v>71</v>
      </c>
      <c r="F188" s="53" t="s">
        <v>71</v>
      </c>
      <c r="G188" s="53" t="s">
        <v>71</v>
      </c>
      <c r="H188" s="53" t="s">
        <v>71</v>
      </c>
      <c r="I188" s="53" t="s">
        <v>71</v>
      </c>
      <c r="J188" s="53" t="s">
        <v>71</v>
      </c>
      <c r="K188" s="53" t="s">
        <v>71</v>
      </c>
      <c r="L188" s="53">
        <v>1</v>
      </c>
      <c r="M188" s="107">
        <v>46162.878125000003</v>
      </c>
    </row>
    <row r="189" spans="2:13" s="53" customFormat="1">
      <c r="B189" s="53" t="s">
        <v>250</v>
      </c>
      <c r="C189" s="53" t="s">
        <v>70</v>
      </c>
      <c r="D189" s="53">
        <v>0</v>
      </c>
      <c r="E189" s="160" t="s">
        <v>71</v>
      </c>
      <c r="F189" s="53" t="s">
        <v>71</v>
      </c>
      <c r="G189" s="53" t="s">
        <v>71</v>
      </c>
      <c r="H189" s="53" t="s">
        <v>71</v>
      </c>
      <c r="I189" s="53" t="s">
        <v>71</v>
      </c>
      <c r="J189" s="53" t="s">
        <v>71</v>
      </c>
      <c r="K189" s="53" t="s">
        <v>71</v>
      </c>
      <c r="L189" s="53">
        <v>1</v>
      </c>
      <c r="M189" s="107">
        <v>46162.888842592591</v>
      </c>
    </row>
    <row r="190" spans="2:13" s="53" customFormat="1">
      <c r="B190" s="53" t="s">
        <v>251</v>
      </c>
      <c r="C190" s="53" t="s">
        <v>70</v>
      </c>
      <c r="D190" s="53">
        <v>0</v>
      </c>
      <c r="E190" s="160" t="s">
        <v>71</v>
      </c>
      <c r="F190" s="53" t="s">
        <v>71</v>
      </c>
      <c r="G190" s="53" t="s">
        <v>71</v>
      </c>
      <c r="H190" s="53" t="s">
        <v>71</v>
      </c>
      <c r="I190" s="53" t="s">
        <v>71</v>
      </c>
      <c r="J190" s="53" t="s">
        <v>71</v>
      </c>
      <c r="K190" s="53" t="s">
        <v>71</v>
      </c>
      <c r="L190" s="53">
        <v>1</v>
      </c>
      <c r="M190" s="107">
        <v>46162.899560185186</v>
      </c>
    </row>
    <row r="191" spans="2:13" s="53" customFormat="1">
      <c r="B191" s="53" t="s">
        <v>252</v>
      </c>
      <c r="C191" s="53" t="s">
        <v>70</v>
      </c>
      <c r="D191" s="53">
        <v>0</v>
      </c>
      <c r="E191" s="160">
        <v>8.5579999999999998</v>
      </c>
      <c r="F191" s="78">
        <v>100563</v>
      </c>
      <c r="G191" s="53">
        <v>2.65</v>
      </c>
      <c r="H191" s="53">
        <v>189.09</v>
      </c>
      <c r="I191" s="53" t="s">
        <v>71</v>
      </c>
      <c r="J191" s="53" t="s">
        <v>71</v>
      </c>
      <c r="K191" s="53" t="s">
        <v>71</v>
      </c>
      <c r="L191" s="53">
        <v>1</v>
      </c>
      <c r="M191" s="107">
        <v>46162.910277777781</v>
      </c>
    </row>
    <row r="192" spans="2:13" s="53" customFormat="1">
      <c r="B192" s="53" t="s">
        <v>253</v>
      </c>
      <c r="C192" s="53" t="s">
        <v>70</v>
      </c>
      <c r="D192" s="53">
        <v>0</v>
      </c>
      <c r="E192" s="160">
        <v>8.5619999999999994</v>
      </c>
      <c r="F192" s="78">
        <v>96438</v>
      </c>
      <c r="G192" s="53">
        <v>2.54</v>
      </c>
      <c r="H192" s="53">
        <v>188.38</v>
      </c>
      <c r="I192" s="53" t="s">
        <v>71</v>
      </c>
      <c r="J192" s="53" t="s">
        <v>71</v>
      </c>
      <c r="K192" s="53" t="s">
        <v>71</v>
      </c>
      <c r="L192" s="53">
        <v>1</v>
      </c>
      <c r="M192" s="107">
        <v>46162.921006944445</v>
      </c>
    </row>
    <row r="193" spans="2:13" s="53" customFormat="1">
      <c r="B193" s="53" t="s">
        <v>254</v>
      </c>
      <c r="C193" s="53" t="s">
        <v>70</v>
      </c>
      <c r="D193" s="53">
        <v>0</v>
      </c>
      <c r="E193" s="160">
        <v>8.5589999999999993</v>
      </c>
      <c r="F193" s="78">
        <v>98473</v>
      </c>
      <c r="G193" s="53">
        <v>2.59</v>
      </c>
      <c r="H193" s="53">
        <v>233.71</v>
      </c>
      <c r="I193" s="53" t="s">
        <v>71</v>
      </c>
      <c r="J193" s="53" t="s">
        <v>71</v>
      </c>
      <c r="K193" s="53" t="s">
        <v>71</v>
      </c>
      <c r="L193" s="53">
        <v>1</v>
      </c>
      <c r="M193" s="107">
        <v>46162.931759259256</v>
      </c>
    </row>
    <row r="194" spans="2:13">
      <c r="B194" s="134" t="s">
        <v>255</v>
      </c>
      <c r="C194" s="134" t="s">
        <v>70</v>
      </c>
      <c r="D194" s="134">
        <v>0</v>
      </c>
      <c r="E194" s="159" t="s">
        <v>71</v>
      </c>
      <c r="F194" s="134" t="s">
        <v>71</v>
      </c>
      <c r="G194" s="134" t="s">
        <v>71</v>
      </c>
      <c r="H194" s="134" t="s">
        <v>71</v>
      </c>
      <c r="I194" s="134" t="s">
        <v>71</v>
      </c>
      <c r="J194" s="134" t="s">
        <v>71</v>
      </c>
      <c r="K194" s="134" t="s">
        <v>71</v>
      </c>
      <c r="L194" s="134">
        <v>1</v>
      </c>
      <c r="M194" s="135">
        <v>46162.942465277774</v>
      </c>
    </row>
    <row r="195" spans="2:13" s="53" customFormat="1">
      <c r="B195" s="53" t="s">
        <v>256</v>
      </c>
      <c r="C195" s="53" t="s">
        <v>70</v>
      </c>
      <c r="D195" s="53">
        <v>0</v>
      </c>
      <c r="E195" s="160">
        <v>8.5619999999999994</v>
      </c>
      <c r="F195" s="78">
        <v>985117</v>
      </c>
      <c r="G195" s="53">
        <v>25.73</v>
      </c>
      <c r="H195" s="129">
        <v>2101.06</v>
      </c>
      <c r="I195" s="53" t="s">
        <v>71</v>
      </c>
      <c r="J195" s="53" t="s">
        <v>71</v>
      </c>
      <c r="K195" s="53" t="s">
        <v>71</v>
      </c>
      <c r="L195" s="53">
        <v>1</v>
      </c>
      <c r="M195" s="107">
        <v>46162.953182870369</v>
      </c>
    </row>
    <row r="196" spans="2:13" s="53" customFormat="1">
      <c r="B196" s="53" t="s">
        <v>257</v>
      </c>
      <c r="C196" s="53" t="s">
        <v>70</v>
      </c>
      <c r="D196" s="53">
        <v>0</v>
      </c>
      <c r="E196" s="160">
        <v>8.5619999999999994</v>
      </c>
      <c r="F196" s="78">
        <v>996219</v>
      </c>
      <c r="G196" s="53">
        <v>26.02</v>
      </c>
      <c r="H196" s="129">
        <v>2151.13</v>
      </c>
      <c r="I196" s="53" t="s">
        <v>71</v>
      </c>
      <c r="J196" s="53" t="s">
        <v>71</v>
      </c>
      <c r="K196" s="53" t="s">
        <v>71</v>
      </c>
      <c r="L196" s="53">
        <v>1</v>
      </c>
      <c r="M196" s="107">
        <v>46162.963888888888</v>
      </c>
    </row>
    <row r="197" spans="2:13" s="53" customFormat="1">
      <c r="B197" s="53" t="s">
        <v>258</v>
      </c>
      <c r="C197" s="53" t="s">
        <v>70</v>
      </c>
      <c r="D197" s="53">
        <v>0</v>
      </c>
      <c r="E197" s="160">
        <v>8.5619999999999994</v>
      </c>
      <c r="F197" s="78">
        <v>982035</v>
      </c>
      <c r="G197" s="53">
        <v>25.65</v>
      </c>
      <c r="H197" s="129">
        <v>1650.86</v>
      </c>
      <c r="I197" s="53" t="s">
        <v>71</v>
      </c>
      <c r="J197" s="53" t="s">
        <v>71</v>
      </c>
      <c r="K197" s="53" t="s">
        <v>71</v>
      </c>
      <c r="L197" s="53">
        <v>1</v>
      </c>
      <c r="M197" s="107">
        <v>46162.974629629629</v>
      </c>
    </row>
    <row r="198" spans="2:13">
      <c r="B198" s="134" t="s">
        <v>259</v>
      </c>
      <c r="C198" s="134" t="s">
        <v>70</v>
      </c>
      <c r="D198" s="134">
        <v>0</v>
      </c>
      <c r="E198" s="159">
        <v>8.5670000000000002</v>
      </c>
      <c r="F198" s="136">
        <v>991418</v>
      </c>
      <c r="G198" s="134">
        <v>25.89</v>
      </c>
      <c r="H198" s="137">
        <v>2369.6999999999998</v>
      </c>
      <c r="I198" s="134" t="s">
        <v>71</v>
      </c>
      <c r="J198" s="134" t="s">
        <v>71</v>
      </c>
      <c r="K198" s="134" t="s">
        <v>71</v>
      </c>
      <c r="L198" s="134">
        <v>1</v>
      </c>
      <c r="M198" s="135">
        <v>46162.985335648147</v>
      </c>
    </row>
    <row r="199" spans="2:13">
      <c r="B199" s="134" t="s">
        <v>260</v>
      </c>
      <c r="C199" s="134" t="s">
        <v>70</v>
      </c>
      <c r="D199" s="134">
        <v>0</v>
      </c>
      <c r="E199" s="159">
        <v>8.56</v>
      </c>
      <c r="F199" s="136">
        <v>985294</v>
      </c>
      <c r="G199" s="134">
        <v>25.73</v>
      </c>
      <c r="H199" s="137">
        <v>1768.42</v>
      </c>
      <c r="I199" s="134" t="s">
        <v>71</v>
      </c>
      <c r="J199" s="134" t="s">
        <v>71</v>
      </c>
      <c r="K199" s="134" t="s">
        <v>71</v>
      </c>
      <c r="L199" s="134">
        <v>1</v>
      </c>
      <c r="M199" s="135">
        <v>46162.996099537035</v>
      </c>
    </row>
    <row r="200" spans="2:13">
      <c r="B200" s="134" t="s">
        <v>261</v>
      </c>
      <c r="C200" s="134" t="s">
        <v>70</v>
      </c>
      <c r="D200" s="134">
        <v>0</v>
      </c>
      <c r="E200" s="159">
        <v>8.5660000000000007</v>
      </c>
      <c r="F200" s="136">
        <v>977752</v>
      </c>
      <c r="G200" s="134">
        <v>25.54</v>
      </c>
      <c r="H200" s="137">
        <v>1625.76</v>
      </c>
      <c r="I200" s="134" t="s">
        <v>71</v>
      </c>
      <c r="J200" s="134" t="s">
        <v>71</v>
      </c>
      <c r="K200" s="134" t="s">
        <v>71</v>
      </c>
      <c r="L200" s="134">
        <v>1</v>
      </c>
      <c r="M200" s="135">
        <v>46163.006828703707</v>
      </c>
    </row>
    <row r="201" spans="2:13">
      <c r="B201" s="134" t="s">
        <v>262</v>
      </c>
      <c r="C201" s="134" t="s">
        <v>70</v>
      </c>
      <c r="D201" s="134">
        <v>0</v>
      </c>
      <c r="E201" s="159" t="s">
        <v>71</v>
      </c>
      <c r="F201" s="134" t="s">
        <v>71</v>
      </c>
      <c r="G201" s="134" t="s">
        <v>71</v>
      </c>
      <c r="H201" s="134" t="s">
        <v>71</v>
      </c>
      <c r="I201" s="134" t="s">
        <v>71</v>
      </c>
      <c r="J201" s="134" t="s">
        <v>71</v>
      </c>
      <c r="K201" s="134" t="s">
        <v>71</v>
      </c>
      <c r="L201" s="134">
        <v>1</v>
      </c>
      <c r="M201" s="135">
        <v>46163.017557870371</v>
      </c>
    </row>
    <row r="202" spans="2:13" s="53" customFormat="1">
      <c r="B202" s="53" t="s">
        <v>263</v>
      </c>
      <c r="C202" s="53" t="s">
        <v>70</v>
      </c>
      <c r="D202" s="53">
        <v>0</v>
      </c>
      <c r="E202" s="160">
        <v>8.5660000000000007</v>
      </c>
      <c r="F202" s="78">
        <v>1482703</v>
      </c>
      <c r="G202" s="53">
        <v>38.71</v>
      </c>
      <c r="H202" s="129">
        <v>2739.15</v>
      </c>
      <c r="I202" s="53" t="s">
        <v>71</v>
      </c>
      <c r="J202" s="53" t="s">
        <v>71</v>
      </c>
      <c r="K202" s="53" t="s">
        <v>71</v>
      </c>
      <c r="L202" s="53">
        <v>1</v>
      </c>
      <c r="M202" s="107">
        <v>46163.028287037036</v>
      </c>
    </row>
    <row r="203" spans="2:13" s="53" customFormat="1">
      <c r="B203" s="53" t="s">
        <v>264</v>
      </c>
      <c r="C203" s="53" t="s">
        <v>70</v>
      </c>
      <c r="D203" s="53">
        <v>0</v>
      </c>
      <c r="E203" s="160">
        <v>8.5670000000000002</v>
      </c>
      <c r="F203" s="78">
        <v>1467957</v>
      </c>
      <c r="G203" s="53">
        <v>38.33</v>
      </c>
      <c r="H203" s="129">
        <v>3034.84</v>
      </c>
      <c r="I203" s="53" t="s">
        <v>71</v>
      </c>
      <c r="J203" s="53" t="s">
        <v>71</v>
      </c>
      <c r="K203" s="53" t="s">
        <v>71</v>
      </c>
      <c r="L203" s="53">
        <v>1</v>
      </c>
      <c r="M203" s="107">
        <v>46163.038993055554</v>
      </c>
    </row>
    <row r="204" spans="2:13" s="53" customFormat="1">
      <c r="B204" s="53" t="s">
        <v>265</v>
      </c>
      <c r="C204" s="53" t="s">
        <v>70</v>
      </c>
      <c r="D204" s="53">
        <v>0</v>
      </c>
      <c r="E204" s="160">
        <v>8.5709999999999997</v>
      </c>
      <c r="F204" s="78">
        <v>1496641</v>
      </c>
      <c r="G204" s="53">
        <v>39.08</v>
      </c>
      <c r="H204" s="129">
        <v>3198.5</v>
      </c>
      <c r="I204" s="53" t="s">
        <v>71</v>
      </c>
      <c r="J204" s="53" t="s">
        <v>71</v>
      </c>
      <c r="K204" s="53" t="s">
        <v>71</v>
      </c>
      <c r="L204" s="53">
        <v>1</v>
      </c>
      <c r="M204" s="107">
        <v>46163.049722222226</v>
      </c>
    </row>
    <row r="205" spans="2:13">
      <c r="B205" s="134" t="s">
        <v>266</v>
      </c>
      <c r="C205" s="134" t="s">
        <v>70</v>
      </c>
      <c r="D205" s="134">
        <v>0</v>
      </c>
      <c r="E205" s="159" t="s">
        <v>71</v>
      </c>
      <c r="F205" s="134" t="s">
        <v>71</v>
      </c>
      <c r="G205" s="134" t="s">
        <v>71</v>
      </c>
      <c r="H205" s="134" t="s">
        <v>71</v>
      </c>
      <c r="I205" s="134" t="s">
        <v>71</v>
      </c>
      <c r="J205" s="134" t="s">
        <v>71</v>
      </c>
      <c r="K205" s="134" t="s">
        <v>71</v>
      </c>
      <c r="L205" s="134">
        <v>1</v>
      </c>
      <c r="M205" s="135">
        <v>46163.06045138889</v>
      </c>
    </row>
    <row r="206" spans="2:13" s="53" customFormat="1">
      <c r="B206" s="53" t="s">
        <v>267</v>
      </c>
      <c r="C206" s="53" t="s">
        <v>70</v>
      </c>
      <c r="D206" s="53">
        <v>0</v>
      </c>
      <c r="E206" s="160">
        <v>8.5670000000000002</v>
      </c>
      <c r="F206" s="78">
        <v>981534</v>
      </c>
      <c r="G206" s="53">
        <v>25.63</v>
      </c>
      <c r="H206" s="129">
        <v>1892.4</v>
      </c>
      <c r="I206" s="53" t="s">
        <v>71</v>
      </c>
      <c r="J206" s="53" t="s">
        <v>71</v>
      </c>
      <c r="K206" s="53" t="s">
        <v>71</v>
      </c>
      <c r="L206" s="53">
        <v>1</v>
      </c>
      <c r="M206" s="107">
        <v>46163.071203703701</v>
      </c>
    </row>
    <row r="207" spans="2:13" s="53" customFormat="1">
      <c r="B207" s="53" t="s">
        <v>268</v>
      </c>
      <c r="C207" s="53" t="s">
        <v>70</v>
      </c>
      <c r="D207" s="53">
        <v>0</v>
      </c>
      <c r="E207" s="160">
        <v>8.5660000000000007</v>
      </c>
      <c r="F207" s="78">
        <v>988659</v>
      </c>
      <c r="G207" s="53">
        <v>25.82</v>
      </c>
      <c r="H207" s="129">
        <v>2492.52</v>
      </c>
      <c r="I207" s="53" t="s">
        <v>71</v>
      </c>
      <c r="J207" s="53" t="s">
        <v>71</v>
      </c>
      <c r="K207" s="53" t="s">
        <v>71</v>
      </c>
      <c r="L207" s="53">
        <v>1</v>
      </c>
      <c r="M207" s="107">
        <v>46163.081944444442</v>
      </c>
    </row>
    <row r="208" spans="2:13">
      <c r="B208" s="134" t="s">
        <v>269</v>
      </c>
      <c r="C208" s="134" t="s">
        <v>70</v>
      </c>
      <c r="D208" s="134">
        <v>0</v>
      </c>
      <c r="E208" s="159" t="s">
        <v>71</v>
      </c>
      <c r="F208" s="134" t="s">
        <v>71</v>
      </c>
      <c r="G208" s="134" t="s">
        <v>71</v>
      </c>
      <c r="H208" s="134" t="s">
        <v>71</v>
      </c>
      <c r="I208" s="134" t="s">
        <v>71</v>
      </c>
      <c r="J208" s="134" t="s">
        <v>71</v>
      </c>
      <c r="K208" s="134" t="s">
        <v>71</v>
      </c>
      <c r="L208" s="134">
        <v>1</v>
      </c>
      <c r="M208" s="135">
        <v>46163.092673611114</v>
      </c>
    </row>
    <row r="209" spans="2:13">
      <c r="B209" s="134" t="s">
        <v>270</v>
      </c>
      <c r="C209" s="134" t="s">
        <v>70</v>
      </c>
      <c r="D209" s="134">
        <v>0</v>
      </c>
      <c r="E209" s="159" t="s">
        <v>71</v>
      </c>
      <c r="F209" s="134" t="s">
        <v>71</v>
      </c>
      <c r="G209" s="134" t="s">
        <v>71</v>
      </c>
      <c r="H209" s="134" t="s">
        <v>71</v>
      </c>
      <c r="I209" s="134" t="s">
        <v>71</v>
      </c>
      <c r="J209" s="134" t="s">
        <v>71</v>
      </c>
      <c r="K209" s="134" t="s">
        <v>71</v>
      </c>
      <c r="L209" s="134">
        <v>1</v>
      </c>
      <c r="M209" s="135">
        <v>46163.134652777779</v>
      </c>
    </row>
    <row r="210" spans="2:13">
      <c r="B210" s="134" t="s">
        <v>271</v>
      </c>
      <c r="C210" s="134" t="s">
        <v>70</v>
      </c>
      <c r="D210" s="134">
        <v>0</v>
      </c>
      <c r="E210" s="159" t="s">
        <v>71</v>
      </c>
      <c r="F210" s="134" t="s">
        <v>71</v>
      </c>
      <c r="G210" s="134" t="s">
        <v>71</v>
      </c>
      <c r="H210" s="134" t="s">
        <v>71</v>
      </c>
      <c r="I210" s="134" t="s">
        <v>71</v>
      </c>
      <c r="J210" s="134" t="s">
        <v>71</v>
      </c>
      <c r="K210" s="134" t="s">
        <v>71</v>
      </c>
      <c r="L210" s="134">
        <v>1</v>
      </c>
      <c r="M210" s="135">
        <v>46163.176631944443</v>
      </c>
    </row>
    <row r="211" spans="2:13" s="53" customFormat="1">
      <c r="B211" s="53" t="s">
        <v>272</v>
      </c>
      <c r="C211" s="53" t="s">
        <v>70</v>
      </c>
      <c r="D211" s="53">
        <v>0</v>
      </c>
      <c r="E211" s="160">
        <v>8.5779999999999994</v>
      </c>
      <c r="F211" s="78">
        <v>854826</v>
      </c>
      <c r="G211" s="53">
        <v>22.33</v>
      </c>
      <c r="H211" s="129">
        <v>1714.33</v>
      </c>
      <c r="I211" s="53" t="s">
        <v>71</v>
      </c>
      <c r="J211" s="53" t="s">
        <v>71</v>
      </c>
      <c r="K211" s="53" t="s">
        <v>71</v>
      </c>
      <c r="L211" s="53">
        <v>1</v>
      </c>
      <c r="M211" s="107">
        <v>46163.218599537038</v>
      </c>
    </row>
    <row r="212" spans="2:13" s="53" customFormat="1">
      <c r="B212" s="53" t="s">
        <v>273</v>
      </c>
      <c r="C212" s="53" t="s">
        <v>70</v>
      </c>
      <c r="D212" s="53">
        <v>0</v>
      </c>
      <c r="E212" s="160">
        <v>8.5790000000000006</v>
      </c>
      <c r="F212" s="78">
        <v>975118</v>
      </c>
      <c r="G212" s="53">
        <v>25.47</v>
      </c>
      <c r="H212" s="129">
        <v>1950.95</v>
      </c>
      <c r="I212" s="53" t="s">
        <v>71</v>
      </c>
      <c r="J212" s="53" t="s">
        <v>71</v>
      </c>
      <c r="K212" s="53" t="s">
        <v>71</v>
      </c>
      <c r="L212" s="53">
        <v>1</v>
      </c>
      <c r="M212" s="107">
        <v>46163.229317129626</v>
      </c>
    </row>
    <row r="213" spans="2:13">
      <c r="B213" s="134" t="s">
        <v>274</v>
      </c>
      <c r="C213" s="134" t="s">
        <v>70</v>
      </c>
      <c r="D213" s="134">
        <v>0</v>
      </c>
      <c r="E213" s="159" t="s">
        <v>71</v>
      </c>
      <c r="F213" s="134" t="s">
        <v>71</v>
      </c>
      <c r="G213" s="134" t="s">
        <v>71</v>
      </c>
      <c r="H213" s="134" t="s">
        <v>71</v>
      </c>
      <c r="I213" s="134" t="s">
        <v>71</v>
      </c>
      <c r="J213" s="134" t="s">
        <v>71</v>
      </c>
      <c r="K213" s="134" t="s">
        <v>71</v>
      </c>
      <c r="L213" s="134">
        <v>1</v>
      </c>
      <c r="M213" s="135">
        <v>46163.240046296298</v>
      </c>
    </row>
    <row r="214" spans="2:13">
      <c r="B214" s="134" t="s">
        <v>275</v>
      </c>
      <c r="C214" s="134" t="s">
        <v>70</v>
      </c>
      <c r="D214" s="134">
        <v>0</v>
      </c>
      <c r="E214" s="159" t="s">
        <v>71</v>
      </c>
      <c r="F214" s="134" t="s">
        <v>71</v>
      </c>
      <c r="G214" s="134" t="s">
        <v>71</v>
      </c>
      <c r="H214" s="134" t="s">
        <v>71</v>
      </c>
      <c r="I214" s="134" t="s">
        <v>71</v>
      </c>
      <c r="J214" s="134" t="s">
        <v>71</v>
      </c>
      <c r="K214" s="134" t="s">
        <v>71</v>
      </c>
      <c r="L214" s="134">
        <v>1</v>
      </c>
      <c r="M214" s="135">
        <v>46163.282025462962</v>
      </c>
    </row>
    <row r="215" spans="2:13">
      <c r="B215" s="134" t="s">
        <v>276</v>
      </c>
      <c r="C215" s="134" t="s">
        <v>70</v>
      </c>
      <c r="D215" s="134">
        <v>0</v>
      </c>
      <c r="E215" s="159" t="s">
        <v>71</v>
      </c>
      <c r="F215" s="134" t="s">
        <v>71</v>
      </c>
      <c r="G215" s="134" t="s">
        <v>71</v>
      </c>
      <c r="H215" s="134" t="s">
        <v>71</v>
      </c>
      <c r="I215" s="134" t="s">
        <v>71</v>
      </c>
      <c r="J215" s="134" t="s">
        <v>71</v>
      </c>
      <c r="K215" s="134" t="s">
        <v>71</v>
      </c>
      <c r="L215" s="134">
        <v>1</v>
      </c>
      <c r="M215" s="135">
        <v>46163.324004629627</v>
      </c>
    </row>
    <row r="216" spans="2:13" s="53" customFormat="1">
      <c r="B216" s="53" t="s">
        <v>277</v>
      </c>
      <c r="C216" s="53" t="s">
        <v>70</v>
      </c>
      <c r="D216" s="53">
        <v>0</v>
      </c>
      <c r="E216" s="160">
        <v>8.5869999999999997</v>
      </c>
      <c r="F216" s="78">
        <v>875172</v>
      </c>
      <c r="G216" s="53">
        <v>22.86</v>
      </c>
      <c r="H216" s="129">
        <v>1844.29</v>
      </c>
      <c r="I216" s="53" t="s">
        <v>71</v>
      </c>
      <c r="J216" s="53" t="s">
        <v>71</v>
      </c>
      <c r="K216" s="53" t="s">
        <v>71</v>
      </c>
      <c r="L216" s="53">
        <v>1</v>
      </c>
      <c r="M216" s="107">
        <v>46163.365972222222</v>
      </c>
    </row>
    <row r="217" spans="2:13" s="53" customFormat="1">
      <c r="B217" s="53" t="s">
        <v>278</v>
      </c>
      <c r="C217" s="53" t="s">
        <v>70</v>
      </c>
      <c r="D217" s="53">
        <v>0</v>
      </c>
      <c r="E217" s="160">
        <v>8.5830000000000002</v>
      </c>
      <c r="F217" s="78">
        <v>990174</v>
      </c>
      <c r="G217" s="53">
        <v>25.86</v>
      </c>
      <c r="H217" s="129">
        <v>2216.61</v>
      </c>
      <c r="I217" s="53" t="s">
        <v>71</v>
      </c>
      <c r="J217" s="53" t="s">
        <v>71</v>
      </c>
      <c r="K217" s="53" t="s">
        <v>71</v>
      </c>
      <c r="L217" s="53">
        <v>1</v>
      </c>
      <c r="M217" s="107">
        <v>46163.376736111109</v>
      </c>
    </row>
  </sheetData>
  <phoneticPr fontId="23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6"/>
  <sheetViews>
    <sheetView topLeftCell="A61" workbookViewId="0">
      <selection activeCell="C69" sqref="C69:H77"/>
    </sheetView>
  </sheetViews>
  <sheetFormatPr defaultColWidth="21.625" defaultRowHeight="13.5"/>
  <cols>
    <col min="1" max="3" width="21.625" style="40"/>
    <col min="4" max="4" width="20.625" style="40" customWidth="1"/>
    <col min="5" max="5" width="12.875" style="40" customWidth="1"/>
    <col min="6" max="6" width="21.625" style="40"/>
    <col min="7" max="7" width="21.625" style="153"/>
    <col min="8" max="8" width="16.875" style="40" customWidth="1"/>
    <col min="9" max="9" width="17.625" style="40" customWidth="1"/>
    <col min="10" max="16384" width="21.625" style="40"/>
  </cols>
  <sheetData>
    <row r="1" spans="1:14">
      <c r="A1" s="86" t="s">
        <v>282</v>
      </c>
    </row>
    <row r="2" spans="1:14">
      <c r="B2" s="40" t="s">
        <v>58</v>
      </c>
      <c r="C2" s="40" t="s">
        <v>59</v>
      </c>
      <c r="D2" s="40" t="s">
        <v>60</v>
      </c>
      <c r="E2" s="40" t="s">
        <v>61</v>
      </c>
      <c r="F2" s="40" t="s">
        <v>62</v>
      </c>
      <c r="G2" s="153" t="s">
        <v>63</v>
      </c>
      <c r="H2" s="40" t="s">
        <v>64</v>
      </c>
      <c r="I2" s="40" t="s">
        <v>65</v>
      </c>
      <c r="J2" s="40" t="s">
        <v>66</v>
      </c>
      <c r="K2" s="40" t="s">
        <v>67</v>
      </c>
      <c r="L2" s="40" t="s">
        <v>280</v>
      </c>
      <c r="M2" s="40" t="s">
        <v>68</v>
      </c>
      <c r="N2" s="40" t="s">
        <v>281</v>
      </c>
    </row>
    <row r="3" spans="1:14">
      <c r="B3" s="40">
        <v>1</v>
      </c>
      <c r="C3" s="40" t="s">
        <v>69</v>
      </c>
      <c r="D3" s="40" t="s">
        <v>70</v>
      </c>
      <c r="E3" s="40">
        <v>0</v>
      </c>
      <c r="F3" s="40" t="s">
        <v>71</v>
      </c>
      <c r="G3" s="153" t="s">
        <v>71</v>
      </c>
      <c r="H3" s="40" t="s">
        <v>71</v>
      </c>
      <c r="I3" s="40" t="s">
        <v>71</v>
      </c>
      <c r="J3" s="40" t="s">
        <v>71</v>
      </c>
      <c r="K3" s="40" t="s">
        <v>71</v>
      </c>
      <c r="L3" s="40">
        <v>1</v>
      </c>
      <c r="M3" s="40" t="s">
        <v>71</v>
      </c>
      <c r="N3" s="105">
        <v>46163.405833333331</v>
      </c>
    </row>
    <row r="4" spans="1:14">
      <c r="B4" s="40">
        <v>2</v>
      </c>
      <c r="C4" s="40" t="s">
        <v>72</v>
      </c>
      <c r="D4" s="40" t="s">
        <v>70</v>
      </c>
      <c r="E4" s="40">
        <v>0</v>
      </c>
      <c r="F4" s="40" t="s">
        <v>71</v>
      </c>
      <c r="G4" s="153" t="s">
        <v>71</v>
      </c>
      <c r="H4" s="40" t="s">
        <v>71</v>
      </c>
      <c r="I4" s="40" t="s">
        <v>71</v>
      </c>
      <c r="J4" s="40" t="s">
        <v>71</v>
      </c>
      <c r="K4" s="40" t="s">
        <v>71</v>
      </c>
      <c r="L4" s="40">
        <v>1</v>
      </c>
      <c r="M4" s="40" t="s">
        <v>71</v>
      </c>
      <c r="N4" s="105">
        <v>46163.416562500002</v>
      </c>
    </row>
    <row r="5" spans="1:14">
      <c r="B5" s="40">
        <v>3</v>
      </c>
      <c r="C5" s="40" t="s">
        <v>73</v>
      </c>
      <c r="D5" s="40" t="s">
        <v>70</v>
      </c>
      <c r="E5" s="40">
        <v>0</v>
      </c>
      <c r="F5" s="40" t="s">
        <v>71</v>
      </c>
      <c r="G5" s="153" t="s">
        <v>71</v>
      </c>
      <c r="H5" s="40" t="s">
        <v>71</v>
      </c>
      <c r="I5" s="40" t="s">
        <v>71</v>
      </c>
      <c r="J5" s="40" t="s">
        <v>71</v>
      </c>
      <c r="K5" s="40" t="s">
        <v>71</v>
      </c>
      <c r="L5" s="40">
        <v>1</v>
      </c>
      <c r="M5" s="40" t="s">
        <v>71</v>
      </c>
      <c r="N5" s="105">
        <v>46163.427291666667</v>
      </c>
    </row>
    <row r="6" spans="1:14">
      <c r="B6" s="40">
        <v>4</v>
      </c>
      <c r="C6" s="40" t="s">
        <v>81</v>
      </c>
      <c r="D6" s="40" t="s">
        <v>70</v>
      </c>
      <c r="E6" s="40">
        <v>0</v>
      </c>
      <c r="F6" s="40" t="s">
        <v>71</v>
      </c>
      <c r="G6" s="153" t="s">
        <v>71</v>
      </c>
      <c r="H6" s="40" t="s">
        <v>71</v>
      </c>
      <c r="I6" s="40" t="s">
        <v>71</v>
      </c>
      <c r="J6" s="40" t="s">
        <v>71</v>
      </c>
      <c r="K6" s="40" t="s">
        <v>71</v>
      </c>
      <c r="L6" s="40">
        <v>1</v>
      </c>
      <c r="M6" s="40" t="s">
        <v>71</v>
      </c>
      <c r="N6" s="105">
        <v>46163.438009259262</v>
      </c>
    </row>
    <row r="7" spans="1:14">
      <c r="B7" s="40">
        <v>5</v>
      </c>
      <c r="C7" s="40" t="s">
        <v>89</v>
      </c>
      <c r="D7" s="40" t="s">
        <v>70</v>
      </c>
      <c r="E7" s="40">
        <v>0</v>
      </c>
      <c r="F7" s="40" t="s">
        <v>71</v>
      </c>
      <c r="G7" s="153" t="s">
        <v>71</v>
      </c>
      <c r="H7" s="40" t="s">
        <v>71</v>
      </c>
      <c r="I7" s="40" t="s">
        <v>71</v>
      </c>
      <c r="J7" s="40" t="s">
        <v>71</v>
      </c>
      <c r="K7" s="40" t="s">
        <v>71</v>
      </c>
      <c r="L7" s="40">
        <v>1</v>
      </c>
      <c r="M7" s="40" t="s">
        <v>71</v>
      </c>
      <c r="N7" s="105">
        <v>46163.44872685185</v>
      </c>
    </row>
    <row r="8" spans="1:14">
      <c r="B8" s="40">
        <v>6</v>
      </c>
      <c r="C8" s="40" t="s">
        <v>74</v>
      </c>
      <c r="D8" s="40" t="s">
        <v>70</v>
      </c>
      <c r="E8" s="40">
        <v>0</v>
      </c>
      <c r="F8" s="40">
        <v>6.6689999999999996</v>
      </c>
      <c r="G8" s="153">
        <v>83595</v>
      </c>
      <c r="H8" s="40">
        <v>1.2</v>
      </c>
      <c r="I8" s="40">
        <v>123.62</v>
      </c>
      <c r="J8" s="40" t="s">
        <v>71</v>
      </c>
      <c r="K8" s="40" t="s">
        <v>71</v>
      </c>
      <c r="L8" s="40">
        <v>1</v>
      </c>
      <c r="M8" s="40" t="s">
        <v>71</v>
      </c>
      <c r="N8" s="105">
        <v>46163.459444444445</v>
      </c>
    </row>
    <row r="9" spans="1:14">
      <c r="B9" s="40">
        <v>7</v>
      </c>
      <c r="C9" s="40" t="s">
        <v>75</v>
      </c>
      <c r="D9" s="40" t="s">
        <v>70</v>
      </c>
      <c r="E9" s="40">
        <v>0</v>
      </c>
      <c r="F9" s="40">
        <v>6.6639999999999997</v>
      </c>
      <c r="G9" s="153">
        <v>83657</v>
      </c>
      <c r="H9" s="40">
        <v>1.2</v>
      </c>
      <c r="I9" s="40">
        <v>107.51</v>
      </c>
      <c r="J9" s="40" t="s">
        <v>71</v>
      </c>
      <c r="K9" s="40" t="s">
        <v>71</v>
      </c>
      <c r="L9" s="40">
        <v>1</v>
      </c>
      <c r="M9" s="40" t="s">
        <v>71</v>
      </c>
      <c r="N9" s="105">
        <v>46163.470173611109</v>
      </c>
    </row>
    <row r="10" spans="1:14" s="53" customFormat="1">
      <c r="B10" s="53">
        <v>8</v>
      </c>
      <c r="C10" s="53" t="s">
        <v>76</v>
      </c>
      <c r="D10" s="53" t="s">
        <v>77</v>
      </c>
      <c r="E10" s="53">
        <v>1</v>
      </c>
      <c r="F10" s="53">
        <v>6.6660000000000004</v>
      </c>
      <c r="G10" s="154">
        <v>167727</v>
      </c>
      <c r="H10" s="53">
        <v>2.5099999999999998</v>
      </c>
      <c r="I10" s="53">
        <v>222.82</v>
      </c>
      <c r="J10" s="53">
        <v>2.5099999999999998</v>
      </c>
      <c r="K10" s="53">
        <v>99.9</v>
      </c>
      <c r="L10" s="53">
        <v>1</v>
      </c>
      <c r="M10" s="53">
        <v>1</v>
      </c>
      <c r="N10" s="107">
        <v>46163.480949074074</v>
      </c>
    </row>
    <row r="11" spans="1:14" s="53" customFormat="1">
      <c r="B11" s="53">
        <v>9</v>
      </c>
      <c r="C11" s="53" t="s">
        <v>78</v>
      </c>
      <c r="D11" s="53" t="s">
        <v>77</v>
      </c>
      <c r="E11" s="53">
        <v>2</v>
      </c>
      <c r="F11" s="53">
        <v>6.6660000000000004</v>
      </c>
      <c r="G11" s="154">
        <v>822338</v>
      </c>
      <c r="H11" s="53">
        <v>12.66</v>
      </c>
      <c r="I11" s="53">
        <v>599.54</v>
      </c>
      <c r="J11" s="53">
        <v>12.57</v>
      </c>
      <c r="K11" s="53">
        <v>100.7</v>
      </c>
      <c r="L11" s="53">
        <v>1</v>
      </c>
      <c r="M11" s="53">
        <v>1</v>
      </c>
      <c r="N11" s="107">
        <v>46163.491666666669</v>
      </c>
    </row>
    <row r="12" spans="1:14" s="53" customFormat="1">
      <c r="B12" s="53">
        <v>10</v>
      </c>
      <c r="C12" s="53" t="s">
        <v>228</v>
      </c>
      <c r="D12" s="53" t="s">
        <v>77</v>
      </c>
      <c r="E12" s="53">
        <v>3</v>
      </c>
      <c r="F12" s="53">
        <v>6.665</v>
      </c>
      <c r="G12" s="154">
        <v>1638398</v>
      </c>
      <c r="H12" s="53">
        <v>25.31</v>
      </c>
      <c r="I12" s="53">
        <v>893.12</v>
      </c>
      <c r="J12" s="53">
        <v>25.14</v>
      </c>
      <c r="K12" s="53">
        <v>100.7</v>
      </c>
      <c r="L12" s="53">
        <v>1</v>
      </c>
      <c r="M12" s="53">
        <v>1</v>
      </c>
      <c r="N12" s="107">
        <v>46163.50240740741</v>
      </c>
    </row>
    <row r="13" spans="1:14" s="53" customFormat="1">
      <c r="B13" s="53">
        <v>11</v>
      </c>
      <c r="C13" s="53" t="s">
        <v>79</v>
      </c>
      <c r="D13" s="53" t="s">
        <v>77</v>
      </c>
      <c r="E13" s="53">
        <v>4</v>
      </c>
      <c r="F13" s="53">
        <v>6.6619999999999999</v>
      </c>
      <c r="G13" s="154">
        <v>2429677</v>
      </c>
      <c r="H13" s="53">
        <v>37.590000000000003</v>
      </c>
      <c r="I13" s="129">
        <v>1107.43</v>
      </c>
      <c r="J13" s="53">
        <v>37.71</v>
      </c>
      <c r="K13" s="53">
        <v>99.7</v>
      </c>
      <c r="L13" s="53">
        <v>1</v>
      </c>
      <c r="M13" s="53">
        <v>1</v>
      </c>
      <c r="N13" s="107">
        <v>46163.513124999998</v>
      </c>
    </row>
    <row r="14" spans="1:14" s="53" customFormat="1">
      <c r="B14" s="53">
        <v>12</v>
      </c>
      <c r="C14" s="53" t="s">
        <v>80</v>
      </c>
      <c r="D14" s="53" t="s">
        <v>77</v>
      </c>
      <c r="E14" s="53">
        <v>5</v>
      </c>
      <c r="F14" s="53">
        <v>6.6630000000000003</v>
      </c>
      <c r="G14" s="154">
        <v>3218106</v>
      </c>
      <c r="H14" s="53">
        <v>49.81</v>
      </c>
      <c r="I14" s="53">
        <v>949.89</v>
      </c>
      <c r="J14" s="53">
        <v>50.28</v>
      </c>
      <c r="K14" s="53">
        <v>99.1</v>
      </c>
      <c r="L14" s="53">
        <v>1</v>
      </c>
      <c r="M14" s="53">
        <v>1</v>
      </c>
      <c r="N14" s="107">
        <v>46163.523842592593</v>
      </c>
    </row>
    <row r="15" spans="1:14">
      <c r="B15" s="40">
        <v>13</v>
      </c>
      <c r="C15" s="40" t="s">
        <v>227</v>
      </c>
      <c r="D15" s="40" t="s">
        <v>70</v>
      </c>
      <c r="E15" s="40">
        <v>0</v>
      </c>
      <c r="F15" s="40" t="s">
        <v>71</v>
      </c>
      <c r="G15" s="153" t="s">
        <v>71</v>
      </c>
      <c r="H15" s="40" t="s">
        <v>71</v>
      </c>
      <c r="I15" s="40" t="s">
        <v>71</v>
      </c>
      <c r="J15" s="40" t="s">
        <v>71</v>
      </c>
      <c r="K15" s="40" t="s">
        <v>71</v>
      </c>
      <c r="L15" s="40">
        <v>1</v>
      </c>
      <c r="M15" s="40" t="s">
        <v>71</v>
      </c>
      <c r="N15" s="105">
        <v>46163.534571759257</v>
      </c>
    </row>
    <row r="16" spans="1:14">
      <c r="B16" s="40">
        <v>14</v>
      </c>
      <c r="C16" s="40" t="s">
        <v>229</v>
      </c>
      <c r="D16" s="40" t="s">
        <v>70</v>
      </c>
      <c r="E16" s="40">
        <v>0</v>
      </c>
      <c r="F16" s="40" t="s">
        <v>71</v>
      </c>
      <c r="G16" s="153" t="s">
        <v>71</v>
      </c>
      <c r="H16" s="40" t="s">
        <v>71</v>
      </c>
      <c r="I16" s="40" t="s">
        <v>71</v>
      </c>
      <c r="J16" s="40" t="s">
        <v>71</v>
      </c>
      <c r="K16" s="40" t="s">
        <v>71</v>
      </c>
      <c r="L16" s="40">
        <v>1</v>
      </c>
      <c r="M16" s="40" t="s">
        <v>71</v>
      </c>
      <c r="N16" s="105">
        <v>46163.545312499999</v>
      </c>
    </row>
    <row r="17" spans="2:14">
      <c r="B17" s="40">
        <v>15</v>
      </c>
      <c r="C17" s="40" t="s">
        <v>82</v>
      </c>
      <c r="D17" s="40" t="s">
        <v>70</v>
      </c>
      <c r="E17" s="40">
        <v>0</v>
      </c>
      <c r="F17" s="40" t="s">
        <v>71</v>
      </c>
      <c r="G17" s="153" t="s">
        <v>71</v>
      </c>
      <c r="H17" s="40" t="s">
        <v>71</v>
      </c>
      <c r="I17" s="40" t="s">
        <v>71</v>
      </c>
      <c r="J17" s="40" t="s">
        <v>71</v>
      </c>
      <c r="K17" s="40" t="s">
        <v>71</v>
      </c>
      <c r="L17" s="40">
        <v>1</v>
      </c>
      <c r="M17" s="40" t="s">
        <v>71</v>
      </c>
      <c r="N17" s="105">
        <v>46163.556041666663</v>
      </c>
    </row>
    <row r="18" spans="2:14">
      <c r="B18" s="40">
        <v>16</v>
      </c>
      <c r="C18" s="40" t="s">
        <v>127</v>
      </c>
      <c r="D18" s="40" t="s">
        <v>70</v>
      </c>
      <c r="E18" s="40">
        <v>0</v>
      </c>
      <c r="F18" s="40">
        <v>6.665</v>
      </c>
      <c r="G18" s="153">
        <v>1601499</v>
      </c>
      <c r="H18" s="40">
        <v>24.74</v>
      </c>
      <c r="I18" s="40">
        <v>816.32</v>
      </c>
      <c r="J18" s="40" t="s">
        <v>71</v>
      </c>
      <c r="K18" s="40" t="s">
        <v>71</v>
      </c>
      <c r="L18" s="40">
        <v>1</v>
      </c>
      <c r="M18" s="40" t="s">
        <v>71</v>
      </c>
      <c r="N18" s="105">
        <v>46163.566782407404</v>
      </c>
    </row>
    <row r="19" spans="2:14">
      <c r="B19" s="40">
        <v>17</v>
      </c>
      <c r="C19" s="40" t="s">
        <v>83</v>
      </c>
      <c r="D19" s="40" t="s">
        <v>70</v>
      </c>
      <c r="E19" s="40">
        <v>0</v>
      </c>
      <c r="F19" s="40">
        <v>6.6669999999999998</v>
      </c>
      <c r="G19" s="153">
        <v>1587135</v>
      </c>
      <c r="H19" s="40">
        <v>24.52</v>
      </c>
      <c r="I19" s="40">
        <v>797.71</v>
      </c>
      <c r="J19" s="40" t="s">
        <v>71</v>
      </c>
      <c r="K19" s="40" t="s">
        <v>71</v>
      </c>
      <c r="L19" s="40">
        <v>1</v>
      </c>
      <c r="M19" s="40" t="s">
        <v>71</v>
      </c>
      <c r="N19" s="105">
        <v>46163.577534722222</v>
      </c>
    </row>
    <row r="20" spans="2:14">
      <c r="B20" s="40">
        <v>18</v>
      </c>
      <c r="C20" s="40" t="s">
        <v>84</v>
      </c>
      <c r="D20" s="40" t="s">
        <v>70</v>
      </c>
      <c r="E20" s="40">
        <v>0</v>
      </c>
      <c r="F20" s="40">
        <v>6.665</v>
      </c>
      <c r="G20" s="153">
        <v>1580924</v>
      </c>
      <c r="H20" s="40">
        <v>24.42</v>
      </c>
      <c r="I20" s="40">
        <v>798.84</v>
      </c>
      <c r="J20" s="40" t="s">
        <v>71</v>
      </c>
      <c r="K20" s="40" t="s">
        <v>71</v>
      </c>
      <c r="L20" s="40">
        <v>1</v>
      </c>
      <c r="M20" s="40" t="s">
        <v>71</v>
      </c>
      <c r="N20" s="105">
        <v>46163.588263888887</v>
      </c>
    </row>
    <row r="21" spans="2:14">
      <c r="B21" s="40">
        <v>19</v>
      </c>
      <c r="C21" s="40" t="s">
        <v>85</v>
      </c>
      <c r="D21" s="40" t="s">
        <v>70</v>
      </c>
      <c r="E21" s="40">
        <v>0</v>
      </c>
      <c r="F21" s="40">
        <v>6.6660000000000004</v>
      </c>
      <c r="G21" s="153">
        <v>1574182</v>
      </c>
      <c r="H21" s="40">
        <v>24.32</v>
      </c>
      <c r="I21" s="40">
        <v>653.11</v>
      </c>
      <c r="J21" s="40" t="s">
        <v>71</v>
      </c>
      <c r="K21" s="40" t="s">
        <v>71</v>
      </c>
      <c r="L21" s="40">
        <v>1</v>
      </c>
      <c r="M21" s="40" t="s">
        <v>71</v>
      </c>
      <c r="N21" s="105">
        <v>46163.598981481482</v>
      </c>
    </row>
    <row r="22" spans="2:14">
      <c r="B22" s="40">
        <v>20</v>
      </c>
      <c r="C22" s="40" t="s">
        <v>86</v>
      </c>
      <c r="D22" s="40" t="s">
        <v>70</v>
      </c>
      <c r="E22" s="40">
        <v>0</v>
      </c>
      <c r="F22" s="40">
        <v>6.6660000000000004</v>
      </c>
      <c r="G22" s="153">
        <v>1578286</v>
      </c>
      <c r="H22" s="40">
        <v>24.38</v>
      </c>
      <c r="I22" s="40">
        <v>748.07</v>
      </c>
      <c r="J22" s="40" t="s">
        <v>71</v>
      </c>
      <c r="K22" s="40" t="s">
        <v>71</v>
      </c>
      <c r="L22" s="40">
        <v>1</v>
      </c>
      <c r="M22" s="40" t="s">
        <v>71</v>
      </c>
      <c r="N22" s="105">
        <v>46163.609710648147</v>
      </c>
    </row>
    <row r="23" spans="2:14">
      <c r="B23" s="40">
        <v>21</v>
      </c>
      <c r="C23" s="40" t="s">
        <v>87</v>
      </c>
      <c r="D23" s="40" t="s">
        <v>70</v>
      </c>
      <c r="E23" s="40">
        <v>0</v>
      </c>
      <c r="F23" s="40">
        <v>6.6669999999999998</v>
      </c>
      <c r="G23" s="153">
        <v>1576486</v>
      </c>
      <c r="H23" s="40">
        <v>24.35</v>
      </c>
      <c r="I23" s="40">
        <v>919.24</v>
      </c>
      <c r="J23" s="40" t="s">
        <v>71</v>
      </c>
      <c r="K23" s="40" t="s">
        <v>71</v>
      </c>
      <c r="L23" s="40">
        <v>1</v>
      </c>
      <c r="M23" s="40" t="s">
        <v>71</v>
      </c>
      <c r="N23" s="105">
        <v>46163.620428240742</v>
      </c>
    </row>
    <row r="24" spans="2:14">
      <c r="B24" s="40">
        <v>22</v>
      </c>
      <c r="C24" s="40" t="s">
        <v>88</v>
      </c>
      <c r="D24" s="40" t="s">
        <v>70</v>
      </c>
      <c r="E24" s="40">
        <v>0</v>
      </c>
      <c r="F24" s="40">
        <v>6.6639999999999997</v>
      </c>
      <c r="G24" s="153">
        <v>1580765</v>
      </c>
      <c r="H24" s="40">
        <v>24.42</v>
      </c>
      <c r="I24" s="40">
        <v>684.28</v>
      </c>
      <c r="J24" s="40" t="s">
        <v>71</v>
      </c>
      <c r="K24" s="40" t="s">
        <v>71</v>
      </c>
      <c r="L24" s="40">
        <v>1</v>
      </c>
      <c r="M24" s="40" t="s">
        <v>71</v>
      </c>
      <c r="N24" s="105">
        <v>46163.631157407406</v>
      </c>
    </row>
    <row r="25" spans="2:14">
      <c r="B25" s="40">
        <v>23</v>
      </c>
      <c r="C25" s="40" t="s">
        <v>233</v>
      </c>
      <c r="D25" s="40" t="s">
        <v>70</v>
      </c>
      <c r="E25" s="40">
        <v>0</v>
      </c>
      <c r="F25" s="40" t="s">
        <v>71</v>
      </c>
      <c r="G25" s="153" t="s">
        <v>71</v>
      </c>
      <c r="H25" s="40" t="s">
        <v>71</v>
      </c>
      <c r="I25" s="40" t="s">
        <v>71</v>
      </c>
      <c r="J25" s="40" t="s">
        <v>71</v>
      </c>
      <c r="K25" s="40" t="s">
        <v>71</v>
      </c>
      <c r="L25" s="40">
        <v>1</v>
      </c>
      <c r="M25" s="40" t="s">
        <v>71</v>
      </c>
      <c r="N25" s="105">
        <v>46163.641875000001</v>
      </c>
    </row>
    <row r="26" spans="2:14">
      <c r="B26" s="40">
        <v>24</v>
      </c>
      <c r="C26" s="40" t="s">
        <v>236</v>
      </c>
      <c r="D26" s="40" t="s">
        <v>70</v>
      </c>
      <c r="E26" s="40">
        <v>0</v>
      </c>
      <c r="F26" s="40" t="s">
        <v>71</v>
      </c>
      <c r="G26" s="153" t="s">
        <v>71</v>
      </c>
      <c r="H26" s="40" t="s">
        <v>71</v>
      </c>
      <c r="I26" s="40" t="s">
        <v>71</v>
      </c>
      <c r="J26" s="40" t="s">
        <v>71</v>
      </c>
      <c r="K26" s="40" t="s">
        <v>71</v>
      </c>
      <c r="L26" s="40">
        <v>1</v>
      </c>
      <c r="M26" s="40" t="s">
        <v>71</v>
      </c>
      <c r="N26" s="105">
        <v>46163.652592592596</v>
      </c>
    </row>
    <row r="27" spans="2:14">
      <c r="B27" s="40">
        <v>25</v>
      </c>
      <c r="C27" s="40" t="s">
        <v>248</v>
      </c>
      <c r="D27" s="40" t="s">
        <v>70</v>
      </c>
      <c r="E27" s="40">
        <v>0</v>
      </c>
      <c r="F27" s="40" t="s">
        <v>71</v>
      </c>
      <c r="G27" s="153" t="s">
        <v>71</v>
      </c>
      <c r="H27" s="40" t="s">
        <v>71</v>
      </c>
      <c r="I27" s="40" t="s">
        <v>71</v>
      </c>
      <c r="J27" s="40" t="s">
        <v>71</v>
      </c>
      <c r="K27" s="40" t="s">
        <v>71</v>
      </c>
      <c r="L27" s="40">
        <v>1</v>
      </c>
      <c r="M27" s="40" t="s">
        <v>71</v>
      </c>
      <c r="N27" s="105">
        <v>46163.663321759261</v>
      </c>
    </row>
    <row r="28" spans="2:14">
      <c r="B28" s="40">
        <v>26</v>
      </c>
      <c r="C28" s="40" t="s">
        <v>255</v>
      </c>
      <c r="D28" s="40" t="s">
        <v>70</v>
      </c>
      <c r="E28" s="40">
        <v>0</v>
      </c>
      <c r="F28" s="40" t="s">
        <v>71</v>
      </c>
      <c r="G28" s="153" t="s">
        <v>71</v>
      </c>
      <c r="H28" s="40" t="s">
        <v>71</v>
      </c>
      <c r="I28" s="40" t="s">
        <v>71</v>
      </c>
      <c r="J28" s="40" t="s">
        <v>71</v>
      </c>
      <c r="K28" s="40" t="s">
        <v>71</v>
      </c>
      <c r="L28" s="40">
        <v>1</v>
      </c>
      <c r="M28" s="40" t="s">
        <v>71</v>
      </c>
      <c r="N28" s="105">
        <v>46163.674050925925</v>
      </c>
    </row>
    <row r="29" spans="2:14">
      <c r="B29" s="40">
        <v>27</v>
      </c>
      <c r="C29" s="40" t="s">
        <v>262</v>
      </c>
      <c r="D29" s="40" t="s">
        <v>70</v>
      </c>
      <c r="E29" s="40">
        <v>0</v>
      </c>
      <c r="F29" s="40" t="s">
        <v>71</v>
      </c>
      <c r="G29" s="153" t="s">
        <v>71</v>
      </c>
      <c r="H29" s="40" t="s">
        <v>71</v>
      </c>
      <c r="I29" s="40" t="s">
        <v>71</v>
      </c>
      <c r="J29" s="40" t="s">
        <v>71</v>
      </c>
      <c r="K29" s="40" t="s">
        <v>71</v>
      </c>
      <c r="L29" s="40">
        <v>1</v>
      </c>
      <c r="M29" s="40" t="s">
        <v>71</v>
      </c>
      <c r="N29" s="105">
        <v>46163.68476851852</v>
      </c>
    </row>
    <row r="30" spans="2:14">
      <c r="B30" s="40">
        <v>28</v>
      </c>
      <c r="C30" s="40" t="s">
        <v>283</v>
      </c>
      <c r="D30" s="40" t="s">
        <v>70</v>
      </c>
      <c r="E30" s="40">
        <v>0</v>
      </c>
      <c r="F30" s="40" t="s">
        <v>71</v>
      </c>
      <c r="G30" s="153" t="s">
        <v>71</v>
      </c>
      <c r="H30" s="40" t="s">
        <v>71</v>
      </c>
      <c r="I30" s="40" t="s">
        <v>71</v>
      </c>
      <c r="J30" s="40" t="s">
        <v>71</v>
      </c>
      <c r="K30" s="40" t="s">
        <v>71</v>
      </c>
      <c r="L30" s="40">
        <v>1</v>
      </c>
      <c r="M30" s="40" t="s">
        <v>71</v>
      </c>
      <c r="N30" s="105">
        <v>46163.695497685185</v>
      </c>
    </row>
    <row r="31" spans="2:14">
      <c r="B31" s="40">
        <v>29</v>
      </c>
      <c r="C31" s="40" t="s">
        <v>284</v>
      </c>
      <c r="D31" s="40" t="s">
        <v>70</v>
      </c>
      <c r="E31" s="40">
        <v>0</v>
      </c>
      <c r="F31" s="40" t="s">
        <v>71</v>
      </c>
      <c r="G31" s="153" t="s">
        <v>71</v>
      </c>
      <c r="H31" s="40" t="s">
        <v>71</v>
      </c>
      <c r="I31" s="40" t="s">
        <v>71</v>
      </c>
      <c r="J31" s="40" t="s">
        <v>71</v>
      </c>
      <c r="K31" s="40" t="s">
        <v>71</v>
      </c>
      <c r="L31" s="40">
        <v>1</v>
      </c>
      <c r="M31" s="40" t="s">
        <v>71</v>
      </c>
      <c r="N31" s="105">
        <v>46163.706226851849</v>
      </c>
    </row>
    <row r="32" spans="2:14">
      <c r="B32" s="40">
        <v>30</v>
      </c>
      <c r="C32" s="40" t="s">
        <v>285</v>
      </c>
      <c r="D32" s="40" t="s">
        <v>70</v>
      </c>
      <c r="E32" s="40">
        <v>0</v>
      </c>
      <c r="F32" s="40" t="s">
        <v>71</v>
      </c>
      <c r="G32" s="153" t="s">
        <v>71</v>
      </c>
      <c r="H32" s="40" t="s">
        <v>71</v>
      </c>
      <c r="I32" s="40" t="s">
        <v>71</v>
      </c>
      <c r="J32" s="40" t="s">
        <v>71</v>
      </c>
      <c r="K32" s="40" t="s">
        <v>71</v>
      </c>
      <c r="L32" s="40">
        <v>1</v>
      </c>
      <c r="M32" s="40" t="s">
        <v>71</v>
      </c>
      <c r="N32" s="105">
        <v>46163.716932870368</v>
      </c>
    </row>
    <row r="33" spans="1:14">
      <c r="B33" s="40">
        <v>31</v>
      </c>
      <c r="C33" s="40" t="s">
        <v>286</v>
      </c>
      <c r="D33" s="40" t="s">
        <v>70</v>
      </c>
      <c r="E33" s="40">
        <v>0</v>
      </c>
      <c r="F33" s="40" t="s">
        <v>71</v>
      </c>
      <c r="G33" s="153" t="s">
        <v>71</v>
      </c>
      <c r="H33" s="40" t="s">
        <v>71</v>
      </c>
      <c r="I33" s="40" t="s">
        <v>71</v>
      </c>
      <c r="J33" s="40" t="s">
        <v>71</v>
      </c>
      <c r="K33" s="40" t="s">
        <v>71</v>
      </c>
      <c r="L33" s="40">
        <v>1</v>
      </c>
      <c r="M33" s="40" t="s">
        <v>71</v>
      </c>
      <c r="N33" s="105">
        <v>46163.727673611109</v>
      </c>
    </row>
    <row r="34" spans="1:14">
      <c r="B34" s="40">
        <v>32</v>
      </c>
      <c r="C34" s="40" t="s">
        <v>287</v>
      </c>
      <c r="D34" s="40" t="s">
        <v>70</v>
      </c>
      <c r="E34" s="40">
        <v>0</v>
      </c>
      <c r="F34" s="40" t="s">
        <v>71</v>
      </c>
      <c r="G34" s="153" t="s">
        <v>71</v>
      </c>
      <c r="H34" s="40" t="s">
        <v>71</v>
      </c>
      <c r="I34" s="40" t="s">
        <v>71</v>
      </c>
      <c r="J34" s="40" t="s">
        <v>71</v>
      </c>
      <c r="K34" s="40" t="s">
        <v>71</v>
      </c>
      <c r="L34" s="40">
        <v>1</v>
      </c>
      <c r="M34" s="40" t="s">
        <v>71</v>
      </c>
      <c r="N34" s="105">
        <v>46163.738391203704</v>
      </c>
    </row>
    <row r="35" spans="1:14">
      <c r="B35" s="40">
        <v>33</v>
      </c>
      <c r="C35" s="40" t="s">
        <v>288</v>
      </c>
      <c r="D35" s="40" t="s">
        <v>70</v>
      </c>
      <c r="E35" s="40">
        <v>0</v>
      </c>
      <c r="F35" s="40" t="s">
        <v>71</v>
      </c>
      <c r="G35" s="153" t="s">
        <v>71</v>
      </c>
      <c r="H35" s="40" t="s">
        <v>71</v>
      </c>
      <c r="I35" s="40" t="s">
        <v>71</v>
      </c>
      <c r="J35" s="40" t="s">
        <v>71</v>
      </c>
      <c r="K35" s="40" t="s">
        <v>71</v>
      </c>
      <c r="L35" s="40">
        <v>1</v>
      </c>
      <c r="M35" s="40" t="s">
        <v>71</v>
      </c>
      <c r="N35" s="105">
        <v>46163.749097222222</v>
      </c>
    </row>
    <row r="36" spans="1:14">
      <c r="B36" s="40">
        <v>34</v>
      </c>
      <c r="C36" s="40" t="s">
        <v>289</v>
      </c>
      <c r="D36" s="40" t="s">
        <v>70</v>
      </c>
      <c r="E36" s="40">
        <v>0</v>
      </c>
      <c r="F36" s="40" t="s">
        <v>71</v>
      </c>
      <c r="G36" s="153" t="s">
        <v>71</v>
      </c>
      <c r="H36" s="40" t="s">
        <v>71</v>
      </c>
      <c r="I36" s="40" t="s">
        <v>71</v>
      </c>
      <c r="J36" s="40" t="s">
        <v>71</v>
      </c>
      <c r="K36" s="40" t="s">
        <v>71</v>
      </c>
      <c r="L36" s="40">
        <v>1</v>
      </c>
      <c r="M36" s="40" t="s">
        <v>71</v>
      </c>
      <c r="N36" s="105">
        <v>46163.759826388887</v>
      </c>
    </row>
    <row r="37" spans="1:14">
      <c r="B37" s="40">
        <v>35</v>
      </c>
      <c r="C37" s="40" t="s">
        <v>290</v>
      </c>
      <c r="D37" s="40" t="s">
        <v>70</v>
      </c>
      <c r="E37" s="40">
        <v>0</v>
      </c>
      <c r="F37" s="40" t="s">
        <v>71</v>
      </c>
      <c r="G37" s="153" t="s">
        <v>71</v>
      </c>
      <c r="H37" s="40" t="s">
        <v>71</v>
      </c>
      <c r="I37" s="40" t="s">
        <v>71</v>
      </c>
      <c r="J37" s="40" t="s">
        <v>71</v>
      </c>
      <c r="K37" s="40" t="s">
        <v>71</v>
      </c>
      <c r="L37" s="40">
        <v>1</v>
      </c>
      <c r="M37" s="40" t="s">
        <v>71</v>
      </c>
      <c r="N37" s="105">
        <v>46163.770567129628</v>
      </c>
    </row>
    <row r="38" spans="1:14">
      <c r="B38" s="40">
        <v>36</v>
      </c>
      <c r="C38" s="40" t="s">
        <v>291</v>
      </c>
      <c r="D38" s="40" t="s">
        <v>70</v>
      </c>
      <c r="E38" s="40">
        <v>0</v>
      </c>
      <c r="F38" s="40" t="s">
        <v>71</v>
      </c>
      <c r="G38" s="153" t="s">
        <v>71</v>
      </c>
      <c r="H38" s="40" t="s">
        <v>71</v>
      </c>
      <c r="I38" s="40" t="s">
        <v>71</v>
      </c>
      <c r="J38" s="40" t="s">
        <v>71</v>
      </c>
      <c r="K38" s="40" t="s">
        <v>71</v>
      </c>
      <c r="L38" s="40">
        <v>1</v>
      </c>
      <c r="M38" s="40" t="s">
        <v>71</v>
      </c>
      <c r="N38" s="105">
        <v>46163.781284722223</v>
      </c>
    </row>
    <row r="41" spans="1:14">
      <c r="A41" s="40" t="s">
        <v>292</v>
      </c>
      <c r="B41" s="40" t="s">
        <v>58</v>
      </c>
      <c r="C41" s="40" t="s">
        <v>59</v>
      </c>
      <c r="D41" s="40" t="s">
        <v>60</v>
      </c>
      <c r="E41" s="40" t="s">
        <v>61</v>
      </c>
      <c r="F41" s="40" t="s">
        <v>62</v>
      </c>
      <c r="G41" s="153" t="s">
        <v>63</v>
      </c>
      <c r="H41" s="40" t="s">
        <v>64</v>
      </c>
      <c r="I41" s="40" t="s">
        <v>65</v>
      </c>
      <c r="J41" s="40" t="s">
        <v>66</v>
      </c>
      <c r="K41" s="40" t="s">
        <v>67</v>
      </c>
      <c r="L41" s="40" t="s">
        <v>280</v>
      </c>
      <c r="M41" s="40" t="s">
        <v>68</v>
      </c>
      <c r="N41" s="40" t="s">
        <v>281</v>
      </c>
    </row>
    <row r="42" spans="1:14">
      <c r="B42" s="40">
        <v>1</v>
      </c>
      <c r="C42" s="40" t="s">
        <v>69</v>
      </c>
      <c r="D42" s="40" t="s">
        <v>70</v>
      </c>
      <c r="E42" s="40">
        <v>0</v>
      </c>
      <c r="F42" s="40" t="s">
        <v>71</v>
      </c>
      <c r="G42" s="153" t="s">
        <v>71</v>
      </c>
      <c r="H42" s="40" t="s">
        <v>71</v>
      </c>
      <c r="I42" s="40" t="s">
        <v>71</v>
      </c>
      <c r="J42" s="40" t="s">
        <v>71</v>
      </c>
      <c r="K42" s="40" t="s">
        <v>71</v>
      </c>
      <c r="L42" s="40">
        <v>1</v>
      </c>
      <c r="M42" s="40" t="s">
        <v>71</v>
      </c>
      <c r="N42" s="105">
        <v>46163.405833333331</v>
      </c>
    </row>
    <row r="43" spans="1:14">
      <c r="B43" s="40">
        <v>2</v>
      </c>
      <c r="C43" s="40" t="s">
        <v>72</v>
      </c>
      <c r="D43" s="40" t="s">
        <v>70</v>
      </c>
      <c r="E43" s="40">
        <v>0</v>
      </c>
      <c r="F43" s="40" t="s">
        <v>71</v>
      </c>
      <c r="G43" s="153" t="s">
        <v>71</v>
      </c>
      <c r="H43" s="40" t="s">
        <v>71</v>
      </c>
      <c r="I43" s="40" t="s">
        <v>71</v>
      </c>
      <c r="J43" s="40" t="s">
        <v>71</v>
      </c>
      <c r="K43" s="40" t="s">
        <v>71</v>
      </c>
      <c r="L43" s="40">
        <v>1</v>
      </c>
      <c r="M43" s="40" t="s">
        <v>71</v>
      </c>
      <c r="N43" s="105">
        <v>46163.416562500002</v>
      </c>
    </row>
    <row r="44" spans="1:14">
      <c r="B44" s="40">
        <v>3</v>
      </c>
      <c r="C44" s="40" t="s">
        <v>73</v>
      </c>
      <c r="D44" s="40" t="s">
        <v>70</v>
      </c>
      <c r="E44" s="40">
        <v>0</v>
      </c>
      <c r="F44" s="40" t="s">
        <v>71</v>
      </c>
      <c r="G44" s="153" t="s">
        <v>71</v>
      </c>
      <c r="H44" s="40" t="s">
        <v>71</v>
      </c>
      <c r="I44" s="40" t="s">
        <v>71</v>
      </c>
      <c r="J44" s="40" t="s">
        <v>71</v>
      </c>
      <c r="K44" s="40" t="s">
        <v>71</v>
      </c>
      <c r="L44" s="40">
        <v>1</v>
      </c>
      <c r="M44" s="40" t="s">
        <v>71</v>
      </c>
      <c r="N44" s="105">
        <v>46163.427291666667</v>
      </c>
    </row>
    <row r="45" spans="1:14">
      <c r="B45" s="40">
        <v>4</v>
      </c>
      <c r="C45" s="40" t="s">
        <v>81</v>
      </c>
      <c r="D45" s="40" t="s">
        <v>70</v>
      </c>
      <c r="E45" s="40">
        <v>0</v>
      </c>
      <c r="F45" s="40" t="s">
        <v>71</v>
      </c>
      <c r="G45" s="153" t="s">
        <v>71</v>
      </c>
      <c r="H45" s="40" t="s">
        <v>71</v>
      </c>
      <c r="I45" s="40" t="s">
        <v>71</v>
      </c>
      <c r="J45" s="40" t="s">
        <v>71</v>
      </c>
      <c r="K45" s="40" t="s">
        <v>71</v>
      </c>
      <c r="L45" s="40">
        <v>1</v>
      </c>
      <c r="M45" s="40" t="s">
        <v>71</v>
      </c>
      <c r="N45" s="105">
        <v>46163.438009259262</v>
      </c>
    </row>
    <row r="46" spans="1:14">
      <c r="B46" s="40">
        <v>5</v>
      </c>
      <c r="C46" s="40" t="s">
        <v>89</v>
      </c>
      <c r="D46" s="40" t="s">
        <v>70</v>
      </c>
      <c r="E46" s="40">
        <v>0</v>
      </c>
      <c r="F46" s="40" t="s">
        <v>71</v>
      </c>
      <c r="G46" s="153" t="s">
        <v>71</v>
      </c>
      <c r="H46" s="40" t="s">
        <v>71</v>
      </c>
      <c r="I46" s="40" t="s">
        <v>71</v>
      </c>
      <c r="J46" s="40" t="s">
        <v>71</v>
      </c>
      <c r="K46" s="40" t="s">
        <v>71</v>
      </c>
      <c r="L46" s="40">
        <v>1</v>
      </c>
      <c r="M46" s="40" t="s">
        <v>71</v>
      </c>
      <c r="N46" s="105">
        <v>46163.44872685185</v>
      </c>
    </row>
    <row r="47" spans="1:14">
      <c r="B47" s="40">
        <v>6</v>
      </c>
      <c r="C47" s="40" t="s">
        <v>74</v>
      </c>
      <c r="D47" s="40" t="s">
        <v>70</v>
      </c>
      <c r="E47" s="40">
        <v>0</v>
      </c>
      <c r="F47" s="40">
        <v>7.375</v>
      </c>
      <c r="G47" s="153">
        <v>165586</v>
      </c>
      <c r="H47" s="40">
        <v>1.25</v>
      </c>
      <c r="I47" s="40">
        <v>295.2</v>
      </c>
      <c r="J47" s="40" t="s">
        <v>71</v>
      </c>
      <c r="K47" s="40" t="s">
        <v>71</v>
      </c>
      <c r="L47" s="40">
        <v>1</v>
      </c>
      <c r="M47" s="40" t="s">
        <v>71</v>
      </c>
      <c r="N47" s="105">
        <v>46163.459444444445</v>
      </c>
    </row>
    <row r="48" spans="1:14">
      <c r="B48" s="40">
        <v>7</v>
      </c>
      <c r="C48" s="40" t="s">
        <v>75</v>
      </c>
      <c r="D48" s="40" t="s">
        <v>70</v>
      </c>
      <c r="E48" s="40">
        <v>0</v>
      </c>
      <c r="F48" s="40">
        <v>7.3730000000000002</v>
      </c>
      <c r="G48" s="153">
        <v>161155</v>
      </c>
      <c r="H48" s="40">
        <v>1.22</v>
      </c>
      <c r="I48" s="40">
        <v>266.35000000000002</v>
      </c>
      <c r="J48" s="40" t="s">
        <v>71</v>
      </c>
      <c r="K48" s="40" t="s">
        <v>71</v>
      </c>
      <c r="L48" s="40">
        <v>1</v>
      </c>
      <c r="M48" s="40" t="s">
        <v>71</v>
      </c>
      <c r="N48" s="105">
        <v>46163.470173611109</v>
      </c>
    </row>
    <row r="49" spans="2:14" s="53" customFormat="1">
      <c r="B49" s="53">
        <v>8</v>
      </c>
      <c r="C49" s="53" t="s">
        <v>76</v>
      </c>
      <c r="D49" s="53" t="s">
        <v>77</v>
      </c>
      <c r="E49" s="53">
        <v>1</v>
      </c>
      <c r="F49" s="53">
        <v>7.3760000000000003</v>
      </c>
      <c r="G49" s="154">
        <v>327888</v>
      </c>
      <c r="H49" s="53">
        <v>2.5299999999999998</v>
      </c>
      <c r="I49" s="53">
        <v>507.26</v>
      </c>
      <c r="J49" s="53">
        <v>2.5299999999999998</v>
      </c>
      <c r="K49" s="53">
        <v>99.9</v>
      </c>
      <c r="L49" s="53">
        <v>1</v>
      </c>
      <c r="M49" s="53">
        <v>1</v>
      </c>
      <c r="N49" s="107">
        <v>46163.480949074074</v>
      </c>
    </row>
    <row r="50" spans="2:14" s="53" customFormat="1">
      <c r="B50" s="53">
        <v>9</v>
      </c>
      <c r="C50" s="53" t="s">
        <v>78</v>
      </c>
      <c r="D50" s="53" t="s">
        <v>77</v>
      </c>
      <c r="E50" s="53">
        <v>2</v>
      </c>
      <c r="F50" s="53">
        <v>7.3739999999999997</v>
      </c>
      <c r="G50" s="154">
        <v>1629183</v>
      </c>
      <c r="H50" s="53">
        <v>12.74</v>
      </c>
      <c r="I50" s="53">
        <v>895.36</v>
      </c>
      <c r="J50" s="53">
        <v>12.67</v>
      </c>
      <c r="K50" s="53">
        <v>100.6</v>
      </c>
      <c r="L50" s="53">
        <v>1</v>
      </c>
      <c r="M50" s="53">
        <v>1</v>
      </c>
      <c r="N50" s="107">
        <v>46163.491666666669</v>
      </c>
    </row>
    <row r="51" spans="2:14" s="53" customFormat="1">
      <c r="B51" s="53">
        <v>10</v>
      </c>
      <c r="C51" s="53" t="s">
        <v>228</v>
      </c>
      <c r="D51" s="53" t="s">
        <v>77</v>
      </c>
      <c r="E51" s="53">
        <v>3</v>
      </c>
      <c r="F51" s="53">
        <v>7.3739999999999997</v>
      </c>
      <c r="G51" s="154">
        <v>3251310</v>
      </c>
      <c r="H51" s="53">
        <v>25.48</v>
      </c>
      <c r="I51" s="53">
        <v>917.15</v>
      </c>
      <c r="J51" s="53">
        <v>25.34</v>
      </c>
      <c r="K51" s="53">
        <v>100.5</v>
      </c>
      <c r="L51" s="53">
        <v>1</v>
      </c>
      <c r="M51" s="53">
        <v>1</v>
      </c>
      <c r="N51" s="107">
        <v>46163.50240740741</v>
      </c>
    </row>
    <row r="52" spans="2:14" s="53" customFormat="1">
      <c r="B52" s="53">
        <v>11</v>
      </c>
      <c r="C52" s="53" t="s">
        <v>79</v>
      </c>
      <c r="D52" s="53" t="s">
        <v>77</v>
      </c>
      <c r="E52" s="53">
        <v>4</v>
      </c>
      <c r="F52" s="53">
        <v>7.3730000000000002</v>
      </c>
      <c r="G52" s="154">
        <v>4849336</v>
      </c>
      <c r="H52" s="53">
        <v>38.020000000000003</v>
      </c>
      <c r="I52" s="129">
        <v>1007.09</v>
      </c>
      <c r="J52" s="53">
        <v>38.01</v>
      </c>
      <c r="K52" s="53">
        <v>100</v>
      </c>
      <c r="L52" s="53">
        <v>1</v>
      </c>
      <c r="M52" s="53">
        <v>1</v>
      </c>
      <c r="N52" s="107">
        <v>46163.513124999998</v>
      </c>
    </row>
    <row r="53" spans="2:14" s="53" customFormat="1">
      <c r="B53" s="53">
        <v>12</v>
      </c>
      <c r="C53" s="53" t="s">
        <v>80</v>
      </c>
      <c r="D53" s="53" t="s">
        <v>77</v>
      </c>
      <c r="E53" s="53">
        <v>5</v>
      </c>
      <c r="F53" s="53">
        <v>7.3719999999999999</v>
      </c>
      <c r="G53" s="154">
        <v>6396024</v>
      </c>
      <c r="H53" s="53">
        <v>50.16</v>
      </c>
      <c r="I53" s="129">
        <v>1017.32</v>
      </c>
      <c r="J53" s="53">
        <v>50.68</v>
      </c>
      <c r="K53" s="53">
        <v>99</v>
      </c>
      <c r="L53" s="53">
        <v>1</v>
      </c>
      <c r="M53" s="53">
        <v>1</v>
      </c>
      <c r="N53" s="107">
        <v>46163.523842592593</v>
      </c>
    </row>
    <row r="54" spans="2:14">
      <c r="B54" s="40">
        <v>13</v>
      </c>
      <c r="C54" s="40" t="s">
        <v>227</v>
      </c>
      <c r="D54" s="40" t="s">
        <v>70</v>
      </c>
      <c r="E54" s="40">
        <v>0</v>
      </c>
      <c r="F54" s="40" t="s">
        <v>71</v>
      </c>
      <c r="G54" s="153" t="s">
        <v>71</v>
      </c>
      <c r="H54" s="40" t="s">
        <v>71</v>
      </c>
      <c r="I54" s="40" t="s">
        <v>71</v>
      </c>
      <c r="J54" s="40" t="s">
        <v>71</v>
      </c>
      <c r="K54" s="40" t="s">
        <v>71</v>
      </c>
      <c r="L54" s="40">
        <v>1</v>
      </c>
      <c r="M54" s="40" t="s">
        <v>71</v>
      </c>
      <c r="N54" s="105">
        <v>46163.534571759257</v>
      </c>
    </row>
    <row r="55" spans="2:14">
      <c r="B55" s="40">
        <v>14</v>
      </c>
      <c r="C55" s="40" t="s">
        <v>229</v>
      </c>
      <c r="D55" s="40" t="s">
        <v>70</v>
      </c>
      <c r="E55" s="40">
        <v>0</v>
      </c>
      <c r="F55" s="40" t="s">
        <v>71</v>
      </c>
      <c r="G55" s="153" t="s">
        <v>71</v>
      </c>
      <c r="H55" s="40" t="s">
        <v>71</v>
      </c>
      <c r="I55" s="40" t="s">
        <v>71</v>
      </c>
      <c r="J55" s="40" t="s">
        <v>71</v>
      </c>
      <c r="K55" s="40" t="s">
        <v>71</v>
      </c>
      <c r="L55" s="40">
        <v>1</v>
      </c>
      <c r="M55" s="40" t="s">
        <v>71</v>
      </c>
      <c r="N55" s="105">
        <v>46163.545312499999</v>
      </c>
    </row>
    <row r="56" spans="2:14">
      <c r="B56" s="40">
        <v>15</v>
      </c>
      <c r="C56" s="40" t="s">
        <v>82</v>
      </c>
      <c r="D56" s="40" t="s">
        <v>70</v>
      </c>
      <c r="E56" s="40">
        <v>0</v>
      </c>
      <c r="F56" s="40">
        <v>7.375</v>
      </c>
      <c r="G56" s="153">
        <v>299538</v>
      </c>
      <c r="H56" s="40">
        <v>2.2999999999999998</v>
      </c>
      <c r="I56" s="40">
        <v>248.63</v>
      </c>
      <c r="J56" s="40" t="s">
        <v>71</v>
      </c>
      <c r="K56" s="40" t="s">
        <v>71</v>
      </c>
      <c r="L56" s="40">
        <v>1</v>
      </c>
      <c r="M56" s="40" t="s">
        <v>71</v>
      </c>
      <c r="N56" s="105">
        <v>46163.556041666663</v>
      </c>
    </row>
    <row r="57" spans="2:14">
      <c r="B57" s="40">
        <v>16</v>
      </c>
      <c r="C57" s="40" t="s">
        <v>127</v>
      </c>
      <c r="D57" s="40" t="s">
        <v>70</v>
      </c>
      <c r="E57" s="40">
        <v>0</v>
      </c>
      <c r="F57" s="40">
        <v>7.3739999999999997</v>
      </c>
      <c r="G57" s="153">
        <v>3497222</v>
      </c>
      <c r="H57" s="40">
        <v>27.41</v>
      </c>
      <c r="I57" s="40">
        <v>984.06</v>
      </c>
      <c r="J57" s="40" t="s">
        <v>71</v>
      </c>
      <c r="K57" s="40" t="s">
        <v>71</v>
      </c>
      <c r="L57" s="40">
        <v>1</v>
      </c>
      <c r="M57" s="40" t="s">
        <v>71</v>
      </c>
      <c r="N57" s="105">
        <v>46163.566782407404</v>
      </c>
    </row>
    <row r="58" spans="2:14">
      <c r="B58" s="40">
        <v>17</v>
      </c>
      <c r="C58" s="40" t="s">
        <v>83</v>
      </c>
      <c r="D58" s="40" t="s">
        <v>70</v>
      </c>
      <c r="E58" s="40">
        <v>0</v>
      </c>
      <c r="F58" s="40">
        <v>7.3789999999999996</v>
      </c>
      <c r="G58" s="153">
        <v>3486327</v>
      </c>
      <c r="H58" s="40">
        <v>27.32</v>
      </c>
      <c r="I58" s="40">
        <v>809.19</v>
      </c>
      <c r="J58" s="40" t="s">
        <v>71</v>
      </c>
      <c r="K58" s="40" t="s">
        <v>71</v>
      </c>
      <c r="L58" s="40">
        <v>1</v>
      </c>
      <c r="M58" s="40" t="s">
        <v>71</v>
      </c>
      <c r="N58" s="105">
        <v>46163.577534722222</v>
      </c>
    </row>
    <row r="59" spans="2:14">
      <c r="B59" s="40">
        <v>18</v>
      </c>
      <c r="C59" s="40" t="s">
        <v>84</v>
      </c>
      <c r="D59" s="40" t="s">
        <v>70</v>
      </c>
      <c r="E59" s="40">
        <v>0</v>
      </c>
      <c r="F59" s="40">
        <v>7.38</v>
      </c>
      <c r="G59" s="153">
        <v>3495715</v>
      </c>
      <c r="H59" s="40">
        <v>27.4</v>
      </c>
      <c r="I59" s="40">
        <v>929.52</v>
      </c>
      <c r="J59" s="40" t="s">
        <v>71</v>
      </c>
      <c r="K59" s="40" t="s">
        <v>71</v>
      </c>
      <c r="L59" s="40">
        <v>1</v>
      </c>
      <c r="M59" s="40" t="s">
        <v>71</v>
      </c>
      <c r="N59" s="105">
        <v>46163.588263888887</v>
      </c>
    </row>
    <row r="60" spans="2:14">
      <c r="B60" s="40">
        <v>19</v>
      </c>
      <c r="C60" s="40" t="s">
        <v>85</v>
      </c>
      <c r="D60" s="40" t="s">
        <v>70</v>
      </c>
      <c r="E60" s="40">
        <v>0</v>
      </c>
      <c r="F60" s="40">
        <v>7.3769999999999998</v>
      </c>
      <c r="G60" s="153">
        <v>3503628</v>
      </c>
      <c r="H60" s="40">
        <v>27.46</v>
      </c>
      <c r="I60" s="40">
        <v>968.92</v>
      </c>
      <c r="J60" s="40" t="s">
        <v>71</v>
      </c>
      <c r="K60" s="40" t="s">
        <v>71</v>
      </c>
      <c r="L60" s="40">
        <v>1</v>
      </c>
      <c r="M60" s="40" t="s">
        <v>71</v>
      </c>
      <c r="N60" s="105">
        <v>46163.598981481482</v>
      </c>
    </row>
    <row r="61" spans="2:14">
      <c r="B61" s="40">
        <v>20</v>
      </c>
      <c r="C61" s="40" t="s">
        <v>86</v>
      </c>
      <c r="D61" s="40" t="s">
        <v>70</v>
      </c>
      <c r="E61" s="40">
        <v>0</v>
      </c>
      <c r="F61" s="40">
        <v>7.3810000000000002</v>
      </c>
      <c r="G61" s="153">
        <v>3484316</v>
      </c>
      <c r="H61" s="40">
        <v>27.31</v>
      </c>
      <c r="I61" s="40">
        <v>965.21</v>
      </c>
      <c r="J61" s="40" t="s">
        <v>71</v>
      </c>
      <c r="K61" s="40" t="s">
        <v>71</v>
      </c>
      <c r="L61" s="40">
        <v>1</v>
      </c>
      <c r="M61" s="40" t="s">
        <v>71</v>
      </c>
      <c r="N61" s="105">
        <v>46163.609710648147</v>
      </c>
    </row>
    <row r="62" spans="2:14">
      <c r="B62" s="40">
        <v>21</v>
      </c>
      <c r="C62" s="40" t="s">
        <v>87</v>
      </c>
      <c r="D62" s="40" t="s">
        <v>70</v>
      </c>
      <c r="E62" s="40">
        <v>0</v>
      </c>
      <c r="F62" s="40">
        <v>7.3769999999999998</v>
      </c>
      <c r="G62" s="153">
        <v>3504367</v>
      </c>
      <c r="H62" s="40">
        <v>27.46</v>
      </c>
      <c r="I62" s="130">
        <v>1019.27</v>
      </c>
      <c r="J62" s="40" t="s">
        <v>71</v>
      </c>
      <c r="K62" s="40" t="s">
        <v>71</v>
      </c>
      <c r="L62" s="40">
        <v>1</v>
      </c>
      <c r="M62" s="40" t="s">
        <v>71</v>
      </c>
      <c r="N62" s="105">
        <v>46163.620428240742</v>
      </c>
    </row>
    <row r="63" spans="2:14">
      <c r="B63" s="40">
        <v>22</v>
      </c>
      <c r="C63" s="40" t="s">
        <v>88</v>
      </c>
      <c r="D63" s="40" t="s">
        <v>70</v>
      </c>
      <c r="E63" s="40">
        <v>0</v>
      </c>
      <c r="F63" s="40">
        <v>7.3760000000000003</v>
      </c>
      <c r="G63" s="153">
        <v>3515603</v>
      </c>
      <c r="H63" s="40">
        <v>27.55</v>
      </c>
      <c r="I63" s="40">
        <v>953.46</v>
      </c>
      <c r="J63" s="40" t="s">
        <v>71</v>
      </c>
      <c r="K63" s="40" t="s">
        <v>71</v>
      </c>
      <c r="L63" s="40">
        <v>1</v>
      </c>
      <c r="M63" s="40" t="s">
        <v>71</v>
      </c>
      <c r="N63" s="105">
        <v>46163.631157407406</v>
      </c>
    </row>
    <row r="64" spans="2:14">
      <c r="B64" s="40">
        <v>23</v>
      </c>
      <c r="C64" s="40" t="s">
        <v>233</v>
      </c>
      <c r="D64" s="40" t="s">
        <v>70</v>
      </c>
      <c r="E64" s="40">
        <v>0</v>
      </c>
      <c r="F64" s="40" t="s">
        <v>71</v>
      </c>
      <c r="G64" s="153" t="s">
        <v>71</v>
      </c>
      <c r="H64" s="40" t="s">
        <v>71</v>
      </c>
      <c r="I64" s="40" t="s">
        <v>71</v>
      </c>
      <c r="J64" s="40" t="s">
        <v>71</v>
      </c>
      <c r="K64" s="40" t="s">
        <v>71</v>
      </c>
      <c r="L64" s="40">
        <v>1</v>
      </c>
      <c r="M64" s="40" t="s">
        <v>71</v>
      </c>
      <c r="N64" s="105">
        <v>46163.641875000001</v>
      </c>
    </row>
    <row r="65" spans="1:14">
      <c r="B65" s="40">
        <v>24</v>
      </c>
      <c r="C65" s="40" t="s">
        <v>236</v>
      </c>
      <c r="D65" s="40" t="s">
        <v>70</v>
      </c>
      <c r="E65" s="40">
        <v>0</v>
      </c>
      <c r="F65" s="40" t="s">
        <v>71</v>
      </c>
      <c r="G65" s="153" t="s">
        <v>71</v>
      </c>
      <c r="H65" s="40" t="s">
        <v>71</v>
      </c>
      <c r="I65" s="40" t="s">
        <v>71</v>
      </c>
      <c r="J65" s="40" t="s">
        <v>71</v>
      </c>
      <c r="K65" s="40" t="s">
        <v>71</v>
      </c>
      <c r="L65" s="40">
        <v>1</v>
      </c>
      <c r="M65" s="40" t="s">
        <v>71</v>
      </c>
      <c r="N65" s="105">
        <v>46163.652592592596</v>
      </c>
    </row>
    <row r="66" spans="1:14">
      <c r="B66" s="40">
        <v>25</v>
      </c>
      <c r="C66" s="40" t="s">
        <v>248</v>
      </c>
      <c r="D66" s="40" t="s">
        <v>70</v>
      </c>
      <c r="E66" s="40">
        <v>0</v>
      </c>
      <c r="F66" s="40" t="s">
        <v>71</v>
      </c>
      <c r="G66" s="153" t="s">
        <v>71</v>
      </c>
      <c r="H66" s="40" t="s">
        <v>71</v>
      </c>
      <c r="I66" s="40" t="s">
        <v>71</v>
      </c>
      <c r="J66" s="40" t="s">
        <v>71</v>
      </c>
      <c r="K66" s="40" t="s">
        <v>71</v>
      </c>
      <c r="L66" s="40">
        <v>1</v>
      </c>
      <c r="M66" s="40" t="s">
        <v>71</v>
      </c>
      <c r="N66" s="105">
        <v>46163.663321759261</v>
      </c>
    </row>
    <row r="67" spans="1:14">
      <c r="B67" s="40">
        <v>26</v>
      </c>
      <c r="C67" s="40" t="s">
        <v>255</v>
      </c>
      <c r="D67" s="40" t="s">
        <v>70</v>
      </c>
      <c r="E67" s="40">
        <v>0</v>
      </c>
      <c r="F67" s="40" t="s">
        <v>71</v>
      </c>
      <c r="G67" s="153" t="s">
        <v>71</v>
      </c>
      <c r="H67" s="40" t="s">
        <v>71</v>
      </c>
      <c r="I67" s="40" t="s">
        <v>71</v>
      </c>
      <c r="J67" s="40" t="s">
        <v>71</v>
      </c>
      <c r="K67" s="40" t="s">
        <v>71</v>
      </c>
      <c r="L67" s="40">
        <v>1</v>
      </c>
      <c r="M67" s="40" t="s">
        <v>71</v>
      </c>
      <c r="N67" s="105">
        <v>46163.674050925925</v>
      </c>
    </row>
    <row r="68" spans="1:14">
      <c r="B68" s="40">
        <v>27</v>
      </c>
      <c r="C68" s="40" t="s">
        <v>262</v>
      </c>
      <c r="D68" s="40" t="s">
        <v>70</v>
      </c>
      <c r="E68" s="40">
        <v>0</v>
      </c>
      <c r="F68" s="40" t="s">
        <v>71</v>
      </c>
      <c r="G68" s="153" t="s">
        <v>71</v>
      </c>
      <c r="H68" s="40" t="s">
        <v>71</v>
      </c>
      <c r="I68" s="40" t="s">
        <v>71</v>
      </c>
      <c r="J68" s="40" t="s">
        <v>71</v>
      </c>
      <c r="K68" s="40" t="s">
        <v>71</v>
      </c>
      <c r="L68" s="40">
        <v>1</v>
      </c>
      <c r="M68" s="40" t="s">
        <v>71</v>
      </c>
      <c r="N68" s="105">
        <v>46163.68476851852</v>
      </c>
    </row>
    <row r="69" spans="1:14">
      <c r="B69" s="40">
        <v>28</v>
      </c>
      <c r="C69" s="40" t="s">
        <v>283</v>
      </c>
      <c r="D69" s="40" t="s">
        <v>70</v>
      </c>
      <c r="E69" s="40">
        <v>0</v>
      </c>
      <c r="F69" s="40">
        <v>7.3789999999999996</v>
      </c>
      <c r="G69" s="153">
        <v>309227</v>
      </c>
      <c r="H69" s="40">
        <v>2.38</v>
      </c>
      <c r="I69" s="40">
        <v>281.07</v>
      </c>
      <c r="J69" s="40" t="s">
        <v>71</v>
      </c>
      <c r="K69" s="40" t="s">
        <v>71</v>
      </c>
      <c r="L69" s="40">
        <v>1</v>
      </c>
      <c r="M69" s="40" t="s">
        <v>71</v>
      </c>
      <c r="N69" s="105">
        <v>46163.695497685185</v>
      </c>
    </row>
    <row r="70" spans="1:14">
      <c r="B70" s="40">
        <v>29</v>
      </c>
      <c r="C70" s="40" t="s">
        <v>284</v>
      </c>
      <c r="D70" s="40" t="s">
        <v>70</v>
      </c>
      <c r="E70" s="40">
        <v>0</v>
      </c>
      <c r="F70" s="40">
        <v>7.3780000000000001</v>
      </c>
      <c r="G70" s="153">
        <v>65115</v>
      </c>
      <c r="H70" s="40">
        <v>0.46</v>
      </c>
      <c r="I70" s="40">
        <v>51.91</v>
      </c>
      <c r="J70" s="40" t="s">
        <v>71</v>
      </c>
      <c r="K70" s="40" t="s">
        <v>71</v>
      </c>
      <c r="L70" s="40">
        <v>1</v>
      </c>
      <c r="M70" s="40" t="s">
        <v>71</v>
      </c>
      <c r="N70" s="105">
        <v>46163.706226851849</v>
      </c>
    </row>
    <row r="71" spans="1:14">
      <c r="B71" s="40">
        <v>30</v>
      </c>
      <c r="C71" s="40" t="s">
        <v>285</v>
      </c>
      <c r="D71" s="40" t="s">
        <v>70</v>
      </c>
      <c r="E71" s="40">
        <v>0</v>
      </c>
      <c r="F71" s="40">
        <v>7.3769999999999998</v>
      </c>
      <c r="G71" s="153">
        <v>207568</v>
      </c>
      <c r="H71" s="40">
        <v>1.58</v>
      </c>
      <c r="I71" s="40">
        <v>168.01</v>
      </c>
      <c r="J71" s="40" t="s">
        <v>71</v>
      </c>
      <c r="K71" s="40" t="s">
        <v>71</v>
      </c>
      <c r="L71" s="40">
        <v>1</v>
      </c>
      <c r="M71" s="40" t="s">
        <v>71</v>
      </c>
      <c r="N71" s="105">
        <v>46163.716932870368</v>
      </c>
    </row>
    <row r="72" spans="1:14">
      <c r="B72" s="40">
        <v>31</v>
      </c>
      <c r="C72" s="40" t="s">
        <v>286</v>
      </c>
      <c r="D72" s="40" t="s">
        <v>70</v>
      </c>
      <c r="E72" s="40">
        <v>0</v>
      </c>
      <c r="F72" s="40">
        <v>7.3760000000000003</v>
      </c>
      <c r="G72" s="153">
        <v>306222</v>
      </c>
      <c r="H72" s="40">
        <v>2.36</v>
      </c>
      <c r="I72" s="40">
        <v>286.94</v>
      </c>
      <c r="J72" s="40" t="s">
        <v>71</v>
      </c>
      <c r="K72" s="40" t="s">
        <v>71</v>
      </c>
      <c r="L72" s="40">
        <v>1</v>
      </c>
      <c r="M72" s="40" t="s">
        <v>71</v>
      </c>
      <c r="N72" s="105">
        <v>46163.727673611109</v>
      </c>
    </row>
    <row r="73" spans="1:14">
      <c r="B73" s="40">
        <v>32</v>
      </c>
      <c r="C73" s="40" t="s">
        <v>287</v>
      </c>
      <c r="D73" s="40" t="s">
        <v>70</v>
      </c>
      <c r="E73" s="40">
        <v>0</v>
      </c>
      <c r="F73" s="40">
        <v>7.3769999999999998</v>
      </c>
      <c r="G73" s="153">
        <v>79818</v>
      </c>
      <c r="H73" s="40">
        <v>0.57999999999999996</v>
      </c>
      <c r="I73" s="40">
        <v>55.23</v>
      </c>
      <c r="J73" s="40" t="s">
        <v>71</v>
      </c>
      <c r="K73" s="40" t="s">
        <v>71</v>
      </c>
      <c r="L73" s="40">
        <v>1</v>
      </c>
      <c r="M73" s="40" t="s">
        <v>71</v>
      </c>
      <c r="N73" s="105">
        <v>46163.738391203704</v>
      </c>
    </row>
    <row r="74" spans="1:14">
      <c r="B74" s="40">
        <v>33</v>
      </c>
      <c r="C74" s="40" t="s">
        <v>288</v>
      </c>
      <c r="D74" s="40" t="s">
        <v>70</v>
      </c>
      <c r="E74" s="40">
        <v>0</v>
      </c>
      <c r="F74" s="40">
        <v>7.3760000000000003</v>
      </c>
      <c r="G74" s="153">
        <v>306907</v>
      </c>
      <c r="H74" s="40">
        <v>2.36</v>
      </c>
      <c r="I74" s="40">
        <v>239.87</v>
      </c>
      <c r="J74" s="40" t="s">
        <v>71</v>
      </c>
      <c r="K74" s="40" t="s">
        <v>71</v>
      </c>
      <c r="L74" s="40">
        <v>1</v>
      </c>
      <c r="M74" s="40" t="s">
        <v>71</v>
      </c>
      <c r="N74" s="105">
        <v>46163.749097222222</v>
      </c>
    </row>
    <row r="75" spans="1:14">
      <c r="B75" s="40">
        <v>34</v>
      </c>
      <c r="C75" s="40" t="s">
        <v>289</v>
      </c>
      <c r="D75" s="40" t="s">
        <v>70</v>
      </c>
      <c r="E75" s="40">
        <v>0</v>
      </c>
      <c r="F75" s="40">
        <v>7.3769999999999998</v>
      </c>
      <c r="G75" s="153">
        <v>338554</v>
      </c>
      <c r="H75" s="40">
        <v>2.61</v>
      </c>
      <c r="I75" s="40">
        <v>334.33</v>
      </c>
      <c r="J75" s="40" t="s">
        <v>71</v>
      </c>
      <c r="K75" s="40" t="s">
        <v>71</v>
      </c>
      <c r="L75" s="40">
        <v>1</v>
      </c>
      <c r="M75" s="40" t="s">
        <v>71</v>
      </c>
      <c r="N75" s="105">
        <v>46163.759826388887</v>
      </c>
    </row>
    <row r="76" spans="1:14">
      <c r="B76" s="40">
        <v>35</v>
      </c>
      <c r="C76" s="40" t="s">
        <v>290</v>
      </c>
      <c r="D76" s="40" t="s">
        <v>70</v>
      </c>
      <c r="E76" s="40">
        <v>0</v>
      </c>
      <c r="F76" s="40">
        <v>7.3769999999999998</v>
      </c>
      <c r="G76" s="153">
        <v>69184</v>
      </c>
      <c r="H76" s="40">
        <v>0.5</v>
      </c>
      <c r="I76" s="40">
        <v>51.6</v>
      </c>
      <c r="J76" s="40" t="s">
        <v>71</v>
      </c>
      <c r="K76" s="40" t="s">
        <v>71</v>
      </c>
      <c r="L76" s="40">
        <v>1</v>
      </c>
      <c r="M76" s="40" t="s">
        <v>71</v>
      </c>
      <c r="N76" s="105">
        <v>46163.770567129628</v>
      </c>
    </row>
    <row r="77" spans="1:14">
      <c r="B77" s="40">
        <v>36</v>
      </c>
      <c r="C77" s="40" t="s">
        <v>291</v>
      </c>
      <c r="D77" s="40" t="s">
        <v>70</v>
      </c>
      <c r="E77" s="40">
        <v>0</v>
      </c>
      <c r="F77" s="40">
        <v>7.3769999999999998</v>
      </c>
      <c r="G77" s="153">
        <v>396442</v>
      </c>
      <c r="H77" s="40">
        <v>3.07</v>
      </c>
      <c r="I77" s="40">
        <v>272.60000000000002</v>
      </c>
      <c r="J77" s="40" t="s">
        <v>71</v>
      </c>
      <c r="K77" s="40" t="s">
        <v>71</v>
      </c>
      <c r="L77" s="40">
        <v>1</v>
      </c>
      <c r="M77" s="40" t="s">
        <v>71</v>
      </c>
      <c r="N77" s="105">
        <v>46163.781284722223</v>
      </c>
    </row>
    <row r="80" spans="1:14">
      <c r="A80" s="53" t="s">
        <v>293</v>
      </c>
      <c r="B80" s="40" t="s">
        <v>58</v>
      </c>
      <c r="C80" s="40" t="s">
        <v>59</v>
      </c>
      <c r="D80" s="40" t="s">
        <v>60</v>
      </c>
      <c r="E80" s="40" t="s">
        <v>61</v>
      </c>
      <c r="F80" s="40" t="s">
        <v>62</v>
      </c>
      <c r="G80" s="153" t="s">
        <v>63</v>
      </c>
      <c r="H80" s="40" t="s">
        <v>64</v>
      </c>
      <c r="I80" s="40" t="s">
        <v>65</v>
      </c>
      <c r="J80" s="40" t="s">
        <v>66</v>
      </c>
      <c r="K80" s="40" t="s">
        <v>67</v>
      </c>
      <c r="L80" s="40" t="s">
        <v>280</v>
      </c>
      <c r="M80" s="40" t="s">
        <v>68</v>
      </c>
      <c r="N80" s="40" t="s">
        <v>281</v>
      </c>
    </row>
    <row r="81" spans="2:14">
      <c r="B81" s="40">
        <v>1</v>
      </c>
      <c r="C81" s="40" t="s">
        <v>69</v>
      </c>
      <c r="D81" s="40" t="s">
        <v>70</v>
      </c>
      <c r="E81" s="40">
        <v>0</v>
      </c>
      <c r="F81" s="40" t="s">
        <v>71</v>
      </c>
      <c r="G81" s="153" t="s">
        <v>71</v>
      </c>
      <c r="H81" s="40" t="s">
        <v>71</v>
      </c>
      <c r="I81" s="40" t="s">
        <v>71</v>
      </c>
      <c r="J81" s="40" t="s">
        <v>71</v>
      </c>
      <c r="K81" s="40" t="s">
        <v>71</v>
      </c>
      <c r="L81" s="40">
        <v>1</v>
      </c>
      <c r="M81" s="40" t="s">
        <v>71</v>
      </c>
      <c r="N81" s="105">
        <v>46163.405833333331</v>
      </c>
    </row>
    <row r="82" spans="2:14">
      <c r="B82" s="40">
        <v>2</v>
      </c>
      <c r="C82" s="40" t="s">
        <v>72</v>
      </c>
      <c r="D82" s="40" t="s">
        <v>70</v>
      </c>
      <c r="E82" s="40">
        <v>0</v>
      </c>
      <c r="F82" s="40" t="s">
        <v>71</v>
      </c>
      <c r="G82" s="153" t="s">
        <v>71</v>
      </c>
      <c r="H82" s="40" t="s">
        <v>71</v>
      </c>
      <c r="I82" s="40" t="s">
        <v>71</v>
      </c>
      <c r="J82" s="40" t="s">
        <v>71</v>
      </c>
      <c r="K82" s="40" t="s">
        <v>71</v>
      </c>
      <c r="L82" s="40">
        <v>1</v>
      </c>
      <c r="M82" s="40" t="s">
        <v>71</v>
      </c>
      <c r="N82" s="105">
        <v>46163.416562500002</v>
      </c>
    </row>
    <row r="83" spans="2:14">
      <c r="B83" s="40">
        <v>3</v>
      </c>
      <c r="C83" s="40" t="s">
        <v>73</v>
      </c>
      <c r="D83" s="40" t="s">
        <v>70</v>
      </c>
      <c r="E83" s="40">
        <v>0</v>
      </c>
      <c r="F83" s="40" t="s">
        <v>71</v>
      </c>
      <c r="G83" s="153" t="s">
        <v>71</v>
      </c>
      <c r="H83" s="40" t="s">
        <v>71</v>
      </c>
      <c r="I83" s="40" t="s">
        <v>71</v>
      </c>
      <c r="J83" s="40" t="s">
        <v>71</v>
      </c>
      <c r="K83" s="40" t="s">
        <v>71</v>
      </c>
      <c r="L83" s="40">
        <v>1</v>
      </c>
      <c r="M83" s="40" t="s">
        <v>71</v>
      </c>
      <c r="N83" s="105">
        <v>46163.427291666667</v>
      </c>
    </row>
    <row r="84" spans="2:14">
      <c r="B84" s="40">
        <v>4</v>
      </c>
      <c r="C84" s="40" t="s">
        <v>81</v>
      </c>
      <c r="D84" s="40" t="s">
        <v>70</v>
      </c>
      <c r="E84" s="40">
        <v>0</v>
      </c>
      <c r="F84" s="40" t="s">
        <v>71</v>
      </c>
      <c r="G84" s="153" t="s">
        <v>71</v>
      </c>
      <c r="H84" s="40" t="s">
        <v>71</v>
      </c>
      <c r="I84" s="40" t="s">
        <v>71</v>
      </c>
      <c r="J84" s="40" t="s">
        <v>71</v>
      </c>
      <c r="K84" s="40" t="s">
        <v>71</v>
      </c>
      <c r="L84" s="40">
        <v>1</v>
      </c>
      <c r="M84" s="40" t="s">
        <v>71</v>
      </c>
      <c r="N84" s="105">
        <v>46163.438009259262</v>
      </c>
    </row>
    <row r="85" spans="2:14">
      <c r="B85" s="40">
        <v>5</v>
      </c>
      <c r="C85" s="40" t="s">
        <v>89</v>
      </c>
      <c r="D85" s="40" t="s">
        <v>70</v>
      </c>
      <c r="E85" s="40">
        <v>0</v>
      </c>
      <c r="F85" s="40" t="s">
        <v>71</v>
      </c>
      <c r="G85" s="153" t="s">
        <v>71</v>
      </c>
      <c r="H85" s="40" t="s">
        <v>71</v>
      </c>
      <c r="I85" s="40" t="s">
        <v>71</v>
      </c>
      <c r="J85" s="40" t="s">
        <v>71</v>
      </c>
      <c r="K85" s="40" t="s">
        <v>71</v>
      </c>
      <c r="L85" s="40">
        <v>1</v>
      </c>
      <c r="M85" s="40" t="s">
        <v>71</v>
      </c>
      <c r="N85" s="105">
        <v>46163.44872685185</v>
      </c>
    </row>
    <row r="86" spans="2:14">
      <c r="B86" s="40">
        <v>6</v>
      </c>
      <c r="C86" s="40" t="s">
        <v>74</v>
      </c>
      <c r="D86" s="40" t="s">
        <v>70</v>
      </c>
      <c r="E86" s="40">
        <v>0</v>
      </c>
      <c r="F86" s="40">
        <v>8.5879999999999992</v>
      </c>
      <c r="G86" s="153">
        <v>50481</v>
      </c>
      <c r="H86" s="40">
        <v>1.25</v>
      </c>
      <c r="I86" s="40">
        <v>68.400000000000006</v>
      </c>
      <c r="J86" s="40" t="s">
        <v>71</v>
      </c>
      <c r="K86" s="40" t="s">
        <v>71</v>
      </c>
      <c r="L86" s="40">
        <v>1</v>
      </c>
      <c r="M86" s="40" t="s">
        <v>71</v>
      </c>
      <c r="N86" s="105">
        <v>46163.459444444445</v>
      </c>
    </row>
    <row r="87" spans="2:14">
      <c r="B87" s="40">
        <v>7</v>
      </c>
      <c r="C87" s="40" t="s">
        <v>75</v>
      </c>
      <c r="D87" s="40" t="s">
        <v>70</v>
      </c>
      <c r="E87" s="40">
        <v>0</v>
      </c>
      <c r="F87" s="40">
        <v>8.5860000000000003</v>
      </c>
      <c r="G87" s="153">
        <v>52024</v>
      </c>
      <c r="H87" s="40">
        <v>1.29</v>
      </c>
      <c r="I87" s="40">
        <v>100.43</v>
      </c>
      <c r="J87" s="40" t="s">
        <v>71</v>
      </c>
      <c r="K87" s="40" t="s">
        <v>71</v>
      </c>
      <c r="L87" s="40">
        <v>1</v>
      </c>
      <c r="M87" s="40" t="s">
        <v>71</v>
      </c>
      <c r="N87" s="105">
        <v>46163.470173611109</v>
      </c>
    </row>
    <row r="88" spans="2:14" s="53" customFormat="1">
      <c r="B88" s="53">
        <v>8</v>
      </c>
      <c r="C88" s="53" t="s">
        <v>76</v>
      </c>
      <c r="D88" s="53" t="s">
        <v>77</v>
      </c>
      <c r="E88" s="53">
        <v>1</v>
      </c>
      <c r="F88" s="53">
        <v>8.59</v>
      </c>
      <c r="G88" s="154">
        <v>101354</v>
      </c>
      <c r="H88" s="53">
        <v>2.5299999999999998</v>
      </c>
      <c r="I88" s="53">
        <v>228.23</v>
      </c>
      <c r="J88" s="53">
        <v>2.5299999999999998</v>
      </c>
      <c r="K88" s="53">
        <v>99.8</v>
      </c>
      <c r="L88" s="53">
        <v>1</v>
      </c>
      <c r="M88" s="53">
        <v>1</v>
      </c>
      <c r="N88" s="107">
        <v>46163.480949074074</v>
      </c>
    </row>
    <row r="89" spans="2:14" s="53" customFormat="1">
      <c r="B89" s="53">
        <v>9</v>
      </c>
      <c r="C89" s="53" t="s">
        <v>78</v>
      </c>
      <c r="D89" s="53" t="s">
        <v>77</v>
      </c>
      <c r="E89" s="53">
        <v>2</v>
      </c>
      <c r="F89" s="53">
        <v>8.5890000000000004</v>
      </c>
      <c r="G89" s="154">
        <v>509918</v>
      </c>
      <c r="H89" s="53">
        <v>12.74</v>
      </c>
      <c r="I89" s="53">
        <v>890.04</v>
      </c>
      <c r="J89" s="53">
        <v>12.63</v>
      </c>
      <c r="K89" s="53">
        <v>100.9</v>
      </c>
      <c r="L89" s="53">
        <v>1</v>
      </c>
      <c r="M89" s="53">
        <v>1</v>
      </c>
      <c r="N89" s="107">
        <v>46163.491666666669</v>
      </c>
    </row>
    <row r="90" spans="2:14" s="53" customFormat="1">
      <c r="B90" s="53">
        <v>10</v>
      </c>
      <c r="C90" s="53" t="s">
        <v>228</v>
      </c>
      <c r="D90" s="53" t="s">
        <v>77</v>
      </c>
      <c r="E90" s="53">
        <v>3</v>
      </c>
      <c r="F90" s="53">
        <v>8.5890000000000004</v>
      </c>
      <c r="G90" s="154">
        <v>1021974</v>
      </c>
      <c r="H90" s="53">
        <v>25.55</v>
      </c>
      <c r="I90" s="129">
        <v>1779.73</v>
      </c>
      <c r="J90" s="53">
        <v>25.26</v>
      </c>
      <c r="K90" s="53">
        <v>101.1</v>
      </c>
      <c r="L90" s="53">
        <v>1</v>
      </c>
      <c r="M90" s="53">
        <v>1</v>
      </c>
      <c r="N90" s="107">
        <v>46163.50240740741</v>
      </c>
    </row>
    <row r="91" spans="2:14" s="53" customFormat="1">
      <c r="B91" s="53">
        <v>11</v>
      </c>
      <c r="C91" s="53" t="s">
        <v>79</v>
      </c>
      <c r="D91" s="53" t="s">
        <v>77</v>
      </c>
      <c r="E91" s="53">
        <v>4</v>
      </c>
      <c r="F91" s="53">
        <v>8.5869999999999997</v>
      </c>
      <c r="G91" s="154">
        <v>1511288</v>
      </c>
      <c r="H91" s="53">
        <v>37.78</v>
      </c>
      <c r="I91" s="129">
        <v>3111.96</v>
      </c>
      <c r="J91" s="53">
        <v>37.9</v>
      </c>
      <c r="K91" s="53">
        <v>99.7</v>
      </c>
      <c r="L91" s="53">
        <v>1</v>
      </c>
      <c r="M91" s="53">
        <v>1</v>
      </c>
      <c r="N91" s="107">
        <v>46163.513124999998</v>
      </c>
    </row>
    <row r="92" spans="2:14" s="53" customFormat="1">
      <c r="B92" s="53">
        <v>12</v>
      </c>
      <c r="C92" s="53" t="s">
        <v>80</v>
      </c>
      <c r="D92" s="53" t="s">
        <v>77</v>
      </c>
      <c r="E92" s="53">
        <v>5</v>
      </c>
      <c r="F92" s="53">
        <v>8.5890000000000004</v>
      </c>
      <c r="G92" s="154">
        <v>1990727</v>
      </c>
      <c r="H92" s="53">
        <v>49.77</v>
      </c>
      <c r="I92" s="129">
        <v>3386.72</v>
      </c>
      <c r="J92" s="53">
        <v>50.53</v>
      </c>
      <c r="K92" s="53">
        <v>98.5</v>
      </c>
      <c r="L92" s="53">
        <v>1</v>
      </c>
      <c r="M92" s="53">
        <v>1</v>
      </c>
      <c r="N92" s="107">
        <v>46163.523842592593</v>
      </c>
    </row>
    <row r="93" spans="2:14">
      <c r="B93" s="40">
        <v>13</v>
      </c>
      <c r="C93" s="40" t="s">
        <v>227</v>
      </c>
      <c r="D93" s="40" t="s">
        <v>70</v>
      </c>
      <c r="E93" s="40">
        <v>0</v>
      </c>
      <c r="F93" s="40" t="s">
        <v>71</v>
      </c>
      <c r="G93" s="153" t="s">
        <v>71</v>
      </c>
      <c r="H93" s="40" t="s">
        <v>71</v>
      </c>
      <c r="I93" s="40" t="s">
        <v>71</v>
      </c>
      <c r="J93" s="40" t="s">
        <v>71</v>
      </c>
      <c r="K93" s="40" t="s">
        <v>71</v>
      </c>
      <c r="L93" s="40">
        <v>1</v>
      </c>
      <c r="M93" s="40" t="s">
        <v>71</v>
      </c>
      <c r="N93" s="105">
        <v>46163.534571759257</v>
      </c>
    </row>
    <row r="94" spans="2:14">
      <c r="B94" s="40">
        <v>14</v>
      </c>
      <c r="C94" s="40" t="s">
        <v>229</v>
      </c>
      <c r="D94" s="40" t="s">
        <v>70</v>
      </c>
      <c r="E94" s="40">
        <v>0</v>
      </c>
      <c r="F94" s="40" t="s">
        <v>71</v>
      </c>
      <c r="G94" s="153" t="s">
        <v>71</v>
      </c>
      <c r="H94" s="40" t="s">
        <v>71</v>
      </c>
      <c r="I94" s="40" t="s">
        <v>71</v>
      </c>
      <c r="J94" s="40" t="s">
        <v>71</v>
      </c>
      <c r="K94" s="40" t="s">
        <v>71</v>
      </c>
      <c r="L94" s="40">
        <v>1</v>
      </c>
      <c r="M94" s="40" t="s">
        <v>71</v>
      </c>
      <c r="N94" s="105">
        <v>46163.545312499999</v>
      </c>
    </row>
    <row r="95" spans="2:14">
      <c r="B95" s="40">
        <v>15</v>
      </c>
      <c r="C95" s="40" t="s">
        <v>82</v>
      </c>
      <c r="D95" s="40" t="s">
        <v>70</v>
      </c>
      <c r="E95" s="40">
        <v>0</v>
      </c>
      <c r="F95" s="40" t="s">
        <v>71</v>
      </c>
      <c r="G95" s="153" t="s">
        <v>71</v>
      </c>
      <c r="H95" s="40" t="s">
        <v>71</v>
      </c>
      <c r="I95" s="40" t="s">
        <v>71</v>
      </c>
      <c r="J95" s="40" t="s">
        <v>71</v>
      </c>
      <c r="K95" s="40" t="s">
        <v>71</v>
      </c>
      <c r="L95" s="40">
        <v>1</v>
      </c>
      <c r="M95" s="40" t="s">
        <v>71</v>
      </c>
      <c r="N95" s="105">
        <v>46163.556041666663</v>
      </c>
    </row>
    <row r="96" spans="2:14">
      <c r="B96" s="40">
        <v>16</v>
      </c>
      <c r="C96" s="40" t="s">
        <v>127</v>
      </c>
      <c r="D96" s="40" t="s">
        <v>70</v>
      </c>
      <c r="E96" s="40">
        <v>0</v>
      </c>
      <c r="F96" s="40">
        <v>8.5909999999999993</v>
      </c>
      <c r="G96" s="153">
        <v>990571</v>
      </c>
      <c r="H96" s="40">
        <v>24.76</v>
      </c>
      <c r="I96" s="130">
        <v>1854.07</v>
      </c>
      <c r="J96" s="40" t="s">
        <v>71</v>
      </c>
      <c r="K96" s="40" t="s">
        <v>71</v>
      </c>
      <c r="L96" s="40">
        <v>1</v>
      </c>
      <c r="M96" s="40" t="s">
        <v>71</v>
      </c>
      <c r="N96" s="105">
        <v>46163.566782407404</v>
      </c>
    </row>
    <row r="97" spans="2:14">
      <c r="B97" s="40">
        <v>17</v>
      </c>
      <c r="C97" s="40" t="s">
        <v>83</v>
      </c>
      <c r="D97" s="40" t="s">
        <v>70</v>
      </c>
      <c r="E97" s="40">
        <v>0</v>
      </c>
      <c r="F97" s="40">
        <v>8.5980000000000008</v>
      </c>
      <c r="G97" s="153">
        <v>999940</v>
      </c>
      <c r="H97" s="40">
        <v>24.99</v>
      </c>
      <c r="I97" s="130">
        <v>2017.36</v>
      </c>
      <c r="J97" s="40" t="s">
        <v>71</v>
      </c>
      <c r="K97" s="40" t="s">
        <v>71</v>
      </c>
      <c r="L97" s="40">
        <v>1</v>
      </c>
      <c r="M97" s="40" t="s">
        <v>71</v>
      </c>
      <c r="N97" s="105">
        <v>46163.577534722222</v>
      </c>
    </row>
    <row r="98" spans="2:14">
      <c r="B98" s="40">
        <v>18</v>
      </c>
      <c r="C98" s="40" t="s">
        <v>84</v>
      </c>
      <c r="D98" s="40" t="s">
        <v>70</v>
      </c>
      <c r="E98" s="40">
        <v>0</v>
      </c>
      <c r="F98" s="40">
        <v>8.6</v>
      </c>
      <c r="G98" s="153">
        <v>986600</v>
      </c>
      <c r="H98" s="40">
        <v>24.66</v>
      </c>
      <c r="I98" s="130">
        <v>1919.65</v>
      </c>
      <c r="J98" s="40" t="s">
        <v>71</v>
      </c>
      <c r="K98" s="40" t="s">
        <v>71</v>
      </c>
      <c r="L98" s="40">
        <v>1</v>
      </c>
      <c r="M98" s="40" t="s">
        <v>71</v>
      </c>
      <c r="N98" s="105">
        <v>46163.588263888887</v>
      </c>
    </row>
    <row r="99" spans="2:14">
      <c r="B99" s="40">
        <v>19</v>
      </c>
      <c r="C99" s="40" t="s">
        <v>85</v>
      </c>
      <c r="D99" s="40" t="s">
        <v>70</v>
      </c>
      <c r="E99" s="40">
        <v>0</v>
      </c>
      <c r="F99" s="40">
        <v>8.5960000000000001</v>
      </c>
      <c r="G99" s="153">
        <v>989784</v>
      </c>
      <c r="H99" s="40">
        <v>24.74</v>
      </c>
      <c r="I99" s="130">
        <v>1726.96</v>
      </c>
      <c r="J99" s="40" t="s">
        <v>71</v>
      </c>
      <c r="K99" s="40" t="s">
        <v>71</v>
      </c>
      <c r="L99" s="40">
        <v>1</v>
      </c>
      <c r="M99" s="40" t="s">
        <v>71</v>
      </c>
      <c r="N99" s="105">
        <v>46163.598981481482</v>
      </c>
    </row>
    <row r="100" spans="2:14">
      <c r="B100" s="40">
        <v>20</v>
      </c>
      <c r="C100" s="40" t="s">
        <v>86</v>
      </c>
      <c r="D100" s="40" t="s">
        <v>70</v>
      </c>
      <c r="E100" s="40">
        <v>0</v>
      </c>
      <c r="F100" s="40">
        <v>8.6</v>
      </c>
      <c r="G100" s="153">
        <v>1008423</v>
      </c>
      <c r="H100" s="40">
        <v>25.21</v>
      </c>
      <c r="I100" s="130">
        <v>1680.61</v>
      </c>
      <c r="J100" s="40" t="s">
        <v>71</v>
      </c>
      <c r="K100" s="40" t="s">
        <v>71</v>
      </c>
      <c r="L100" s="40">
        <v>1</v>
      </c>
      <c r="M100" s="40" t="s">
        <v>71</v>
      </c>
      <c r="N100" s="105">
        <v>46163.609710648147</v>
      </c>
    </row>
    <row r="101" spans="2:14">
      <c r="B101" s="40">
        <v>21</v>
      </c>
      <c r="C101" s="40" t="s">
        <v>87</v>
      </c>
      <c r="D101" s="40" t="s">
        <v>70</v>
      </c>
      <c r="E101" s="40">
        <v>0</v>
      </c>
      <c r="F101" s="40">
        <v>8.5960000000000001</v>
      </c>
      <c r="G101" s="153">
        <v>991222</v>
      </c>
      <c r="H101" s="40">
        <v>24.78</v>
      </c>
      <c r="I101" s="130">
        <v>2013.28</v>
      </c>
      <c r="J101" s="40" t="s">
        <v>71</v>
      </c>
      <c r="K101" s="40" t="s">
        <v>71</v>
      </c>
      <c r="L101" s="40">
        <v>1</v>
      </c>
      <c r="M101" s="40" t="s">
        <v>71</v>
      </c>
      <c r="N101" s="105">
        <v>46163.620428240742</v>
      </c>
    </row>
    <row r="102" spans="2:14">
      <c r="B102" s="40">
        <v>22</v>
      </c>
      <c r="C102" s="40" t="s">
        <v>88</v>
      </c>
      <c r="D102" s="40" t="s">
        <v>70</v>
      </c>
      <c r="E102" s="40">
        <v>0</v>
      </c>
      <c r="F102" s="40">
        <v>8.5960000000000001</v>
      </c>
      <c r="G102" s="153">
        <v>998989</v>
      </c>
      <c r="H102" s="40">
        <v>24.97</v>
      </c>
      <c r="I102" s="130">
        <v>1781.91</v>
      </c>
      <c r="J102" s="40" t="s">
        <v>71</v>
      </c>
      <c r="K102" s="40" t="s">
        <v>71</v>
      </c>
      <c r="L102" s="40">
        <v>1</v>
      </c>
      <c r="M102" s="40" t="s">
        <v>71</v>
      </c>
      <c r="N102" s="105">
        <v>46163.631157407406</v>
      </c>
    </row>
    <row r="103" spans="2:14">
      <c r="B103" s="40">
        <v>23</v>
      </c>
      <c r="C103" s="40" t="s">
        <v>233</v>
      </c>
      <c r="D103" s="40" t="s">
        <v>70</v>
      </c>
      <c r="E103" s="40">
        <v>0</v>
      </c>
      <c r="F103" s="40" t="s">
        <v>71</v>
      </c>
      <c r="G103" s="153" t="s">
        <v>71</v>
      </c>
      <c r="H103" s="40" t="s">
        <v>71</v>
      </c>
      <c r="I103" s="40" t="s">
        <v>71</v>
      </c>
      <c r="J103" s="40" t="s">
        <v>71</v>
      </c>
      <c r="K103" s="40" t="s">
        <v>71</v>
      </c>
      <c r="L103" s="40">
        <v>1</v>
      </c>
      <c r="M103" s="40" t="s">
        <v>71</v>
      </c>
      <c r="N103" s="105">
        <v>46163.641875000001</v>
      </c>
    </row>
    <row r="104" spans="2:14">
      <c r="B104" s="40">
        <v>24</v>
      </c>
      <c r="C104" s="40" t="s">
        <v>236</v>
      </c>
      <c r="D104" s="40" t="s">
        <v>70</v>
      </c>
      <c r="E104" s="40">
        <v>0</v>
      </c>
      <c r="F104" s="40" t="s">
        <v>71</v>
      </c>
      <c r="G104" s="153" t="s">
        <v>71</v>
      </c>
      <c r="H104" s="40" t="s">
        <v>71</v>
      </c>
      <c r="I104" s="40" t="s">
        <v>71</v>
      </c>
      <c r="J104" s="40" t="s">
        <v>71</v>
      </c>
      <c r="K104" s="40" t="s">
        <v>71</v>
      </c>
      <c r="L104" s="40">
        <v>1</v>
      </c>
      <c r="M104" s="40" t="s">
        <v>71</v>
      </c>
      <c r="N104" s="105">
        <v>46163.652592592596</v>
      </c>
    </row>
    <row r="105" spans="2:14">
      <c r="B105" s="40">
        <v>25</v>
      </c>
      <c r="C105" s="40" t="s">
        <v>248</v>
      </c>
      <c r="D105" s="40" t="s">
        <v>70</v>
      </c>
      <c r="E105" s="40">
        <v>0</v>
      </c>
      <c r="F105" s="40" t="s">
        <v>71</v>
      </c>
      <c r="G105" s="153" t="s">
        <v>71</v>
      </c>
      <c r="H105" s="40" t="s">
        <v>71</v>
      </c>
      <c r="I105" s="40" t="s">
        <v>71</v>
      </c>
      <c r="J105" s="40" t="s">
        <v>71</v>
      </c>
      <c r="K105" s="40" t="s">
        <v>71</v>
      </c>
      <c r="L105" s="40">
        <v>1</v>
      </c>
      <c r="M105" s="40" t="s">
        <v>71</v>
      </c>
      <c r="N105" s="105">
        <v>46163.663321759261</v>
      </c>
    </row>
    <row r="106" spans="2:14">
      <c r="B106" s="40">
        <v>26</v>
      </c>
      <c r="C106" s="40" t="s">
        <v>255</v>
      </c>
      <c r="D106" s="40" t="s">
        <v>70</v>
      </c>
      <c r="E106" s="40">
        <v>0</v>
      </c>
      <c r="F106" s="40" t="s">
        <v>71</v>
      </c>
      <c r="G106" s="153" t="s">
        <v>71</v>
      </c>
      <c r="H106" s="40" t="s">
        <v>71</v>
      </c>
      <c r="I106" s="40" t="s">
        <v>71</v>
      </c>
      <c r="J106" s="40" t="s">
        <v>71</v>
      </c>
      <c r="K106" s="40" t="s">
        <v>71</v>
      </c>
      <c r="L106" s="40">
        <v>1</v>
      </c>
      <c r="M106" s="40" t="s">
        <v>71</v>
      </c>
      <c r="N106" s="105">
        <v>46163.674050925925</v>
      </c>
    </row>
    <row r="107" spans="2:14">
      <c r="B107" s="40">
        <v>27</v>
      </c>
      <c r="C107" s="40" t="s">
        <v>262</v>
      </c>
      <c r="D107" s="40" t="s">
        <v>70</v>
      </c>
      <c r="E107" s="40">
        <v>0</v>
      </c>
      <c r="F107" s="40" t="s">
        <v>71</v>
      </c>
      <c r="G107" s="153" t="s">
        <v>71</v>
      </c>
      <c r="H107" s="40" t="s">
        <v>71</v>
      </c>
      <c r="I107" s="40" t="s">
        <v>71</v>
      </c>
      <c r="J107" s="40" t="s">
        <v>71</v>
      </c>
      <c r="K107" s="40" t="s">
        <v>71</v>
      </c>
      <c r="L107" s="40">
        <v>1</v>
      </c>
      <c r="M107" s="40" t="s">
        <v>71</v>
      </c>
      <c r="N107" s="105">
        <v>46163.68476851852</v>
      </c>
    </row>
    <row r="108" spans="2:14">
      <c r="B108" s="40">
        <v>28</v>
      </c>
      <c r="C108" s="40" t="s">
        <v>283</v>
      </c>
      <c r="D108" s="40" t="s">
        <v>70</v>
      </c>
      <c r="E108" s="40">
        <v>0</v>
      </c>
      <c r="F108" s="40" t="s">
        <v>71</v>
      </c>
      <c r="G108" s="153" t="s">
        <v>71</v>
      </c>
      <c r="H108" s="40" t="s">
        <v>71</v>
      </c>
      <c r="I108" s="40" t="s">
        <v>71</v>
      </c>
      <c r="J108" s="40" t="s">
        <v>71</v>
      </c>
      <c r="K108" s="40" t="s">
        <v>71</v>
      </c>
      <c r="L108" s="40">
        <v>1</v>
      </c>
      <c r="M108" s="40" t="s">
        <v>71</v>
      </c>
      <c r="N108" s="105">
        <v>46163.695497685185</v>
      </c>
    </row>
    <row r="109" spans="2:14">
      <c r="B109" s="40">
        <v>29</v>
      </c>
      <c r="C109" s="40" t="s">
        <v>284</v>
      </c>
      <c r="D109" s="40" t="s">
        <v>70</v>
      </c>
      <c r="E109" s="40">
        <v>0</v>
      </c>
      <c r="F109" s="40" t="s">
        <v>71</v>
      </c>
      <c r="G109" s="153" t="s">
        <v>71</v>
      </c>
      <c r="H109" s="40" t="s">
        <v>71</v>
      </c>
      <c r="I109" s="40" t="s">
        <v>71</v>
      </c>
      <c r="J109" s="40" t="s">
        <v>71</v>
      </c>
      <c r="K109" s="40" t="s">
        <v>71</v>
      </c>
      <c r="L109" s="40">
        <v>1</v>
      </c>
      <c r="M109" s="40" t="s">
        <v>71</v>
      </c>
      <c r="N109" s="105">
        <v>46163.706226851849</v>
      </c>
    </row>
    <row r="110" spans="2:14">
      <c r="B110" s="40">
        <v>30</v>
      </c>
      <c r="C110" s="40" t="s">
        <v>285</v>
      </c>
      <c r="D110" s="40" t="s">
        <v>70</v>
      </c>
      <c r="E110" s="40">
        <v>0</v>
      </c>
      <c r="F110" s="40" t="s">
        <v>71</v>
      </c>
      <c r="G110" s="153" t="s">
        <v>71</v>
      </c>
      <c r="H110" s="40" t="s">
        <v>71</v>
      </c>
      <c r="I110" s="40" t="s">
        <v>71</v>
      </c>
      <c r="J110" s="40" t="s">
        <v>71</v>
      </c>
      <c r="K110" s="40" t="s">
        <v>71</v>
      </c>
      <c r="L110" s="40">
        <v>1</v>
      </c>
      <c r="M110" s="40" t="s">
        <v>71</v>
      </c>
      <c r="N110" s="105">
        <v>46163.716932870368</v>
      </c>
    </row>
    <row r="111" spans="2:14">
      <c r="B111" s="40">
        <v>31</v>
      </c>
      <c r="C111" s="40" t="s">
        <v>286</v>
      </c>
      <c r="D111" s="40" t="s">
        <v>70</v>
      </c>
      <c r="E111" s="40">
        <v>0</v>
      </c>
      <c r="F111" s="40" t="s">
        <v>71</v>
      </c>
      <c r="G111" s="153" t="s">
        <v>71</v>
      </c>
      <c r="H111" s="40" t="s">
        <v>71</v>
      </c>
      <c r="I111" s="40" t="s">
        <v>71</v>
      </c>
      <c r="J111" s="40" t="s">
        <v>71</v>
      </c>
      <c r="K111" s="40" t="s">
        <v>71</v>
      </c>
      <c r="L111" s="40">
        <v>1</v>
      </c>
      <c r="M111" s="40" t="s">
        <v>71</v>
      </c>
      <c r="N111" s="105">
        <v>46163.727673611109</v>
      </c>
    </row>
    <row r="112" spans="2:14">
      <c r="B112" s="40">
        <v>32</v>
      </c>
      <c r="C112" s="40" t="s">
        <v>287</v>
      </c>
      <c r="D112" s="40" t="s">
        <v>70</v>
      </c>
      <c r="E112" s="40">
        <v>0</v>
      </c>
      <c r="F112" s="40" t="s">
        <v>71</v>
      </c>
      <c r="G112" s="153" t="s">
        <v>71</v>
      </c>
      <c r="H112" s="40" t="s">
        <v>71</v>
      </c>
      <c r="I112" s="40" t="s">
        <v>71</v>
      </c>
      <c r="J112" s="40" t="s">
        <v>71</v>
      </c>
      <c r="K112" s="40" t="s">
        <v>71</v>
      </c>
      <c r="L112" s="40">
        <v>1</v>
      </c>
      <c r="M112" s="40" t="s">
        <v>71</v>
      </c>
      <c r="N112" s="105">
        <v>46163.738391203704</v>
      </c>
    </row>
    <row r="113" spans="2:14">
      <c r="B113" s="40">
        <v>33</v>
      </c>
      <c r="C113" s="40" t="s">
        <v>288</v>
      </c>
      <c r="D113" s="40" t="s">
        <v>70</v>
      </c>
      <c r="E113" s="40">
        <v>0</v>
      </c>
      <c r="F113" s="40" t="s">
        <v>71</v>
      </c>
      <c r="G113" s="153" t="s">
        <v>71</v>
      </c>
      <c r="H113" s="40" t="s">
        <v>71</v>
      </c>
      <c r="I113" s="40" t="s">
        <v>71</v>
      </c>
      <c r="J113" s="40" t="s">
        <v>71</v>
      </c>
      <c r="K113" s="40" t="s">
        <v>71</v>
      </c>
      <c r="L113" s="40">
        <v>1</v>
      </c>
      <c r="M113" s="40" t="s">
        <v>71</v>
      </c>
      <c r="N113" s="105">
        <v>46163.749097222222</v>
      </c>
    </row>
    <row r="114" spans="2:14">
      <c r="B114" s="40">
        <v>34</v>
      </c>
      <c r="C114" s="40" t="s">
        <v>289</v>
      </c>
      <c r="D114" s="40" t="s">
        <v>70</v>
      </c>
      <c r="E114" s="40">
        <v>0</v>
      </c>
      <c r="F114" s="40" t="s">
        <v>71</v>
      </c>
      <c r="G114" s="153" t="s">
        <v>71</v>
      </c>
      <c r="H114" s="40" t="s">
        <v>71</v>
      </c>
      <c r="I114" s="40" t="s">
        <v>71</v>
      </c>
      <c r="J114" s="40" t="s">
        <v>71</v>
      </c>
      <c r="K114" s="40" t="s">
        <v>71</v>
      </c>
      <c r="L114" s="40">
        <v>1</v>
      </c>
      <c r="M114" s="40" t="s">
        <v>71</v>
      </c>
      <c r="N114" s="105">
        <v>46163.759826388887</v>
      </c>
    </row>
    <row r="115" spans="2:14">
      <c r="B115" s="40">
        <v>35</v>
      </c>
      <c r="C115" s="40" t="s">
        <v>290</v>
      </c>
      <c r="D115" s="40" t="s">
        <v>70</v>
      </c>
      <c r="E115" s="40">
        <v>0</v>
      </c>
      <c r="F115" s="40" t="s">
        <v>71</v>
      </c>
      <c r="G115" s="153" t="s">
        <v>71</v>
      </c>
      <c r="H115" s="40" t="s">
        <v>71</v>
      </c>
      <c r="I115" s="40" t="s">
        <v>71</v>
      </c>
      <c r="J115" s="40" t="s">
        <v>71</v>
      </c>
      <c r="K115" s="40" t="s">
        <v>71</v>
      </c>
      <c r="L115" s="40">
        <v>1</v>
      </c>
      <c r="M115" s="40" t="s">
        <v>71</v>
      </c>
      <c r="N115" s="105">
        <v>46163.770567129628</v>
      </c>
    </row>
    <row r="116" spans="2:14">
      <c r="B116" s="40">
        <v>36</v>
      </c>
      <c r="C116" s="40" t="s">
        <v>291</v>
      </c>
      <c r="D116" s="40" t="s">
        <v>70</v>
      </c>
      <c r="E116" s="40">
        <v>0</v>
      </c>
      <c r="F116" s="40" t="s">
        <v>71</v>
      </c>
      <c r="G116" s="153" t="s">
        <v>71</v>
      </c>
      <c r="H116" s="40" t="s">
        <v>71</v>
      </c>
      <c r="I116" s="40" t="s">
        <v>71</v>
      </c>
      <c r="J116" s="40" t="s">
        <v>71</v>
      </c>
      <c r="K116" s="40" t="s">
        <v>71</v>
      </c>
      <c r="L116" s="40">
        <v>1</v>
      </c>
      <c r="M116" s="40" t="s">
        <v>71</v>
      </c>
      <c r="N116" s="105">
        <v>46163.781284722223</v>
      </c>
    </row>
  </sheetData>
  <phoneticPr fontId="2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28"/>
  <sheetViews>
    <sheetView topLeftCell="A5" workbookViewId="0">
      <selection activeCell="B3" sqref="B3:D28"/>
    </sheetView>
  </sheetViews>
  <sheetFormatPr defaultRowHeight="21" customHeight="1"/>
  <cols>
    <col min="2" max="2" width="14.5" customWidth="1"/>
    <col min="3" max="3" width="31.625" customWidth="1"/>
    <col min="4" max="4" width="117" customWidth="1"/>
  </cols>
  <sheetData>
    <row r="3" spans="2:4" ht="21" customHeight="1">
      <c r="B3" s="114" t="s">
        <v>187</v>
      </c>
      <c r="C3" s="114" t="s">
        <v>188</v>
      </c>
      <c r="D3" s="114" t="s">
        <v>189</v>
      </c>
    </row>
    <row r="4" spans="2:4" ht="21" customHeight="1">
      <c r="B4" s="272" t="s">
        <v>190</v>
      </c>
      <c r="C4" s="75" t="s">
        <v>168</v>
      </c>
      <c r="D4" s="123" t="s">
        <v>203</v>
      </c>
    </row>
    <row r="5" spans="2:4" ht="21" customHeight="1">
      <c r="B5" s="273"/>
      <c r="C5" s="267" t="s">
        <v>180</v>
      </c>
      <c r="D5" s="124" t="s">
        <v>197</v>
      </c>
    </row>
    <row r="6" spans="2:4" ht="21" customHeight="1">
      <c r="B6" s="273"/>
      <c r="C6" s="268"/>
      <c r="D6" s="124" t="s">
        <v>199</v>
      </c>
    </row>
    <row r="7" spans="2:4" ht="21" customHeight="1">
      <c r="B7" s="273"/>
      <c r="C7" s="268"/>
      <c r="D7" s="124" t="s">
        <v>200</v>
      </c>
    </row>
    <row r="8" spans="2:4" ht="21" customHeight="1">
      <c r="B8" s="273"/>
      <c r="C8" s="269"/>
      <c r="D8" s="124" t="s">
        <v>202</v>
      </c>
    </row>
    <row r="9" spans="2:4" ht="21" customHeight="1">
      <c r="B9" s="273"/>
      <c r="C9" s="270" t="s">
        <v>181</v>
      </c>
      <c r="D9" s="274" t="s">
        <v>198</v>
      </c>
    </row>
    <row r="10" spans="2:4" ht="21" customHeight="1">
      <c r="B10" s="273"/>
      <c r="C10" s="271"/>
      <c r="D10" s="274"/>
    </row>
    <row r="11" spans="2:4" ht="21" customHeight="1">
      <c r="B11" s="273"/>
      <c r="C11" s="125" t="s">
        <v>182</v>
      </c>
      <c r="D11" s="124" t="s">
        <v>201</v>
      </c>
    </row>
    <row r="12" spans="2:4" ht="21" customHeight="1">
      <c r="B12" s="272" t="s">
        <v>191</v>
      </c>
      <c r="C12" s="121" t="s">
        <v>169</v>
      </c>
      <c r="D12" s="123" t="s">
        <v>179</v>
      </c>
    </row>
    <row r="13" spans="2:4" ht="21" customHeight="1">
      <c r="B13" s="273"/>
      <c r="C13" s="121" t="s">
        <v>170</v>
      </c>
      <c r="D13" s="124" t="s">
        <v>204</v>
      </c>
    </row>
    <row r="14" spans="2:4" ht="21" customHeight="1">
      <c r="B14" s="273"/>
      <c r="C14" s="125" t="s">
        <v>183</v>
      </c>
      <c r="D14" s="124" t="s">
        <v>206</v>
      </c>
    </row>
    <row r="15" spans="2:4" ht="21" customHeight="1">
      <c r="B15" s="275"/>
      <c r="C15" s="121" t="s">
        <v>171</v>
      </c>
      <c r="D15" s="124" t="s">
        <v>205</v>
      </c>
    </row>
    <row r="16" spans="2:4" ht="21" customHeight="1">
      <c r="B16" s="272" t="s">
        <v>192</v>
      </c>
      <c r="C16" s="49" t="s">
        <v>172</v>
      </c>
      <c r="D16" s="123" t="s">
        <v>179</v>
      </c>
    </row>
    <row r="17" spans="2:4" ht="21" customHeight="1">
      <c r="B17" s="273"/>
      <c r="C17" s="125" t="s">
        <v>185</v>
      </c>
      <c r="D17" s="124" t="s">
        <v>207</v>
      </c>
    </row>
    <row r="18" spans="2:4" ht="21" customHeight="1">
      <c r="B18" s="275"/>
      <c r="C18" s="125" t="s">
        <v>186</v>
      </c>
      <c r="D18" s="124" t="s">
        <v>208</v>
      </c>
    </row>
    <row r="19" spans="2:4" ht="21" customHeight="1">
      <c r="B19" s="114" t="s">
        <v>193</v>
      </c>
      <c r="C19" s="121" t="s">
        <v>173</v>
      </c>
      <c r="D19" s="122" t="s">
        <v>209</v>
      </c>
    </row>
    <row r="20" spans="2:4" ht="21" customHeight="1">
      <c r="B20" s="272" t="s">
        <v>194</v>
      </c>
      <c r="C20" s="49" t="s">
        <v>172</v>
      </c>
      <c r="D20" s="123" t="s">
        <v>179</v>
      </c>
    </row>
    <row r="21" spans="2:4" ht="21" customHeight="1">
      <c r="B21" s="275"/>
      <c r="C21" s="121" t="s">
        <v>171</v>
      </c>
      <c r="D21" s="124" t="s">
        <v>210</v>
      </c>
    </row>
    <row r="22" spans="2:4" ht="21" customHeight="1">
      <c r="B22" s="272" t="s">
        <v>195</v>
      </c>
      <c r="C22" s="121" t="s">
        <v>174</v>
      </c>
      <c r="D22" s="126" t="s">
        <v>211</v>
      </c>
    </row>
    <row r="23" spans="2:4" ht="21" customHeight="1">
      <c r="B23" s="273"/>
      <c r="C23" s="121" t="s">
        <v>175</v>
      </c>
      <c r="D23" s="124" t="s">
        <v>184</v>
      </c>
    </row>
    <row r="24" spans="2:4" ht="21" customHeight="1">
      <c r="B24" s="273"/>
      <c r="C24" s="121" t="s">
        <v>167</v>
      </c>
      <c r="D24" s="124" t="s">
        <v>212</v>
      </c>
    </row>
    <row r="25" spans="2:4" ht="21" customHeight="1">
      <c r="B25" s="273"/>
      <c r="C25" s="121" t="s">
        <v>176</v>
      </c>
      <c r="D25" s="124" t="s">
        <v>213</v>
      </c>
    </row>
    <row r="26" spans="2:4" ht="21" customHeight="1">
      <c r="B26" s="275"/>
      <c r="C26" s="121" t="s">
        <v>177</v>
      </c>
      <c r="D26" s="124" t="s">
        <v>214</v>
      </c>
    </row>
    <row r="27" spans="2:4" ht="21" customHeight="1">
      <c r="B27" s="272" t="s">
        <v>196</v>
      </c>
      <c r="C27" s="121" t="s">
        <v>178</v>
      </c>
      <c r="D27" s="127" t="s">
        <v>215</v>
      </c>
    </row>
    <row r="28" spans="2:4" ht="21" customHeight="1">
      <c r="B28" s="275"/>
      <c r="C28" s="121" t="s">
        <v>171</v>
      </c>
      <c r="D28" s="127" t="s">
        <v>216</v>
      </c>
    </row>
  </sheetData>
  <mergeCells count="9">
    <mergeCell ref="C5:C8"/>
    <mergeCell ref="C9:C10"/>
    <mergeCell ref="B4:B11"/>
    <mergeCell ref="D9:D10"/>
    <mergeCell ref="B27:B28"/>
    <mergeCell ref="B22:B26"/>
    <mergeCell ref="B12:B15"/>
    <mergeCell ref="B16:B18"/>
    <mergeCell ref="B20:B21"/>
  </mergeCells>
  <phoneticPr fontId="3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</vt:i4>
      </vt:variant>
    </vt:vector>
  </HeadingPairs>
  <TitlesOfParts>
    <vt:vector size="12" baseType="lpstr">
      <vt:lpstr>对照品配制</vt:lpstr>
      <vt:lpstr>系统适用性</vt:lpstr>
      <vt:lpstr>检测限与定量限</vt:lpstr>
      <vt:lpstr>重复性</vt:lpstr>
      <vt:lpstr>准确度</vt:lpstr>
      <vt:lpstr>溶液稳定性</vt:lpstr>
      <vt:lpstr>检测</vt:lpstr>
      <vt:lpstr>Sheet1</vt:lpstr>
      <vt:lpstr>Sheet2</vt:lpstr>
      <vt:lpstr>Sheet3</vt:lpstr>
      <vt:lpstr>准确度!_Hlk227855237</vt:lpstr>
      <vt:lpstr>Sheet3!_Hlk228446882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wenxia</cp:lastModifiedBy>
  <dcterms:created xsi:type="dcterms:W3CDTF">2006-09-16T00:00:00Z</dcterms:created>
  <dcterms:modified xsi:type="dcterms:W3CDTF">2026-06-30T03:05:40Z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6B8762C14B494D73B8F1797CAAE901BB</vt:lpwstr>
  </property>
  <property fmtid="{D5CDD505-2E9C-101B-9397-08002B2CF9AE}" pid="3" name="KSOProductBuildVer">
    <vt:lpwstr>2052-11.1.0.10495</vt:lpwstr>
  </property>
</Properties>
</file>