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模板说明" sheetId="1" state="visible" r:id="rId1"/>
    <sheet xmlns:r="http://schemas.openxmlformats.org/officeDocument/2006/relationships" name="杂质清单" sheetId="2" state="visible" r:id="rId2"/>
    <sheet xmlns:r="http://schemas.openxmlformats.org/officeDocument/2006/relationships" name="AI数据索引" sheetId="3" state="visible" r:id="rId3"/>
    <sheet xmlns:r="http://schemas.openxmlformats.org/officeDocument/2006/relationships" name="录入规则" sheetId="4" state="visible" r:id="rId4"/>
    <sheet xmlns:r="http://schemas.openxmlformats.org/officeDocument/2006/relationships" name="系统适用性结果" sheetId="5" state="visible" r:id="rId5"/>
    <sheet xmlns:r="http://schemas.openxmlformats.org/officeDocument/2006/relationships" name="专属性结果" sheetId="6" state="visible" r:id="rId6"/>
    <sheet xmlns:r="http://schemas.openxmlformats.org/officeDocument/2006/relationships" name="检测限定量限结果" sheetId="7" state="visible" r:id="rId7"/>
    <sheet xmlns:r="http://schemas.openxmlformats.org/officeDocument/2006/relationships" name="线性溶液数值" sheetId="8" state="visible" r:id="rId8"/>
    <sheet xmlns:r="http://schemas.openxmlformats.org/officeDocument/2006/relationships" name="线性与范围结果" sheetId="9" state="visible" r:id="rId9"/>
    <sheet xmlns:r="http://schemas.openxmlformats.org/officeDocument/2006/relationships" name="重复性结果" sheetId="10" state="visible" r:id="rId10"/>
    <sheet xmlns:r="http://schemas.openxmlformats.org/officeDocument/2006/relationships" name="中间精密度结果" sheetId="11" state="visible" r:id="rId11"/>
    <sheet xmlns:r="http://schemas.openxmlformats.org/officeDocument/2006/relationships" name="准确度结果" sheetId="12" state="visible" r:id="rId12"/>
    <sheet xmlns:r="http://schemas.openxmlformats.org/officeDocument/2006/relationships" name="溶液稳定性结果" sheetId="13" state="visible" r:id="rId13"/>
    <sheet xmlns:r="http://schemas.openxmlformats.org/officeDocument/2006/relationships" name="耐用性结果" sheetId="14" state="visible" r:id="rId14"/>
  </sheets>
  <definedNames/>
  <calcPr calcId="124519" calcMode="auto" fullCalcOnLoad="1" forceFullCalc="1"/>
</workbook>
</file>

<file path=xl/styles.xml><?xml version="1.0" encoding="utf-8"?>
<styleSheet xmlns="http://schemas.openxmlformats.org/spreadsheetml/2006/main">
  <numFmts count="1">
    <numFmt numFmtId="164" formatCode="0.0000"/>
  </numFmts>
  <fonts count="4">
    <font>
      <name val="Calibri"/>
      <family val="2"/>
      <color theme="1"/>
      <sz val="11"/>
      <scheme val="minor"/>
    </font>
    <font>
      <b val="1"/>
      <color rgb="00FFFFFF"/>
      <sz val="14"/>
    </font>
    <font>
      <b val="1"/>
      <color rgb="0017324D"/>
    </font>
    <font>
      <b val="1"/>
      <color rgb="00FFFFFF"/>
    </font>
  </fonts>
  <fills count="7">
    <fill>
      <patternFill/>
    </fill>
    <fill>
      <patternFill patternType="gray125"/>
    </fill>
    <fill>
      <patternFill patternType="solid">
        <fgColor rgb="0017324D"/>
      </patternFill>
    </fill>
    <fill>
      <patternFill patternType="solid">
        <fgColor rgb="00DCEAF7"/>
      </patternFill>
    </fill>
    <fill>
      <patternFill patternType="solid">
        <fgColor rgb="00FFF2CC"/>
      </patternFill>
    </fill>
    <fill>
      <patternFill patternType="solid">
        <fgColor rgb="00E2F0D9"/>
      </patternFill>
    </fill>
    <fill>
      <patternFill patternType="solid">
        <fgColor rgb="00E7E6E6"/>
      </patternFill>
    </fill>
  </fills>
  <borders count="2">
    <border>
      <left/>
      <right/>
      <top/>
      <bottom/>
      <diagonal/>
    </border>
    <border>
      <bottom style="thin">
        <color rgb="00B7C4C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2" borderId="0" pivotButton="0" quotePrefix="0" xfId="0"/>
    <xf numFmtId="0" fontId="2" fillId="3"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applyAlignment="1" pivotButton="0" quotePrefix="0" xfId="0">
      <alignment vertical="center" wrapText="1"/>
    </xf>
    <xf numFmtId="0" fontId="0" fillId="4" borderId="1" applyAlignment="1" applyProtection="1" pivotButton="0" quotePrefix="0" xfId="0">
      <alignment vertical="center" wrapText="1"/>
      <protection locked="0" hidden="0"/>
    </xf>
    <xf numFmtId="0" fontId="0" fillId="0" borderId="0" applyAlignment="1" pivotButton="0" quotePrefix="0" xfId="0">
      <alignment vertical="top" wrapText="1"/>
    </xf>
    <xf numFmtId="2" fontId="0" fillId="5" borderId="1" applyAlignment="1" pivotButton="0" quotePrefix="0" xfId="0">
      <alignment vertical="center" wrapText="1"/>
    </xf>
    <xf numFmtId="1" fontId="0" fillId="5" borderId="1" applyAlignment="1" pivotButton="0" quotePrefix="0" xfId="0">
      <alignment vertical="center" wrapText="1"/>
    </xf>
    <xf numFmtId="164" fontId="0" fillId="5" borderId="1" applyAlignment="1" pivotButton="0" quotePrefix="0" xfId="0">
      <alignment vertical="center" wrapText="1"/>
    </xf>
    <xf numFmtId="0" fontId="0" fillId="6" borderId="1" applyAlignment="1" pivotButton="0" quotePrefix="0" xfId="0">
      <alignment vertical="center" wrapText="1"/>
    </xf>
  </cellXfs>
  <cellStyles count="1">
    <cellStyle name="Normal" xfId="0" builtinId="0" hidden="0"/>
  </cellStyles>
  <dxfs count="1">
    <dxf>
      <fill>
        <patternFill patternType="solid">
          <fgColor rgb="00FCE4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24" customWidth="1" min="2" max="2"/>
    <col width="18" customWidth="1" min="3" max="3"/>
    <col width="18" customWidth="1" min="4" max="4"/>
    <col width="18" customWidth="1" min="5" max="5"/>
    <col width="18" customWidth="1" min="6" max="6"/>
  </cols>
  <sheetData>
    <row r="1" ht="30" customHeight="1">
      <c r="A1" s="1" t="inlineStr">
        <is>
          <t>分析方法验证原始数据计算模板</t>
        </is>
      </c>
    </row>
    <row r="3">
      <c r="A3" s="2" t="inlineStr">
        <is>
          <t>模板版本</t>
        </is>
      </c>
      <c r="B3" t="inlineStr">
        <is>
          <t>2.0</t>
        </is>
      </c>
    </row>
    <row r="4">
      <c r="A4" s="2" t="inlineStr">
        <is>
          <t>最大杂质数</t>
        </is>
      </c>
      <c r="B4" t="n">
        <v>10</v>
      </c>
    </row>
    <row r="5">
      <c r="A5" s="2" t="inlineStr">
        <is>
          <t>工作簿用途</t>
        </is>
      </c>
      <c r="B5" t="inlineStr">
        <is>
          <t>验证报告原始数据与计算结果</t>
        </is>
      </c>
    </row>
    <row r="6">
      <c r="A6" s="2" t="inlineStr">
        <is>
          <t>输入颜色</t>
        </is>
      </c>
      <c r="B6" t="inlineStr">
        <is>
          <t>浅黄色</t>
        </is>
      </c>
    </row>
    <row r="7">
      <c r="A7" s="2" t="inlineStr">
        <is>
          <t>公式颜色</t>
        </is>
      </c>
      <c r="B7" t="inlineStr">
        <is>
          <t>浅绿色</t>
        </is>
      </c>
    </row>
    <row r="8">
      <c r="A8" s="2" t="inlineStr">
        <is>
          <t>保护密码</t>
        </is>
      </c>
      <c r="B8" t="inlineStr">
        <is>
          <t>report-template</t>
        </is>
      </c>
    </row>
    <row r="11">
      <c r="A11" s="3" t="inlineStr">
        <is>
          <t>使用顺序</t>
        </is>
      </c>
    </row>
    <row r="12" ht="30" customHeight="1">
      <c r="A12" t="inlineStr">
        <is>
          <t>1.</t>
        </is>
      </c>
      <c r="B12" t="inlineStr">
        <is>
          <t>先在“杂质清单”登记最多10个杂质，再到各结果表通过 impurity_id 下拉选择。</t>
        </is>
      </c>
    </row>
    <row r="13" ht="30" customHeight="1">
      <c r="A13" t="inlineStr">
        <is>
          <t>2.</t>
        </is>
      </c>
      <c r="B13" t="inlineStr">
        <is>
          <t>黄色单元格是唯一允许录入的位置；绿色单元格由公式计算，不能覆盖。</t>
        </is>
      </c>
    </row>
    <row r="14" ht="30" customHeight="1">
      <c r="A14" t="inlineStr">
        <is>
          <t>3.</t>
        </is>
      </c>
      <c r="B14" t="inlineStr">
        <is>
          <t>每行只代表一条测定记录；不同杂质、不同序列或不同条件不得写在同一行。</t>
        </is>
      </c>
    </row>
    <row r="15" ht="30" customHeight="1">
      <c r="A15" t="inlineStr">
        <is>
          <t>4.</t>
        </is>
      </c>
      <c r="B15" t="inlineStr">
        <is>
          <t>不要新增列、改写英文字段名或在表外记录数据；行数不足时由管理员扩展模板。</t>
        </is>
      </c>
    </row>
    <row r="16" ht="30" customHeight="1">
      <c r="A16" t="inlineStr">
        <is>
          <t>5.</t>
        </is>
      </c>
      <c r="B16" t="inlineStr">
        <is>
          <t>本模板不录入结论、验证项目名称、实验过程、接受标准、仪器或溶液配制信息。</t>
        </is>
      </c>
    </row>
  </sheetData>
  <sheetProtection selectLockedCells="0" selectUnlockedCells="1" sheet="1" objects="0" insertRows="0" insertHyperlinks="1" autoFilter="1" scenarios="0" formatColumns="0" deleteColumns="0" insertColumns="0" pivotTables="1" deleteRows="0" formatCells="0" formatRows="0" sort="1" password="A5CB"/>
  <mergeCells count="13">
    <mergeCell ref="A1:F1"/>
    <mergeCell ref="B3:F3"/>
    <mergeCell ref="B4:F4"/>
    <mergeCell ref="B5:F5"/>
    <mergeCell ref="B6:F6"/>
    <mergeCell ref="B7:F7"/>
    <mergeCell ref="B8:F8"/>
    <mergeCell ref="A11:F11"/>
    <mergeCell ref="B12:F12"/>
    <mergeCell ref="B13:F13"/>
    <mergeCell ref="B14:F14"/>
    <mergeCell ref="B15:F15"/>
    <mergeCell ref="B16:F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14" customWidth="1" min="1" max="1"/>
    <col width="28" customWidth="1" min="2" max="2"/>
    <col width="16" customWidth="1" min="3" max="3"/>
    <col width="16" customWidth="1" min="4" max="4"/>
    <col width="23" customWidth="1" min="5" max="5"/>
    <col width="25" customWidth="1" min="6" max="6"/>
    <col width="12" customWidth="1" min="7" max="7"/>
    <col width="28" customWidth="1" min="8" max="8"/>
  </cols>
  <sheetData>
    <row r="1" ht="30" customHeight="1">
      <c r="A1" s="1" t="inlineStr">
        <is>
          <t>杂质清单</t>
        </is>
      </c>
    </row>
    <row r="2" ht="30" customHeight="1">
      <c r="A2" s="4" t="inlineStr">
        <is>
          <t>impurity_id</t>
        </is>
      </c>
      <c r="B2" s="4" t="inlineStr">
        <is>
          <t>impurity_name</t>
        </is>
      </c>
      <c r="C2" s="4" t="inlineStr">
        <is>
          <t>short_name</t>
        </is>
      </c>
      <c r="D2" s="4" t="inlineStr">
        <is>
          <t>limit_ppm</t>
        </is>
      </c>
      <c r="E2" s="4" t="inlineStr">
        <is>
          <t>limit_concentration</t>
        </is>
      </c>
      <c r="F2" s="4" t="inlineStr">
        <is>
          <t>api_concentration</t>
        </is>
      </c>
      <c r="G2" s="4" t="inlineStr">
        <is>
          <t>enabled</t>
        </is>
      </c>
      <c r="H2" s="4" t="inlineStr">
        <is>
          <t>note</t>
        </is>
      </c>
    </row>
    <row r="3" ht="30" customHeight="1">
      <c r="A3" s="5" t="inlineStr">
        <is>
          <t>杂质编号</t>
        </is>
      </c>
      <c r="B3" s="5" t="inlineStr">
        <is>
          <t>杂质名称</t>
        </is>
      </c>
      <c r="C3" s="5" t="inlineStr">
        <is>
          <t>简称</t>
        </is>
      </c>
      <c r="D3" s="5" t="inlineStr">
        <is>
          <t>限度（ppm）</t>
        </is>
      </c>
      <c r="E3" s="5" t="inlineStr">
        <is>
          <t>限度浓度（ng/ml）</t>
        </is>
      </c>
      <c r="F3" s="5" t="inlineStr">
        <is>
          <t>供试品API浓度（mg/ml）</t>
        </is>
      </c>
      <c r="G3" s="5" t="inlineStr">
        <is>
          <t>启用</t>
        </is>
      </c>
      <c r="H3" s="5" t="inlineStr">
        <is>
          <t>备注</t>
        </is>
      </c>
    </row>
    <row r="4" ht="22" customHeight="1">
      <c r="A4" s="6" t="inlineStr">
        <is>
          <t>IMP-01</t>
        </is>
      </c>
      <c r="B4" s="7" t="n"/>
      <c r="C4" s="7" t="n"/>
      <c r="D4" s="7" t="n"/>
      <c r="E4" s="7" t="n"/>
      <c r="F4" s="7" t="n"/>
      <c r="G4" s="7" t="inlineStr">
        <is>
          <t>是</t>
        </is>
      </c>
      <c r="H4" s="7" t="n"/>
    </row>
    <row r="5" ht="22" customHeight="1">
      <c r="A5" s="6" t="inlineStr">
        <is>
          <t>IMP-02</t>
        </is>
      </c>
      <c r="B5" s="7" t="n"/>
      <c r="C5" s="7" t="n"/>
      <c r="D5" s="7" t="n"/>
      <c r="E5" s="7" t="n"/>
      <c r="F5" s="7" t="n"/>
      <c r="G5" s="7" t="inlineStr">
        <is>
          <t>是</t>
        </is>
      </c>
      <c r="H5" s="7" t="n"/>
    </row>
    <row r="6" ht="22" customHeight="1">
      <c r="A6" s="6" t="inlineStr">
        <is>
          <t>IMP-03</t>
        </is>
      </c>
      <c r="B6" s="7" t="n"/>
      <c r="C6" s="7" t="n"/>
      <c r="D6" s="7" t="n"/>
      <c r="E6" s="7" t="n"/>
      <c r="F6" s="7" t="n"/>
      <c r="G6" s="7" t="inlineStr">
        <is>
          <t>是</t>
        </is>
      </c>
      <c r="H6" s="7" t="n"/>
    </row>
    <row r="7" ht="22" customHeight="1">
      <c r="A7" s="6" t="inlineStr">
        <is>
          <t>IMP-04</t>
        </is>
      </c>
      <c r="B7" s="7" t="n"/>
      <c r="C7" s="7" t="n"/>
      <c r="D7" s="7" t="n"/>
      <c r="E7" s="7" t="n"/>
      <c r="F7" s="7" t="n"/>
      <c r="G7" s="7" t="inlineStr">
        <is>
          <t>否</t>
        </is>
      </c>
      <c r="H7" s="7" t="n"/>
    </row>
    <row r="8" ht="22" customHeight="1">
      <c r="A8" s="6" t="inlineStr">
        <is>
          <t>IMP-05</t>
        </is>
      </c>
      <c r="B8" s="7" t="n"/>
      <c r="C8" s="7" t="n"/>
      <c r="D8" s="7" t="n"/>
      <c r="E8" s="7" t="n"/>
      <c r="F8" s="7" t="n"/>
      <c r="G8" s="7" t="inlineStr">
        <is>
          <t>否</t>
        </is>
      </c>
      <c r="H8" s="7" t="n"/>
    </row>
    <row r="9" ht="22" customHeight="1">
      <c r="A9" s="6" t="inlineStr">
        <is>
          <t>IMP-06</t>
        </is>
      </c>
      <c r="B9" s="7" t="n"/>
      <c r="C9" s="7" t="n"/>
      <c r="D9" s="7" t="n"/>
      <c r="E9" s="7" t="n"/>
      <c r="F9" s="7" t="n"/>
      <c r="G9" s="7" t="inlineStr">
        <is>
          <t>否</t>
        </is>
      </c>
      <c r="H9" s="7" t="n"/>
    </row>
    <row r="10" ht="22" customHeight="1">
      <c r="A10" s="6" t="inlineStr">
        <is>
          <t>IMP-07</t>
        </is>
      </c>
      <c r="B10" s="7" t="n"/>
      <c r="C10" s="7" t="n"/>
      <c r="D10" s="7" t="n"/>
      <c r="E10" s="7" t="n"/>
      <c r="F10" s="7" t="n"/>
      <c r="G10" s="7" t="inlineStr">
        <is>
          <t>否</t>
        </is>
      </c>
      <c r="H10" s="7" t="n"/>
    </row>
    <row r="11" ht="22" customHeight="1">
      <c r="A11" s="6" t="inlineStr">
        <is>
          <t>IMP-08</t>
        </is>
      </c>
      <c r="B11" s="7" t="n"/>
      <c r="C11" s="7" t="n"/>
      <c r="D11" s="7" t="n"/>
      <c r="E11" s="7" t="n"/>
      <c r="F11" s="7" t="n"/>
      <c r="G11" s="7" t="inlineStr">
        <is>
          <t>否</t>
        </is>
      </c>
      <c r="H11" s="7" t="n"/>
    </row>
    <row r="12" ht="22" customHeight="1">
      <c r="A12" s="6" t="inlineStr">
        <is>
          <t>IMP-09</t>
        </is>
      </c>
      <c r="B12" s="7" t="n"/>
      <c r="C12" s="7" t="n"/>
      <c r="D12" s="7" t="n"/>
      <c r="E12" s="7" t="n"/>
      <c r="F12" s="7" t="n"/>
      <c r="G12" s="7" t="inlineStr">
        <is>
          <t>否</t>
        </is>
      </c>
      <c r="H12" s="7" t="n"/>
    </row>
    <row r="13" ht="22" customHeight="1">
      <c r="A13" s="6" t="inlineStr">
        <is>
          <t>IMP-10</t>
        </is>
      </c>
      <c r="B13" s="7" t="n"/>
      <c r="C13" s="7" t="n"/>
      <c r="D13" s="7" t="n"/>
      <c r="E13" s="7" t="n"/>
      <c r="F13" s="7" t="n"/>
      <c r="G13" s="7" t="inlineStr">
        <is>
          <t>否</t>
        </is>
      </c>
      <c r="H13" s="7" t="n"/>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H1"/>
  </mergeCells>
  <dataValidations count="2">
    <dataValidation sqref="G4 G5 G6 G7 G8 G9 G10 G11 G12 G13" showErrorMessage="1" showInputMessage="1" allowBlank="0" type="list">
      <formula1>"是,否"</formula1>
    </dataValidation>
    <dataValidation sqref="D4 E4 F4 D5 E5 F5 D6 E6 F6 D7 E7 F7 D8 E8 F8 D9 E9 F9 D10 E10 F10 D11 E11 F11 D12 E12 F12 D13 E13 F1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8" customWidth="1" min="1" max="1"/>
    <col width="28" customWidth="1" min="2" max="2"/>
    <col width="24" customWidth="1" min="3" max="3"/>
    <col width="18" customWidth="1" min="4" max="4"/>
    <col width="90" customWidth="1" min="5" max="5"/>
    <col width="66" customWidth="1" min="6" max="6"/>
  </cols>
  <sheetData>
    <row r="1" ht="30" customHeight="1">
      <c r="A1" s="5" t="inlineStr">
        <is>
          <t>table_code</t>
        </is>
      </c>
      <c r="B1" s="5" t="inlineStr">
        <is>
          <t>工作表</t>
        </is>
      </c>
      <c r="C1" s="5" t="inlineStr">
        <is>
          <t>数据区域</t>
        </is>
      </c>
      <c r="D1" s="5" t="inlineStr">
        <is>
          <t>结构类型</t>
        </is>
      </c>
      <c r="E1" s="5" t="inlineStr">
        <is>
          <t>稳定字段</t>
        </is>
      </c>
      <c r="F1" s="5" t="inlineStr">
        <is>
          <t>目标标准JSON路径</t>
        </is>
      </c>
    </row>
    <row r="2">
      <c r="A2" s="8" t="inlineStr">
        <is>
          <t>impurities</t>
        </is>
      </c>
      <c r="B2" s="8" t="inlineStr">
        <is>
          <t>杂质清单</t>
        </is>
      </c>
      <c r="C2" s="8" t="inlineStr">
        <is>
          <t>A2:H13</t>
        </is>
      </c>
      <c r="D2" s="8" t="inlineStr">
        <is>
          <t>纵向明细表</t>
        </is>
      </c>
      <c r="E2" s="8" t="inlineStr">
        <is>
          <t>impurity_id,impurity_name,short_name,limit_ppm,limit_concentration,api_concentration,enabled,note</t>
        </is>
      </c>
      <c r="F2" s="8" t="inlineStr">
        <is>
          <t>$.impurities[*]</t>
        </is>
      </c>
    </row>
    <row r="3">
      <c r="A3" s="8" t="inlineStr">
        <is>
          <t>systemSuitability</t>
        </is>
      </c>
      <c r="B3" s="8" t="inlineStr">
        <is>
          <t>系统适用性结果</t>
        </is>
      </c>
      <c r="C3" s="8" t="inlineStr">
        <is>
          <t>A2:F63</t>
        </is>
      </c>
      <c r="D3" s="8" t="inlineStr">
        <is>
          <t>纵向明细表</t>
        </is>
      </c>
      <c r="E3" s="8" t="inlineStr">
        <is>
          <t>impurity_id,sequence,retention_time,peak_area,retention_time_rsd,peak_area_rsd</t>
        </is>
      </c>
      <c r="F3" s="8" t="inlineStr">
        <is>
          <t>$.systemSuitability[*]</t>
        </is>
      </c>
    </row>
    <row r="4">
      <c r="A4" s="8" t="inlineStr">
        <is>
          <t>specificity</t>
        </is>
      </c>
      <c r="B4" s="8" t="inlineStr">
        <is>
          <t>专属性结果</t>
        </is>
      </c>
      <c r="C4" s="8" t="inlineStr">
        <is>
          <t>A2:D103</t>
        </is>
      </c>
      <c r="D4" s="8" t="inlineStr">
        <is>
          <t>纵向明细表</t>
        </is>
      </c>
      <c r="E4" s="8" t="inlineStr">
        <is>
          <t>impurity_id,solution_name,retention_time,peak_area</t>
        </is>
      </c>
      <c r="F4" s="8" t="inlineStr">
        <is>
          <t>$.specificity[*]</t>
        </is>
      </c>
    </row>
    <row r="5">
      <c r="A5" s="8" t="inlineStr">
        <is>
          <t>lodLoq</t>
        </is>
      </c>
      <c r="B5" s="8" t="inlineStr">
        <is>
          <t>检测限定量限结果</t>
        </is>
      </c>
      <c r="C5" s="8" t="inlineStr">
        <is>
          <t>A2:I93</t>
        </is>
      </c>
      <c r="D5" s="8" t="inlineStr">
        <is>
          <t>纵向明细表</t>
        </is>
      </c>
      <c r="E5" s="8" t="inlineStr">
        <is>
          <t>impurity_id,result_type,sequence,sn_ratio,peak_area,concentration,sample_content,limit_percentage,peak_area_rsd</t>
        </is>
      </c>
      <c r="F5" s="8" t="inlineStr">
        <is>
          <t>$.lod[*] / $.loq[*]（按 result_type 拆分）</t>
        </is>
      </c>
    </row>
    <row r="6">
      <c r="A6" s="8" t="inlineStr">
        <is>
          <t>linearityPreparation</t>
        </is>
      </c>
      <c r="B6" s="8" t="inlineStr">
        <is>
          <t>线性溶液数值</t>
        </is>
      </c>
      <c r="C6" s="8" t="inlineStr">
        <is>
          <t>A2:H103</t>
        </is>
      </c>
      <c r="D6" s="8" t="inlineStr">
        <is>
          <t>纵向明细表</t>
        </is>
      </c>
      <c r="E6" s="8" t="inlineStr">
        <is>
          <t>impurity_id,run_type,solution_name,stock_concentration,aliquot_volume,final_volume,theoretical_concentration,limit_percentage</t>
        </is>
      </c>
      <c r="F6" s="8" t="inlineStr">
        <is>
          <t>$.linearityPreparation[*] / $.intermediateLinearityPreparation[*]（按 run_type 拆分）</t>
        </is>
      </c>
    </row>
    <row r="7">
      <c r="A7" s="8" t="inlineStr">
        <is>
          <t>linearity</t>
        </is>
      </c>
      <c r="B7" s="8" t="inlineStr">
        <is>
          <t>线性与范围结果</t>
        </is>
      </c>
      <c r="C7" s="8" t="inlineStr">
        <is>
          <t>A2:L103</t>
        </is>
      </c>
      <c r="D7" s="8" t="inlineStr">
        <is>
          <t>纵向明细表</t>
        </is>
      </c>
      <c r="E7" s="8" t="inlineStr">
        <is>
          <t>impurity_id,run_type,level,actual_concentration,peak_area,predicted_peak_area,residual,relative_residual,slope,intercept,correlation_coefficient,intercept_ratio</t>
        </is>
      </c>
      <c r="F7" s="8" t="inlineStr">
        <is>
          <t>$.linearity[*] / $.intermediateLinearity[*]（按 run_type 拆分）</t>
        </is>
      </c>
    </row>
    <row r="8">
      <c r="A8" s="8" t="inlineStr">
        <is>
          <t>repeatability</t>
        </is>
      </c>
      <c r="B8" s="8" t="inlineStr">
        <is>
          <t>重复性结果</t>
        </is>
      </c>
      <c r="C8" s="8" t="inlineStr">
        <is>
          <t>A2:M63</t>
        </is>
      </c>
      <c r="D8" s="8" t="inlineStr">
        <is>
          <t>纵向明细表</t>
        </is>
      </c>
      <c r="E8" s="8" t="inlineStr">
        <is>
          <t>impurity_id,sequence,gross_weight,tare_weight,api_weight,retention_time,peak_area,measured_concentration,sample_content,retention_time_rsd,content_rsd,content_ci_low,content_ci_high</t>
        </is>
      </c>
      <c r="F8" s="8" t="inlineStr">
        <is>
          <t>$.repeatability[*]</t>
        </is>
      </c>
    </row>
    <row r="9">
      <c r="A9" s="8" t="inlineStr">
        <is>
          <t>intermediatePrecision</t>
        </is>
      </c>
      <c r="B9" s="8" t="inlineStr">
        <is>
          <t>中间精密度结果</t>
        </is>
      </c>
      <c r="C9" s="8" t="inlineStr">
        <is>
          <t>A2:N123</t>
        </is>
      </c>
      <c r="D9" s="8" t="inlineStr">
        <is>
          <t>纵向明细表</t>
        </is>
      </c>
      <c r="E9" s="8" t="inlineStr">
        <is>
          <t>impurity_id,operator_or_day,sequence,gross_weight,tare_weight,api_weight,retention_time,peak_area,measured_concentration,sample_content,retention_time_rsd,content_rsd,content_ci_low,content_ci_high</t>
        </is>
      </c>
      <c r="F9" s="8" t="inlineStr">
        <is>
          <t>$.intermediatePrecision[*]</t>
        </is>
      </c>
    </row>
    <row r="10">
      <c r="A10" s="8" t="inlineStr">
        <is>
          <t>accuracy</t>
        </is>
      </c>
      <c r="B10" s="8" t="inlineStr">
        <is>
          <t>准确度结果</t>
        </is>
      </c>
      <c r="C10" s="8" t="inlineStr">
        <is>
          <t>A2:M153</t>
        </is>
      </c>
      <c r="D10" s="8" t="inlineStr">
        <is>
          <t>纵向明细表</t>
        </is>
      </c>
      <c r="E10" s="8" t="inlineStr">
        <is>
          <t>impurity_id,record_type,level,sequence,api_weight,peak_area,measured_concentration,measured_amount,blank_amount,added_amount,recovery,average_recovery,recovery_rsd</t>
        </is>
      </c>
      <c r="F10" s="8" t="inlineStr">
        <is>
          <t>$.blankAmount[*] / $.accuracy[*]（按 record_type 拆分）</t>
        </is>
      </c>
    </row>
    <row r="11">
      <c r="A11" s="8" t="inlineStr">
        <is>
          <t>solutionStability</t>
        </is>
      </c>
      <c r="B11" s="8" t="inlineStr">
        <is>
          <t>溶液稳定性结果</t>
        </is>
      </c>
      <c r="C11" s="8" t="inlineStr">
        <is>
          <t>A2:F103</t>
        </is>
      </c>
      <c r="D11" s="8" t="inlineStr">
        <is>
          <t>纵向明细表</t>
        </is>
      </c>
      <c r="E11" s="8" t="inlineStr">
        <is>
          <t>impurity_id,time_point,reference_concentration,reference_ratio,spiked_concentration,spiked_ratio</t>
        </is>
      </c>
      <c r="F11" s="8" t="inlineStr">
        <is>
          <t>$.solutionStability[*]</t>
        </is>
      </c>
    </row>
    <row r="12">
      <c r="A12" s="8" t="inlineStr">
        <is>
          <t>robustness</t>
        </is>
      </c>
      <c r="B12" s="8" t="inlineStr">
        <is>
          <t>耐用性结果</t>
        </is>
      </c>
      <c r="C12" s="8" t="inlineStr">
        <is>
          <t>A2:K123</t>
        </is>
      </c>
      <c r="D12" s="8" t="inlineStr">
        <is>
          <t>纵向明细表</t>
        </is>
      </c>
      <c r="E12" s="8" t="inlineStr">
        <is>
          <t>impurity_id,column_no,solution_name,level,actual_concentration,peak_area,spiked_measured_concentration,slope,intercept,correlation_coefficient,column_concentration_ratio</t>
        </is>
      </c>
      <c r="F12" s="8" t="inlineStr">
        <is>
          <t>$.robustnessSpecificity[*] / $.robustnessResult[*]</t>
        </is>
      </c>
    </row>
  </sheetData>
  <sheetProtection selectLockedCells="0" selectUnlockedCells="1" sheet="1" objects="0" insertRows="0" insertHyperlinks="1" autoFilter="1" scenarios="0" formatColumns="0" deleteColumns="0" insertColumns="0" pivotTables="1" deleteRows="0" formatCells="0" formatRows="0" sort="1" password="A5CB"/>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8" customWidth="1" min="1" max="1"/>
    <col width="30" customWidth="1" min="2" max="2"/>
    <col width="76" customWidth="1" min="3" max="3"/>
    <col width="60" customWidth="1" min="4" max="4"/>
  </cols>
  <sheetData>
    <row r="1" ht="30" customHeight="1">
      <c r="A1" s="5" t="inlineStr">
        <is>
          <t>工作表</t>
        </is>
      </c>
      <c r="B1" s="5" t="inlineStr">
        <is>
          <t>允许录入区域</t>
        </is>
      </c>
      <c r="C1" s="5" t="inlineStr">
        <is>
          <t>填写规则</t>
        </is>
      </c>
      <c r="D1" s="5" t="inlineStr">
        <is>
          <t>禁止操作</t>
        </is>
      </c>
    </row>
    <row r="2" ht="44" customHeight="1">
      <c r="A2" s="8" t="inlineStr">
        <is>
          <t>杂质清单</t>
        </is>
      </c>
      <c r="B2" s="8" t="inlineStr">
        <is>
          <t>第4-13行黄色区域</t>
        </is>
      </c>
      <c r="C2" s="8" t="inlineStr">
        <is>
          <t>固定10个杂质槽位；编号不可修改，其余黄色字段按项目填写</t>
        </is>
      </c>
      <c r="D2" s="8" t="inlineStr">
        <is>
          <t>表头、公式、绿色区域和表外区域均锁定</t>
        </is>
      </c>
    </row>
    <row r="3" ht="44" customHeight="1">
      <c r="A3" s="8" t="inlineStr">
        <is>
          <t>系统适用性结果</t>
        </is>
      </c>
      <c r="B3" s="8" t="inlineStr">
        <is>
          <t>第4-63行黄色区域</t>
        </is>
      </c>
      <c r="C3" s="8" t="inlineStr">
        <is>
          <t>每个启用杂质固定6行，最多10个杂质，共60行</t>
        </is>
      </c>
      <c r="D3" s="8" t="inlineStr">
        <is>
          <t>表头、公式、绿色区域和表外区域均锁定</t>
        </is>
      </c>
    </row>
    <row r="4" ht="44" customHeight="1">
      <c r="A4" s="8" t="inlineStr">
        <is>
          <t>专属性结果</t>
        </is>
      </c>
      <c r="B4" s="8" t="inlineStr">
        <is>
          <t>第4-103行黄色区域</t>
        </is>
      </c>
      <c r="C4" s="8" t="inlineStr">
        <is>
          <t>每个杂质最多10种溶液，每行一个杂质-溶液结果</t>
        </is>
      </c>
      <c r="D4" s="8" t="inlineStr">
        <is>
          <t>表头、公式、绿色区域和表外区域均锁定</t>
        </is>
      </c>
    </row>
    <row r="5" ht="44" customHeight="1">
      <c r="A5" s="8" t="inlineStr">
        <is>
          <t>检测限定量限结果</t>
        </is>
      </c>
      <c r="B5" s="8" t="inlineStr">
        <is>
          <t>第4-93行黄色区域</t>
        </is>
      </c>
      <c r="C5" s="8" t="inlineStr">
        <is>
          <t>每个杂质3行LOD和6行LOQ；结果类型必须选择LOD或LOQ</t>
        </is>
      </c>
      <c r="D5" s="8" t="inlineStr">
        <is>
          <t>表头、公式、绿色区域和表外区域均锁定</t>
        </is>
      </c>
    </row>
    <row r="6" ht="44" customHeight="1">
      <c r="A6" s="8" t="inlineStr">
        <is>
          <t>线性溶液数值</t>
        </is>
      </c>
      <c r="B6" s="8" t="inlineStr">
        <is>
          <t>第4-103行黄色区域</t>
        </is>
      </c>
      <c r="C6" s="8" t="inlineStr">
        <is>
          <t>每个杂质的初始和中间精密度线性各填写C1-C5数值</t>
        </is>
      </c>
      <c r="D6" s="8" t="inlineStr">
        <is>
          <t>表头、公式、绿色区域和表外区域均锁定</t>
        </is>
      </c>
    </row>
    <row r="7" ht="44" customHeight="1">
      <c r="A7" s="8" t="inlineStr">
        <is>
          <t>线性与范围结果</t>
        </is>
      </c>
      <c r="B7" s="8" t="inlineStr">
        <is>
          <t>第4-103行黄色区域</t>
        </is>
      </c>
      <c r="C7" s="8" t="inlineStr">
        <is>
          <t>每个杂质的初始线性和中间精密度线性各固定C1-C5五行</t>
        </is>
      </c>
      <c r="D7" s="8" t="inlineStr">
        <is>
          <t>表头、公式、绿色区域和表外区域均锁定</t>
        </is>
      </c>
    </row>
    <row r="8" ht="44" customHeight="1">
      <c r="A8" s="8" t="inlineStr">
        <is>
          <t>重复性结果</t>
        </is>
      </c>
      <c r="B8" s="8" t="inlineStr">
        <is>
          <t>第4-63行黄色区域</t>
        </is>
      </c>
      <c r="C8" s="8" t="inlineStr">
        <is>
          <t>每个杂质每组固定6份；中间精密度使用A/B两组，共12份</t>
        </is>
      </c>
      <c r="D8" s="8" t="inlineStr">
        <is>
          <t>表头、公式、绿色区域和表外区域均锁定</t>
        </is>
      </c>
    </row>
    <row r="9" ht="44" customHeight="1">
      <c r="A9" s="8" t="inlineStr">
        <is>
          <t>中间精密度结果</t>
        </is>
      </c>
      <c r="B9" s="8" t="inlineStr">
        <is>
          <t>第4-123行黄色区域</t>
        </is>
      </c>
      <c r="C9" s="8" t="inlineStr">
        <is>
          <t>每个杂质每组固定6份；中间精密度使用A/B两组，共12份</t>
        </is>
      </c>
      <c r="D9" s="8" t="inlineStr">
        <is>
          <t>表头、公式、绿色区域和表外区域均锁定</t>
        </is>
      </c>
    </row>
    <row r="10" ht="44" customHeight="1">
      <c r="A10" s="8" t="inlineStr">
        <is>
          <t>准确度结果</t>
        </is>
      </c>
      <c r="B10" s="8" t="inlineStr">
        <is>
          <t>第4-153行黄色区域</t>
        </is>
      </c>
      <c r="C10" s="8" t="inlineStr">
        <is>
          <t>每个杂质先填空白本底，再按LOQ/50%/100%/150%各3份填写</t>
        </is>
      </c>
      <c r="D10" s="8" t="inlineStr">
        <is>
          <t>表头、公式、绿色区域和表外区域均锁定</t>
        </is>
      </c>
    </row>
    <row r="11" ht="44" customHeight="1">
      <c r="A11" s="8" t="inlineStr">
        <is>
          <t>溶液稳定性结果</t>
        </is>
      </c>
      <c r="B11" s="8" t="inlineStr">
        <is>
          <t>第4-103行黄色区域</t>
        </is>
      </c>
      <c r="C11" s="8" t="inlineStr">
        <is>
          <t>每个杂质最多10个时间点，必须包含0h基准</t>
        </is>
      </c>
      <c r="D11" s="8" t="inlineStr">
        <is>
          <t>表头、公式、绿色区域和表外区域均锁定</t>
        </is>
      </c>
    </row>
    <row r="12" ht="44" customHeight="1">
      <c r="A12" s="8" t="inlineStr">
        <is>
          <t>耐用性结果</t>
        </is>
      </c>
      <c r="B12" s="8" t="inlineStr">
        <is>
          <t>第4-123行黄色区域</t>
        </is>
      </c>
      <c r="C12" s="8" t="inlineStr">
        <is>
          <t>每个杂质每根色谱柱固定C1-C5和加标溶液数据</t>
        </is>
      </c>
      <c r="D12" s="8" t="inlineStr">
        <is>
          <t>表头、公式、绿色区域和表外区域均锁定</t>
        </is>
      </c>
    </row>
  </sheetData>
  <sheetProtection selectLockedCells="0" selectUnlockedCells="1" sheet="1" objects="0" insertRows="0" insertHyperlinks="1" autoFilter="1" scenarios="0" formatColumns="0" deleteColumns="0" insertColumns="0" pivotTables="1" deleteRows="0" formatCells="0" formatRows="0" sort="1" password="A5CB"/>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63"/>
  <sheetViews>
    <sheetView workbookViewId="0">
      <selection activeCell="A1" sqref="A1"/>
    </sheetView>
  </sheetViews>
  <sheetFormatPr baseColWidth="8" defaultRowHeight="15"/>
  <cols>
    <col width="14" customWidth="1" min="1" max="1"/>
    <col width="10" customWidth="1" min="2" max="2"/>
    <col width="20" customWidth="1" min="3" max="3"/>
    <col width="18" customWidth="1" min="4" max="4"/>
    <col width="21" customWidth="1" min="5" max="5"/>
    <col width="18" customWidth="1" min="6" max="6"/>
  </cols>
  <sheetData>
    <row r="1" ht="30" customHeight="1">
      <c r="A1" s="1" t="inlineStr">
        <is>
          <t>系统适用性结果</t>
        </is>
      </c>
    </row>
    <row r="2" ht="30" customHeight="1">
      <c r="A2" s="4" t="inlineStr">
        <is>
          <t>impurity_id</t>
        </is>
      </c>
      <c r="B2" s="4" t="inlineStr">
        <is>
          <t>sequence</t>
        </is>
      </c>
      <c r="C2" s="4" t="inlineStr">
        <is>
          <t>retention_time</t>
        </is>
      </c>
      <c r="D2" s="4" t="inlineStr">
        <is>
          <t>peak_area</t>
        </is>
      </c>
      <c r="E2" s="4" t="inlineStr">
        <is>
          <t>retention_time_rsd</t>
        </is>
      </c>
      <c r="F2" s="4" t="inlineStr">
        <is>
          <t>peak_area_rsd</t>
        </is>
      </c>
    </row>
    <row r="3" ht="30" customHeight="1">
      <c r="A3" s="5" t="inlineStr">
        <is>
          <t>杂质编号</t>
        </is>
      </c>
      <c r="B3" s="5" t="inlineStr">
        <is>
          <t>No.</t>
        </is>
      </c>
      <c r="C3" s="5" t="inlineStr">
        <is>
          <t>保留时间（min）</t>
        </is>
      </c>
      <c r="D3" s="5" t="inlineStr">
        <is>
          <t>峰面积</t>
        </is>
      </c>
      <c r="E3" s="5" t="inlineStr">
        <is>
          <t>保留时间RSD（%）</t>
        </is>
      </c>
      <c r="F3" s="5" t="inlineStr">
        <is>
          <t>峰面积RSD（%）</t>
        </is>
      </c>
    </row>
    <row r="4" ht="22" customHeight="1">
      <c r="A4" s="6" t="inlineStr">
        <is>
          <t>IMP-01</t>
        </is>
      </c>
      <c r="B4" s="6" t="n">
        <v>1</v>
      </c>
      <c r="C4" s="7" t="n"/>
      <c r="D4" s="7" t="n"/>
      <c r="E4" s="9">
        <f>IFERROR(ROUND(STDEV(C4:C9)/AVERAGE(C4:C9)*100,2),"")</f>
        <v/>
      </c>
      <c r="F4" s="9">
        <f>IFERROR(ROUND(STDEV(D4:D9)/AVERAGE(D4:D9)*100,2),"")</f>
        <v/>
      </c>
    </row>
    <row r="5" ht="22" customHeight="1">
      <c r="A5" s="6" t="inlineStr">
        <is>
          <t>IMP-01</t>
        </is>
      </c>
      <c r="B5" s="6" t="n">
        <v>2</v>
      </c>
      <c r="C5" s="7" t="n"/>
      <c r="D5" s="7" t="n"/>
      <c r="E5" s="9">
        <f>IFERROR(ROUND(STDEV(C4:C9)/AVERAGE(C4:C9)*100,2),"")</f>
        <v/>
      </c>
      <c r="F5" s="9">
        <f>IFERROR(ROUND(STDEV(D4:D9)/AVERAGE(D4:D9)*100,2),"")</f>
        <v/>
      </c>
    </row>
    <row r="6" ht="22" customHeight="1">
      <c r="A6" s="6" t="inlineStr">
        <is>
          <t>IMP-01</t>
        </is>
      </c>
      <c r="B6" s="6" t="n">
        <v>3</v>
      </c>
      <c r="C6" s="7" t="n"/>
      <c r="D6" s="7" t="n"/>
      <c r="E6" s="9">
        <f>IFERROR(ROUND(STDEV(C4:C9)/AVERAGE(C4:C9)*100,2),"")</f>
        <v/>
      </c>
      <c r="F6" s="9">
        <f>IFERROR(ROUND(STDEV(D4:D9)/AVERAGE(D4:D9)*100,2),"")</f>
        <v/>
      </c>
    </row>
    <row r="7" ht="22" customHeight="1">
      <c r="A7" s="6" t="inlineStr">
        <is>
          <t>IMP-01</t>
        </is>
      </c>
      <c r="B7" s="6" t="n">
        <v>4</v>
      </c>
      <c r="C7" s="7" t="n"/>
      <c r="D7" s="7" t="n"/>
      <c r="E7" s="9">
        <f>IFERROR(ROUND(STDEV(C4:C9)/AVERAGE(C4:C9)*100,2),"")</f>
        <v/>
      </c>
      <c r="F7" s="9">
        <f>IFERROR(ROUND(STDEV(D4:D9)/AVERAGE(D4:D9)*100,2),"")</f>
        <v/>
      </c>
    </row>
    <row r="8" ht="22" customHeight="1">
      <c r="A8" s="6" t="inlineStr">
        <is>
          <t>IMP-01</t>
        </is>
      </c>
      <c r="B8" s="6" t="n">
        <v>5</v>
      </c>
      <c r="C8" s="7" t="n"/>
      <c r="D8" s="7" t="n"/>
      <c r="E8" s="9">
        <f>IFERROR(ROUND(STDEV(C4:C9)/AVERAGE(C4:C9)*100,2),"")</f>
        <v/>
      </c>
      <c r="F8" s="9">
        <f>IFERROR(ROUND(STDEV(D4:D9)/AVERAGE(D4:D9)*100,2),"")</f>
        <v/>
      </c>
    </row>
    <row r="9" ht="22" customHeight="1">
      <c r="A9" s="6" t="inlineStr">
        <is>
          <t>IMP-01</t>
        </is>
      </c>
      <c r="B9" s="6" t="n">
        <v>6</v>
      </c>
      <c r="C9" s="7" t="n"/>
      <c r="D9" s="7" t="n"/>
      <c r="E9" s="9">
        <f>IFERROR(ROUND(STDEV(C4:C9)/AVERAGE(C4:C9)*100,2),"")</f>
        <v/>
      </c>
      <c r="F9" s="9">
        <f>IFERROR(ROUND(STDEV(D4:D9)/AVERAGE(D4:D9)*100,2),"")</f>
        <v/>
      </c>
    </row>
    <row r="10" ht="22" customHeight="1">
      <c r="A10" s="6" t="inlineStr">
        <is>
          <t>IMP-02</t>
        </is>
      </c>
      <c r="B10" s="6" t="n">
        <v>1</v>
      </c>
      <c r="C10" s="7" t="n"/>
      <c r="D10" s="7" t="n"/>
      <c r="E10" s="9">
        <f>IFERROR(ROUND(STDEV(C10:C15)/AVERAGE(C10:C15)*100,2),"")</f>
        <v/>
      </c>
      <c r="F10" s="9">
        <f>IFERROR(ROUND(STDEV(D10:D15)/AVERAGE(D10:D15)*100,2),"")</f>
        <v/>
      </c>
    </row>
    <row r="11" ht="22" customHeight="1">
      <c r="A11" s="6" t="inlineStr">
        <is>
          <t>IMP-02</t>
        </is>
      </c>
      <c r="B11" s="6" t="n">
        <v>2</v>
      </c>
      <c r="C11" s="7" t="n"/>
      <c r="D11" s="7" t="n"/>
      <c r="E11" s="9">
        <f>IFERROR(ROUND(STDEV(C10:C15)/AVERAGE(C10:C15)*100,2),"")</f>
        <v/>
      </c>
      <c r="F11" s="9">
        <f>IFERROR(ROUND(STDEV(D10:D15)/AVERAGE(D10:D15)*100,2),"")</f>
        <v/>
      </c>
    </row>
    <row r="12" ht="22" customHeight="1">
      <c r="A12" s="6" t="inlineStr">
        <is>
          <t>IMP-02</t>
        </is>
      </c>
      <c r="B12" s="6" t="n">
        <v>3</v>
      </c>
      <c r="C12" s="7" t="n"/>
      <c r="D12" s="7" t="n"/>
      <c r="E12" s="9">
        <f>IFERROR(ROUND(STDEV(C10:C15)/AVERAGE(C10:C15)*100,2),"")</f>
        <v/>
      </c>
      <c r="F12" s="9">
        <f>IFERROR(ROUND(STDEV(D10:D15)/AVERAGE(D10:D15)*100,2),"")</f>
        <v/>
      </c>
    </row>
    <row r="13" ht="22" customHeight="1">
      <c r="A13" s="6" t="inlineStr">
        <is>
          <t>IMP-02</t>
        </is>
      </c>
      <c r="B13" s="6" t="n">
        <v>4</v>
      </c>
      <c r="C13" s="7" t="n"/>
      <c r="D13" s="7" t="n"/>
      <c r="E13" s="9">
        <f>IFERROR(ROUND(STDEV(C10:C15)/AVERAGE(C10:C15)*100,2),"")</f>
        <v/>
      </c>
      <c r="F13" s="9">
        <f>IFERROR(ROUND(STDEV(D10:D15)/AVERAGE(D10:D15)*100,2),"")</f>
        <v/>
      </c>
    </row>
    <row r="14" ht="22" customHeight="1">
      <c r="A14" s="6" t="inlineStr">
        <is>
          <t>IMP-02</t>
        </is>
      </c>
      <c r="B14" s="6" t="n">
        <v>5</v>
      </c>
      <c r="C14" s="7" t="n"/>
      <c r="D14" s="7" t="n"/>
      <c r="E14" s="9">
        <f>IFERROR(ROUND(STDEV(C10:C15)/AVERAGE(C10:C15)*100,2),"")</f>
        <v/>
      </c>
      <c r="F14" s="9">
        <f>IFERROR(ROUND(STDEV(D10:D15)/AVERAGE(D10:D15)*100,2),"")</f>
        <v/>
      </c>
    </row>
    <row r="15" ht="22" customHeight="1">
      <c r="A15" s="6" t="inlineStr">
        <is>
          <t>IMP-02</t>
        </is>
      </c>
      <c r="B15" s="6" t="n">
        <v>6</v>
      </c>
      <c r="C15" s="7" t="n"/>
      <c r="D15" s="7" t="n"/>
      <c r="E15" s="9">
        <f>IFERROR(ROUND(STDEV(C10:C15)/AVERAGE(C10:C15)*100,2),"")</f>
        <v/>
      </c>
      <c r="F15" s="9">
        <f>IFERROR(ROUND(STDEV(D10:D15)/AVERAGE(D10:D15)*100,2),"")</f>
        <v/>
      </c>
    </row>
    <row r="16" ht="22" customHeight="1">
      <c r="A16" s="6" t="inlineStr">
        <is>
          <t>IMP-03</t>
        </is>
      </c>
      <c r="B16" s="6" t="n">
        <v>1</v>
      </c>
      <c r="C16" s="7" t="n"/>
      <c r="D16" s="7" t="n"/>
      <c r="E16" s="9">
        <f>IFERROR(ROUND(STDEV(C16:C21)/AVERAGE(C16:C21)*100,2),"")</f>
        <v/>
      </c>
      <c r="F16" s="9">
        <f>IFERROR(ROUND(STDEV(D16:D21)/AVERAGE(D16:D21)*100,2),"")</f>
        <v/>
      </c>
    </row>
    <row r="17" ht="22" customHeight="1">
      <c r="A17" s="6" t="inlineStr">
        <is>
          <t>IMP-03</t>
        </is>
      </c>
      <c r="B17" s="6" t="n">
        <v>2</v>
      </c>
      <c r="C17" s="7" t="n"/>
      <c r="D17" s="7" t="n"/>
      <c r="E17" s="9">
        <f>IFERROR(ROUND(STDEV(C16:C21)/AVERAGE(C16:C21)*100,2),"")</f>
        <v/>
      </c>
      <c r="F17" s="9">
        <f>IFERROR(ROUND(STDEV(D16:D21)/AVERAGE(D16:D21)*100,2),"")</f>
        <v/>
      </c>
    </row>
    <row r="18" ht="22" customHeight="1">
      <c r="A18" s="6" t="inlineStr">
        <is>
          <t>IMP-03</t>
        </is>
      </c>
      <c r="B18" s="6" t="n">
        <v>3</v>
      </c>
      <c r="C18" s="7" t="n"/>
      <c r="D18" s="7" t="n"/>
      <c r="E18" s="9">
        <f>IFERROR(ROUND(STDEV(C16:C21)/AVERAGE(C16:C21)*100,2),"")</f>
        <v/>
      </c>
      <c r="F18" s="9">
        <f>IFERROR(ROUND(STDEV(D16:D21)/AVERAGE(D16:D21)*100,2),"")</f>
        <v/>
      </c>
    </row>
    <row r="19" ht="22" customHeight="1">
      <c r="A19" s="6" t="inlineStr">
        <is>
          <t>IMP-03</t>
        </is>
      </c>
      <c r="B19" s="6" t="n">
        <v>4</v>
      </c>
      <c r="C19" s="7" t="n"/>
      <c r="D19" s="7" t="n"/>
      <c r="E19" s="9">
        <f>IFERROR(ROUND(STDEV(C16:C21)/AVERAGE(C16:C21)*100,2),"")</f>
        <v/>
      </c>
      <c r="F19" s="9">
        <f>IFERROR(ROUND(STDEV(D16:D21)/AVERAGE(D16:D21)*100,2),"")</f>
        <v/>
      </c>
    </row>
    <row r="20" ht="22" customHeight="1">
      <c r="A20" s="6" t="inlineStr">
        <is>
          <t>IMP-03</t>
        </is>
      </c>
      <c r="B20" s="6" t="n">
        <v>5</v>
      </c>
      <c r="C20" s="7" t="n"/>
      <c r="D20" s="7" t="n"/>
      <c r="E20" s="9">
        <f>IFERROR(ROUND(STDEV(C16:C21)/AVERAGE(C16:C21)*100,2),"")</f>
        <v/>
      </c>
      <c r="F20" s="9">
        <f>IFERROR(ROUND(STDEV(D16:D21)/AVERAGE(D16:D21)*100,2),"")</f>
        <v/>
      </c>
    </row>
    <row r="21" ht="22" customHeight="1">
      <c r="A21" s="6" t="inlineStr">
        <is>
          <t>IMP-03</t>
        </is>
      </c>
      <c r="B21" s="6" t="n">
        <v>6</v>
      </c>
      <c r="C21" s="7" t="n"/>
      <c r="D21" s="7" t="n"/>
      <c r="E21" s="9">
        <f>IFERROR(ROUND(STDEV(C16:C21)/AVERAGE(C16:C21)*100,2),"")</f>
        <v/>
      </c>
      <c r="F21" s="9">
        <f>IFERROR(ROUND(STDEV(D16:D21)/AVERAGE(D16:D21)*100,2),"")</f>
        <v/>
      </c>
    </row>
    <row r="22" ht="22" customHeight="1">
      <c r="A22" s="6" t="inlineStr">
        <is>
          <t>IMP-04</t>
        </is>
      </c>
      <c r="B22" s="6" t="n">
        <v>1</v>
      </c>
      <c r="C22" s="7" t="n"/>
      <c r="D22" s="7" t="n"/>
      <c r="E22" s="9">
        <f>IFERROR(ROUND(STDEV(C22:C27)/AVERAGE(C22:C27)*100,2),"")</f>
        <v/>
      </c>
      <c r="F22" s="9">
        <f>IFERROR(ROUND(STDEV(D22:D27)/AVERAGE(D22:D27)*100,2),"")</f>
        <v/>
      </c>
    </row>
    <row r="23" ht="22" customHeight="1">
      <c r="A23" s="6" t="inlineStr">
        <is>
          <t>IMP-04</t>
        </is>
      </c>
      <c r="B23" s="6" t="n">
        <v>2</v>
      </c>
      <c r="C23" s="7" t="n"/>
      <c r="D23" s="7" t="n"/>
      <c r="E23" s="9">
        <f>IFERROR(ROUND(STDEV(C22:C27)/AVERAGE(C22:C27)*100,2),"")</f>
        <v/>
      </c>
      <c r="F23" s="9">
        <f>IFERROR(ROUND(STDEV(D22:D27)/AVERAGE(D22:D27)*100,2),"")</f>
        <v/>
      </c>
    </row>
    <row r="24" ht="22" customHeight="1">
      <c r="A24" s="6" t="inlineStr">
        <is>
          <t>IMP-04</t>
        </is>
      </c>
      <c r="B24" s="6" t="n">
        <v>3</v>
      </c>
      <c r="C24" s="7" t="n"/>
      <c r="D24" s="7" t="n"/>
      <c r="E24" s="9">
        <f>IFERROR(ROUND(STDEV(C22:C27)/AVERAGE(C22:C27)*100,2),"")</f>
        <v/>
      </c>
      <c r="F24" s="9">
        <f>IFERROR(ROUND(STDEV(D22:D27)/AVERAGE(D22:D27)*100,2),"")</f>
        <v/>
      </c>
    </row>
    <row r="25" ht="22" customHeight="1">
      <c r="A25" s="6" t="inlineStr">
        <is>
          <t>IMP-04</t>
        </is>
      </c>
      <c r="B25" s="6" t="n">
        <v>4</v>
      </c>
      <c r="C25" s="7" t="n"/>
      <c r="D25" s="7" t="n"/>
      <c r="E25" s="9">
        <f>IFERROR(ROUND(STDEV(C22:C27)/AVERAGE(C22:C27)*100,2),"")</f>
        <v/>
      </c>
      <c r="F25" s="9">
        <f>IFERROR(ROUND(STDEV(D22:D27)/AVERAGE(D22:D27)*100,2),"")</f>
        <v/>
      </c>
    </row>
    <row r="26" ht="22" customHeight="1">
      <c r="A26" s="6" t="inlineStr">
        <is>
          <t>IMP-04</t>
        </is>
      </c>
      <c r="B26" s="6" t="n">
        <v>5</v>
      </c>
      <c r="C26" s="7" t="n"/>
      <c r="D26" s="7" t="n"/>
      <c r="E26" s="9">
        <f>IFERROR(ROUND(STDEV(C22:C27)/AVERAGE(C22:C27)*100,2),"")</f>
        <v/>
      </c>
      <c r="F26" s="9">
        <f>IFERROR(ROUND(STDEV(D22:D27)/AVERAGE(D22:D27)*100,2),"")</f>
        <v/>
      </c>
    </row>
    <row r="27" ht="22" customHeight="1">
      <c r="A27" s="6" t="inlineStr">
        <is>
          <t>IMP-04</t>
        </is>
      </c>
      <c r="B27" s="6" t="n">
        <v>6</v>
      </c>
      <c r="C27" s="7" t="n"/>
      <c r="D27" s="7" t="n"/>
      <c r="E27" s="9">
        <f>IFERROR(ROUND(STDEV(C22:C27)/AVERAGE(C22:C27)*100,2),"")</f>
        <v/>
      </c>
      <c r="F27" s="9">
        <f>IFERROR(ROUND(STDEV(D22:D27)/AVERAGE(D22:D27)*100,2),"")</f>
        <v/>
      </c>
    </row>
    <row r="28" ht="22" customHeight="1">
      <c r="A28" s="6" t="inlineStr">
        <is>
          <t>IMP-05</t>
        </is>
      </c>
      <c r="B28" s="6" t="n">
        <v>1</v>
      </c>
      <c r="C28" s="7" t="n"/>
      <c r="D28" s="7" t="n"/>
      <c r="E28" s="9">
        <f>IFERROR(ROUND(STDEV(C28:C33)/AVERAGE(C28:C33)*100,2),"")</f>
        <v/>
      </c>
      <c r="F28" s="9">
        <f>IFERROR(ROUND(STDEV(D28:D33)/AVERAGE(D28:D33)*100,2),"")</f>
        <v/>
      </c>
    </row>
    <row r="29" ht="22" customHeight="1">
      <c r="A29" s="6" t="inlineStr">
        <is>
          <t>IMP-05</t>
        </is>
      </c>
      <c r="B29" s="6" t="n">
        <v>2</v>
      </c>
      <c r="C29" s="7" t="n"/>
      <c r="D29" s="7" t="n"/>
      <c r="E29" s="9">
        <f>IFERROR(ROUND(STDEV(C28:C33)/AVERAGE(C28:C33)*100,2),"")</f>
        <v/>
      </c>
      <c r="F29" s="9">
        <f>IFERROR(ROUND(STDEV(D28:D33)/AVERAGE(D28:D33)*100,2),"")</f>
        <v/>
      </c>
    </row>
    <row r="30" ht="22" customHeight="1">
      <c r="A30" s="6" t="inlineStr">
        <is>
          <t>IMP-05</t>
        </is>
      </c>
      <c r="B30" s="6" t="n">
        <v>3</v>
      </c>
      <c r="C30" s="7" t="n"/>
      <c r="D30" s="7" t="n"/>
      <c r="E30" s="9">
        <f>IFERROR(ROUND(STDEV(C28:C33)/AVERAGE(C28:C33)*100,2),"")</f>
        <v/>
      </c>
      <c r="F30" s="9">
        <f>IFERROR(ROUND(STDEV(D28:D33)/AVERAGE(D28:D33)*100,2),"")</f>
        <v/>
      </c>
    </row>
    <row r="31" ht="22" customHeight="1">
      <c r="A31" s="6" t="inlineStr">
        <is>
          <t>IMP-05</t>
        </is>
      </c>
      <c r="B31" s="6" t="n">
        <v>4</v>
      </c>
      <c r="C31" s="7" t="n"/>
      <c r="D31" s="7" t="n"/>
      <c r="E31" s="9">
        <f>IFERROR(ROUND(STDEV(C28:C33)/AVERAGE(C28:C33)*100,2),"")</f>
        <v/>
      </c>
      <c r="F31" s="9">
        <f>IFERROR(ROUND(STDEV(D28:D33)/AVERAGE(D28:D33)*100,2),"")</f>
        <v/>
      </c>
    </row>
    <row r="32" ht="22" customHeight="1">
      <c r="A32" s="6" t="inlineStr">
        <is>
          <t>IMP-05</t>
        </is>
      </c>
      <c r="B32" s="6" t="n">
        <v>5</v>
      </c>
      <c r="C32" s="7" t="n"/>
      <c r="D32" s="7" t="n"/>
      <c r="E32" s="9">
        <f>IFERROR(ROUND(STDEV(C28:C33)/AVERAGE(C28:C33)*100,2),"")</f>
        <v/>
      </c>
      <c r="F32" s="9">
        <f>IFERROR(ROUND(STDEV(D28:D33)/AVERAGE(D28:D33)*100,2),"")</f>
        <v/>
      </c>
    </row>
    <row r="33" ht="22" customHeight="1">
      <c r="A33" s="6" t="inlineStr">
        <is>
          <t>IMP-05</t>
        </is>
      </c>
      <c r="B33" s="6" t="n">
        <v>6</v>
      </c>
      <c r="C33" s="7" t="n"/>
      <c r="D33" s="7" t="n"/>
      <c r="E33" s="9">
        <f>IFERROR(ROUND(STDEV(C28:C33)/AVERAGE(C28:C33)*100,2),"")</f>
        <v/>
      </c>
      <c r="F33" s="9">
        <f>IFERROR(ROUND(STDEV(D28:D33)/AVERAGE(D28:D33)*100,2),"")</f>
        <v/>
      </c>
    </row>
    <row r="34" ht="22" customHeight="1">
      <c r="A34" s="6" t="inlineStr">
        <is>
          <t>IMP-06</t>
        </is>
      </c>
      <c r="B34" s="6" t="n">
        <v>1</v>
      </c>
      <c r="C34" s="7" t="n"/>
      <c r="D34" s="7" t="n"/>
      <c r="E34" s="9">
        <f>IFERROR(ROUND(STDEV(C34:C39)/AVERAGE(C34:C39)*100,2),"")</f>
        <v/>
      </c>
      <c r="F34" s="9">
        <f>IFERROR(ROUND(STDEV(D34:D39)/AVERAGE(D34:D39)*100,2),"")</f>
        <v/>
      </c>
    </row>
    <row r="35" ht="22" customHeight="1">
      <c r="A35" s="6" t="inlineStr">
        <is>
          <t>IMP-06</t>
        </is>
      </c>
      <c r="B35" s="6" t="n">
        <v>2</v>
      </c>
      <c r="C35" s="7" t="n"/>
      <c r="D35" s="7" t="n"/>
      <c r="E35" s="9">
        <f>IFERROR(ROUND(STDEV(C34:C39)/AVERAGE(C34:C39)*100,2),"")</f>
        <v/>
      </c>
      <c r="F35" s="9">
        <f>IFERROR(ROUND(STDEV(D34:D39)/AVERAGE(D34:D39)*100,2),"")</f>
        <v/>
      </c>
    </row>
    <row r="36" ht="22" customHeight="1">
      <c r="A36" s="6" t="inlineStr">
        <is>
          <t>IMP-06</t>
        </is>
      </c>
      <c r="B36" s="6" t="n">
        <v>3</v>
      </c>
      <c r="C36" s="7" t="n"/>
      <c r="D36" s="7" t="n"/>
      <c r="E36" s="9">
        <f>IFERROR(ROUND(STDEV(C34:C39)/AVERAGE(C34:C39)*100,2),"")</f>
        <v/>
      </c>
      <c r="F36" s="9">
        <f>IFERROR(ROUND(STDEV(D34:D39)/AVERAGE(D34:D39)*100,2),"")</f>
        <v/>
      </c>
    </row>
    <row r="37" ht="22" customHeight="1">
      <c r="A37" s="6" t="inlineStr">
        <is>
          <t>IMP-06</t>
        </is>
      </c>
      <c r="B37" s="6" t="n">
        <v>4</v>
      </c>
      <c r="C37" s="7" t="n"/>
      <c r="D37" s="7" t="n"/>
      <c r="E37" s="9">
        <f>IFERROR(ROUND(STDEV(C34:C39)/AVERAGE(C34:C39)*100,2),"")</f>
        <v/>
      </c>
      <c r="F37" s="9">
        <f>IFERROR(ROUND(STDEV(D34:D39)/AVERAGE(D34:D39)*100,2),"")</f>
        <v/>
      </c>
    </row>
    <row r="38" ht="22" customHeight="1">
      <c r="A38" s="6" t="inlineStr">
        <is>
          <t>IMP-06</t>
        </is>
      </c>
      <c r="B38" s="6" t="n">
        <v>5</v>
      </c>
      <c r="C38" s="7" t="n"/>
      <c r="D38" s="7" t="n"/>
      <c r="E38" s="9">
        <f>IFERROR(ROUND(STDEV(C34:C39)/AVERAGE(C34:C39)*100,2),"")</f>
        <v/>
      </c>
      <c r="F38" s="9">
        <f>IFERROR(ROUND(STDEV(D34:D39)/AVERAGE(D34:D39)*100,2),"")</f>
        <v/>
      </c>
    </row>
    <row r="39" ht="22" customHeight="1">
      <c r="A39" s="6" t="inlineStr">
        <is>
          <t>IMP-06</t>
        </is>
      </c>
      <c r="B39" s="6" t="n">
        <v>6</v>
      </c>
      <c r="C39" s="7" t="n"/>
      <c r="D39" s="7" t="n"/>
      <c r="E39" s="9">
        <f>IFERROR(ROUND(STDEV(C34:C39)/AVERAGE(C34:C39)*100,2),"")</f>
        <v/>
      </c>
      <c r="F39" s="9">
        <f>IFERROR(ROUND(STDEV(D34:D39)/AVERAGE(D34:D39)*100,2),"")</f>
        <v/>
      </c>
    </row>
    <row r="40" ht="22" customHeight="1">
      <c r="A40" s="6" t="inlineStr">
        <is>
          <t>IMP-07</t>
        </is>
      </c>
      <c r="B40" s="6" t="n">
        <v>1</v>
      </c>
      <c r="C40" s="7" t="n"/>
      <c r="D40" s="7" t="n"/>
      <c r="E40" s="9">
        <f>IFERROR(ROUND(STDEV(C40:C45)/AVERAGE(C40:C45)*100,2),"")</f>
        <v/>
      </c>
      <c r="F40" s="9">
        <f>IFERROR(ROUND(STDEV(D40:D45)/AVERAGE(D40:D45)*100,2),"")</f>
        <v/>
      </c>
    </row>
    <row r="41" ht="22" customHeight="1">
      <c r="A41" s="6" t="inlineStr">
        <is>
          <t>IMP-07</t>
        </is>
      </c>
      <c r="B41" s="6" t="n">
        <v>2</v>
      </c>
      <c r="C41" s="7" t="n"/>
      <c r="D41" s="7" t="n"/>
      <c r="E41" s="9">
        <f>IFERROR(ROUND(STDEV(C40:C45)/AVERAGE(C40:C45)*100,2),"")</f>
        <v/>
      </c>
      <c r="F41" s="9">
        <f>IFERROR(ROUND(STDEV(D40:D45)/AVERAGE(D40:D45)*100,2),"")</f>
        <v/>
      </c>
    </row>
    <row r="42" ht="22" customHeight="1">
      <c r="A42" s="6" t="inlineStr">
        <is>
          <t>IMP-07</t>
        </is>
      </c>
      <c r="B42" s="6" t="n">
        <v>3</v>
      </c>
      <c r="C42" s="7" t="n"/>
      <c r="D42" s="7" t="n"/>
      <c r="E42" s="9">
        <f>IFERROR(ROUND(STDEV(C40:C45)/AVERAGE(C40:C45)*100,2),"")</f>
        <v/>
      </c>
      <c r="F42" s="9">
        <f>IFERROR(ROUND(STDEV(D40:D45)/AVERAGE(D40:D45)*100,2),"")</f>
        <v/>
      </c>
    </row>
    <row r="43" ht="22" customHeight="1">
      <c r="A43" s="6" t="inlineStr">
        <is>
          <t>IMP-07</t>
        </is>
      </c>
      <c r="B43" s="6" t="n">
        <v>4</v>
      </c>
      <c r="C43" s="7" t="n"/>
      <c r="D43" s="7" t="n"/>
      <c r="E43" s="9">
        <f>IFERROR(ROUND(STDEV(C40:C45)/AVERAGE(C40:C45)*100,2),"")</f>
        <v/>
      </c>
      <c r="F43" s="9">
        <f>IFERROR(ROUND(STDEV(D40:D45)/AVERAGE(D40:D45)*100,2),"")</f>
        <v/>
      </c>
    </row>
    <row r="44" ht="22" customHeight="1">
      <c r="A44" s="6" t="inlineStr">
        <is>
          <t>IMP-07</t>
        </is>
      </c>
      <c r="B44" s="6" t="n">
        <v>5</v>
      </c>
      <c r="C44" s="7" t="n"/>
      <c r="D44" s="7" t="n"/>
      <c r="E44" s="9">
        <f>IFERROR(ROUND(STDEV(C40:C45)/AVERAGE(C40:C45)*100,2),"")</f>
        <v/>
      </c>
      <c r="F44" s="9">
        <f>IFERROR(ROUND(STDEV(D40:D45)/AVERAGE(D40:D45)*100,2),"")</f>
        <v/>
      </c>
    </row>
    <row r="45" ht="22" customHeight="1">
      <c r="A45" s="6" t="inlineStr">
        <is>
          <t>IMP-07</t>
        </is>
      </c>
      <c r="B45" s="6" t="n">
        <v>6</v>
      </c>
      <c r="C45" s="7" t="n"/>
      <c r="D45" s="7" t="n"/>
      <c r="E45" s="9">
        <f>IFERROR(ROUND(STDEV(C40:C45)/AVERAGE(C40:C45)*100,2),"")</f>
        <v/>
      </c>
      <c r="F45" s="9">
        <f>IFERROR(ROUND(STDEV(D40:D45)/AVERAGE(D40:D45)*100,2),"")</f>
        <v/>
      </c>
    </row>
    <row r="46" ht="22" customHeight="1">
      <c r="A46" s="6" t="inlineStr">
        <is>
          <t>IMP-08</t>
        </is>
      </c>
      <c r="B46" s="6" t="n">
        <v>1</v>
      </c>
      <c r="C46" s="7" t="n"/>
      <c r="D46" s="7" t="n"/>
      <c r="E46" s="9">
        <f>IFERROR(ROUND(STDEV(C46:C51)/AVERAGE(C46:C51)*100,2),"")</f>
        <v/>
      </c>
      <c r="F46" s="9">
        <f>IFERROR(ROUND(STDEV(D46:D51)/AVERAGE(D46:D51)*100,2),"")</f>
        <v/>
      </c>
    </row>
    <row r="47" ht="22" customHeight="1">
      <c r="A47" s="6" t="inlineStr">
        <is>
          <t>IMP-08</t>
        </is>
      </c>
      <c r="B47" s="6" t="n">
        <v>2</v>
      </c>
      <c r="C47" s="7" t="n"/>
      <c r="D47" s="7" t="n"/>
      <c r="E47" s="9">
        <f>IFERROR(ROUND(STDEV(C46:C51)/AVERAGE(C46:C51)*100,2),"")</f>
        <v/>
      </c>
      <c r="F47" s="9">
        <f>IFERROR(ROUND(STDEV(D46:D51)/AVERAGE(D46:D51)*100,2),"")</f>
        <v/>
      </c>
    </row>
    <row r="48" ht="22" customHeight="1">
      <c r="A48" s="6" t="inlineStr">
        <is>
          <t>IMP-08</t>
        </is>
      </c>
      <c r="B48" s="6" t="n">
        <v>3</v>
      </c>
      <c r="C48" s="7" t="n"/>
      <c r="D48" s="7" t="n"/>
      <c r="E48" s="9">
        <f>IFERROR(ROUND(STDEV(C46:C51)/AVERAGE(C46:C51)*100,2),"")</f>
        <v/>
      </c>
      <c r="F48" s="9">
        <f>IFERROR(ROUND(STDEV(D46:D51)/AVERAGE(D46:D51)*100,2),"")</f>
        <v/>
      </c>
    </row>
    <row r="49" ht="22" customHeight="1">
      <c r="A49" s="6" t="inlineStr">
        <is>
          <t>IMP-08</t>
        </is>
      </c>
      <c r="B49" s="6" t="n">
        <v>4</v>
      </c>
      <c r="C49" s="7" t="n"/>
      <c r="D49" s="7" t="n"/>
      <c r="E49" s="9">
        <f>IFERROR(ROUND(STDEV(C46:C51)/AVERAGE(C46:C51)*100,2),"")</f>
        <v/>
      </c>
      <c r="F49" s="9">
        <f>IFERROR(ROUND(STDEV(D46:D51)/AVERAGE(D46:D51)*100,2),"")</f>
        <v/>
      </c>
    </row>
    <row r="50" ht="22" customHeight="1">
      <c r="A50" s="6" t="inlineStr">
        <is>
          <t>IMP-08</t>
        </is>
      </c>
      <c r="B50" s="6" t="n">
        <v>5</v>
      </c>
      <c r="C50" s="7" t="n"/>
      <c r="D50" s="7" t="n"/>
      <c r="E50" s="9">
        <f>IFERROR(ROUND(STDEV(C46:C51)/AVERAGE(C46:C51)*100,2),"")</f>
        <v/>
      </c>
      <c r="F50" s="9">
        <f>IFERROR(ROUND(STDEV(D46:D51)/AVERAGE(D46:D51)*100,2),"")</f>
        <v/>
      </c>
    </row>
    <row r="51" ht="22" customHeight="1">
      <c r="A51" s="6" t="inlineStr">
        <is>
          <t>IMP-08</t>
        </is>
      </c>
      <c r="B51" s="6" t="n">
        <v>6</v>
      </c>
      <c r="C51" s="7" t="n"/>
      <c r="D51" s="7" t="n"/>
      <c r="E51" s="9">
        <f>IFERROR(ROUND(STDEV(C46:C51)/AVERAGE(C46:C51)*100,2),"")</f>
        <v/>
      </c>
      <c r="F51" s="9">
        <f>IFERROR(ROUND(STDEV(D46:D51)/AVERAGE(D46:D51)*100,2),"")</f>
        <v/>
      </c>
    </row>
    <row r="52" ht="22" customHeight="1">
      <c r="A52" s="6" t="inlineStr">
        <is>
          <t>IMP-09</t>
        </is>
      </c>
      <c r="B52" s="6" t="n">
        <v>1</v>
      </c>
      <c r="C52" s="7" t="n"/>
      <c r="D52" s="7" t="n"/>
      <c r="E52" s="9">
        <f>IFERROR(ROUND(STDEV(C52:C57)/AVERAGE(C52:C57)*100,2),"")</f>
        <v/>
      </c>
      <c r="F52" s="9">
        <f>IFERROR(ROUND(STDEV(D52:D57)/AVERAGE(D52:D57)*100,2),"")</f>
        <v/>
      </c>
    </row>
    <row r="53" ht="22" customHeight="1">
      <c r="A53" s="6" t="inlineStr">
        <is>
          <t>IMP-09</t>
        </is>
      </c>
      <c r="B53" s="6" t="n">
        <v>2</v>
      </c>
      <c r="C53" s="7" t="n"/>
      <c r="D53" s="7" t="n"/>
      <c r="E53" s="9">
        <f>IFERROR(ROUND(STDEV(C52:C57)/AVERAGE(C52:C57)*100,2),"")</f>
        <v/>
      </c>
      <c r="F53" s="9">
        <f>IFERROR(ROUND(STDEV(D52:D57)/AVERAGE(D52:D57)*100,2),"")</f>
        <v/>
      </c>
    </row>
    <row r="54" ht="22" customHeight="1">
      <c r="A54" s="6" t="inlineStr">
        <is>
          <t>IMP-09</t>
        </is>
      </c>
      <c r="B54" s="6" t="n">
        <v>3</v>
      </c>
      <c r="C54" s="7" t="n"/>
      <c r="D54" s="7" t="n"/>
      <c r="E54" s="9">
        <f>IFERROR(ROUND(STDEV(C52:C57)/AVERAGE(C52:C57)*100,2),"")</f>
        <v/>
      </c>
      <c r="F54" s="9">
        <f>IFERROR(ROUND(STDEV(D52:D57)/AVERAGE(D52:D57)*100,2),"")</f>
        <v/>
      </c>
    </row>
    <row r="55" ht="22" customHeight="1">
      <c r="A55" s="6" t="inlineStr">
        <is>
          <t>IMP-09</t>
        </is>
      </c>
      <c r="B55" s="6" t="n">
        <v>4</v>
      </c>
      <c r="C55" s="7" t="n"/>
      <c r="D55" s="7" t="n"/>
      <c r="E55" s="9">
        <f>IFERROR(ROUND(STDEV(C52:C57)/AVERAGE(C52:C57)*100,2),"")</f>
        <v/>
      </c>
      <c r="F55" s="9">
        <f>IFERROR(ROUND(STDEV(D52:D57)/AVERAGE(D52:D57)*100,2),"")</f>
        <v/>
      </c>
    </row>
    <row r="56" ht="22" customHeight="1">
      <c r="A56" s="6" t="inlineStr">
        <is>
          <t>IMP-09</t>
        </is>
      </c>
      <c r="B56" s="6" t="n">
        <v>5</v>
      </c>
      <c r="C56" s="7" t="n"/>
      <c r="D56" s="7" t="n"/>
      <c r="E56" s="9">
        <f>IFERROR(ROUND(STDEV(C52:C57)/AVERAGE(C52:C57)*100,2),"")</f>
        <v/>
      </c>
      <c r="F56" s="9">
        <f>IFERROR(ROUND(STDEV(D52:D57)/AVERAGE(D52:D57)*100,2),"")</f>
        <v/>
      </c>
    </row>
    <row r="57" ht="22" customHeight="1">
      <c r="A57" s="6" t="inlineStr">
        <is>
          <t>IMP-09</t>
        </is>
      </c>
      <c r="B57" s="6" t="n">
        <v>6</v>
      </c>
      <c r="C57" s="7" t="n"/>
      <c r="D57" s="7" t="n"/>
      <c r="E57" s="9">
        <f>IFERROR(ROUND(STDEV(C52:C57)/AVERAGE(C52:C57)*100,2),"")</f>
        <v/>
      </c>
      <c r="F57" s="9">
        <f>IFERROR(ROUND(STDEV(D52:D57)/AVERAGE(D52:D57)*100,2),"")</f>
        <v/>
      </c>
    </row>
    <row r="58" ht="22" customHeight="1">
      <c r="A58" s="6" t="inlineStr">
        <is>
          <t>IMP-10</t>
        </is>
      </c>
      <c r="B58" s="6" t="n">
        <v>1</v>
      </c>
      <c r="C58" s="7" t="n"/>
      <c r="D58" s="7" t="n"/>
      <c r="E58" s="9">
        <f>IFERROR(ROUND(STDEV(C58:C63)/AVERAGE(C58:C63)*100,2),"")</f>
        <v/>
      </c>
      <c r="F58" s="9">
        <f>IFERROR(ROUND(STDEV(D58:D63)/AVERAGE(D58:D63)*100,2),"")</f>
        <v/>
      </c>
    </row>
    <row r="59" ht="22" customHeight="1">
      <c r="A59" s="6" t="inlineStr">
        <is>
          <t>IMP-10</t>
        </is>
      </c>
      <c r="B59" s="6" t="n">
        <v>2</v>
      </c>
      <c r="C59" s="7" t="n"/>
      <c r="D59" s="7" t="n"/>
      <c r="E59" s="9">
        <f>IFERROR(ROUND(STDEV(C58:C63)/AVERAGE(C58:C63)*100,2),"")</f>
        <v/>
      </c>
      <c r="F59" s="9">
        <f>IFERROR(ROUND(STDEV(D58:D63)/AVERAGE(D58:D63)*100,2),"")</f>
        <v/>
      </c>
    </row>
    <row r="60" ht="22" customHeight="1">
      <c r="A60" s="6" t="inlineStr">
        <is>
          <t>IMP-10</t>
        </is>
      </c>
      <c r="B60" s="6" t="n">
        <v>3</v>
      </c>
      <c r="C60" s="7" t="n"/>
      <c r="D60" s="7" t="n"/>
      <c r="E60" s="9">
        <f>IFERROR(ROUND(STDEV(C58:C63)/AVERAGE(C58:C63)*100,2),"")</f>
        <v/>
      </c>
      <c r="F60" s="9">
        <f>IFERROR(ROUND(STDEV(D58:D63)/AVERAGE(D58:D63)*100,2),"")</f>
        <v/>
      </c>
    </row>
    <row r="61" ht="22" customHeight="1">
      <c r="A61" s="6" t="inlineStr">
        <is>
          <t>IMP-10</t>
        </is>
      </c>
      <c r="B61" s="6" t="n">
        <v>4</v>
      </c>
      <c r="C61" s="7" t="n"/>
      <c r="D61" s="7" t="n"/>
      <c r="E61" s="9">
        <f>IFERROR(ROUND(STDEV(C58:C63)/AVERAGE(C58:C63)*100,2),"")</f>
        <v/>
      </c>
      <c r="F61" s="9">
        <f>IFERROR(ROUND(STDEV(D58:D63)/AVERAGE(D58:D63)*100,2),"")</f>
        <v/>
      </c>
    </row>
    <row r="62" ht="22" customHeight="1">
      <c r="A62" s="6" t="inlineStr">
        <is>
          <t>IMP-10</t>
        </is>
      </c>
      <c r="B62" s="6" t="n">
        <v>5</v>
      </c>
      <c r="C62" s="7" t="n"/>
      <c r="D62" s="7" t="n"/>
      <c r="E62" s="9">
        <f>IFERROR(ROUND(STDEV(C58:C63)/AVERAGE(C58:C63)*100,2),"")</f>
        <v/>
      </c>
      <c r="F62" s="9">
        <f>IFERROR(ROUND(STDEV(D58:D63)/AVERAGE(D58:D63)*100,2),"")</f>
        <v/>
      </c>
    </row>
    <row r="63" ht="22" customHeight="1">
      <c r="A63" s="6" t="inlineStr">
        <is>
          <t>IMP-10</t>
        </is>
      </c>
      <c r="B63" s="6" t="n">
        <v>6</v>
      </c>
      <c r="C63" s="7" t="n"/>
      <c r="D63" s="7" t="n"/>
      <c r="E63" s="9">
        <f>IFERROR(ROUND(STDEV(C58:C63)/AVERAGE(C58:C63)*100,2),"")</f>
        <v/>
      </c>
      <c r="F63" s="9">
        <f>IFERROR(ROUND(STDEV(D58:D63)/AVERAGE(D58:D63)*100,2),"")</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F1"/>
  </mergeCells>
  <conditionalFormatting sqref="A4:A63">
    <cfRule type="expression" priority="1" dxfId="0">
      <formula>AND(A4&lt;&gt;"",COUNTIF($A$4:$A$63,A4)&gt;20)</formula>
    </cfRule>
  </conditionalFormatting>
  <dataValidations count="1">
    <dataValidation sqref="C4 D4 C5 D5 C6 D6 C7 D7 C8 D8 C9 D9 C10 D10 C11 D11 C12 D12 C13 D13 C14 D14 C15 D15 C16 D16 C17 D17 C18 D18 C19 D19 C20 D20 C21 D21 C22 D22 C23 D23 C24 D24 C25 D25 C26 D26 C27 D27 C28 D28 C29 D29 C30 D30 C31 D31 C32 D32 C33 D33 C34 D34 C35 D35 C36 D36 C37 D37 C38 D38 C39 D39 C40 D40 C41 D41 C42 D42 C43 D43 C44 D44 C45 D45 C46 D46 C47 D47 C48 D48 C49 D49 C50 D50 C51 D51 C52 D52 C53 D53 C54 D54 C55 D55 C56 D56 C57 D57 C58 D58 C59 D59 C60 D60 C61 D61 C62 D62 C63 D6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3"/>
  <sheetViews>
    <sheetView workbookViewId="0">
      <selection activeCell="A1" sqref="A1"/>
    </sheetView>
  </sheetViews>
  <sheetFormatPr baseColWidth="8" defaultRowHeight="15"/>
  <cols>
    <col width="14" customWidth="1" min="1" max="1"/>
    <col width="32" customWidth="1" min="2" max="2"/>
    <col width="20" customWidth="1" min="3" max="3"/>
    <col width="18" customWidth="1" min="4" max="4"/>
  </cols>
  <sheetData>
    <row r="1" ht="30" customHeight="1">
      <c r="A1" s="1" t="inlineStr">
        <is>
          <t>专属性结果</t>
        </is>
      </c>
    </row>
    <row r="2" ht="30" customHeight="1">
      <c r="A2" s="4" t="inlineStr">
        <is>
          <t>impurity_id</t>
        </is>
      </c>
      <c r="B2" s="4" t="inlineStr">
        <is>
          <t>solution_name</t>
        </is>
      </c>
      <c r="C2" s="4" t="inlineStr">
        <is>
          <t>retention_time</t>
        </is>
      </c>
      <c r="D2" s="4" t="inlineStr">
        <is>
          <t>peak_area</t>
        </is>
      </c>
    </row>
    <row r="3" ht="30" customHeight="1">
      <c r="A3" s="5" t="inlineStr">
        <is>
          <t>杂质编号</t>
        </is>
      </c>
      <c r="B3" s="5" t="inlineStr">
        <is>
          <t>溶液名称</t>
        </is>
      </c>
      <c r="C3" s="5" t="inlineStr">
        <is>
          <t>保留时间（min）</t>
        </is>
      </c>
      <c r="D3" s="5" t="inlineStr">
        <is>
          <t>峰面积</t>
        </is>
      </c>
    </row>
    <row r="4" ht="22" customHeight="1">
      <c r="A4" s="6" t="inlineStr">
        <is>
          <t>IMP-01</t>
        </is>
      </c>
      <c r="B4" s="7" t="n"/>
      <c r="C4" s="7" t="n"/>
      <c r="D4" s="7" t="n"/>
    </row>
    <row r="5" ht="22" customHeight="1">
      <c r="A5" s="6" t="inlineStr">
        <is>
          <t>IMP-01</t>
        </is>
      </c>
      <c r="B5" s="7" t="n"/>
      <c r="C5" s="7" t="n"/>
      <c r="D5" s="7" t="n"/>
    </row>
    <row r="6" ht="22" customHeight="1">
      <c r="A6" s="6" t="inlineStr">
        <is>
          <t>IMP-01</t>
        </is>
      </c>
      <c r="B6" s="7" t="n"/>
      <c r="C6" s="7" t="n"/>
      <c r="D6" s="7" t="n"/>
    </row>
    <row r="7" ht="22" customHeight="1">
      <c r="A7" s="6" t="inlineStr">
        <is>
          <t>IMP-01</t>
        </is>
      </c>
      <c r="B7" s="7" t="n"/>
      <c r="C7" s="7" t="n"/>
      <c r="D7" s="7" t="n"/>
    </row>
    <row r="8" ht="22" customHeight="1">
      <c r="A8" s="6" t="inlineStr">
        <is>
          <t>IMP-01</t>
        </is>
      </c>
      <c r="B8" s="7" t="n"/>
      <c r="C8" s="7" t="n"/>
      <c r="D8" s="7" t="n"/>
    </row>
    <row r="9" ht="22" customHeight="1">
      <c r="A9" s="6" t="inlineStr">
        <is>
          <t>IMP-01</t>
        </is>
      </c>
      <c r="B9" s="7" t="n"/>
      <c r="C9" s="7" t="n"/>
      <c r="D9" s="7" t="n"/>
    </row>
    <row r="10" ht="22" customHeight="1">
      <c r="A10" s="6" t="inlineStr">
        <is>
          <t>IMP-01</t>
        </is>
      </c>
      <c r="B10" s="7" t="n"/>
      <c r="C10" s="7" t="n"/>
      <c r="D10" s="7" t="n"/>
    </row>
    <row r="11" ht="22" customHeight="1">
      <c r="A11" s="6" t="inlineStr">
        <is>
          <t>IMP-01</t>
        </is>
      </c>
      <c r="B11" s="7" t="n"/>
      <c r="C11" s="7" t="n"/>
      <c r="D11" s="7" t="n"/>
    </row>
    <row r="12" ht="22" customHeight="1">
      <c r="A12" s="6" t="inlineStr">
        <is>
          <t>IMP-01</t>
        </is>
      </c>
      <c r="B12" s="7" t="n"/>
      <c r="C12" s="7" t="n"/>
      <c r="D12" s="7" t="n"/>
    </row>
    <row r="13" ht="22" customHeight="1">
      <c r="A13" s="6" t="inlineStr">
        <is>
          <t>IMP-01</t>
        </is>
      </c>
      <c r="B13" s="7" t="n"/>
      <c r="C13" s="7" t="n"/>
      <c r="D13" s="7" t="n"/>
    </row>
    <row r="14" ht="22" customHeight="1">
      <c r="A14" s="6" t="inlineStr">
        <is>
          <t>IMP-02</t>
        </is>
      </c>
      <c r="B14" s="7" t="n"/>
      <c r="C14" s="7" t="n"/>
      <c r="D14" s="7" t="n"/>
    </row>
    <row r="15" ht="22" customHeight="1">
      <c r="A15" s="6" t="inlineStr">
        <is>
          <t>IMP-02</t>
        </is>
      </c>
      <c r="B15" s="7" t="n"/>
      <c r="C15" s="7" t="n"/>
      <c r="D15" s="7" t="n"/>
    </row>
    <row r="16" ht="22" customHeight="1">
      <c r="A16" s="6" t="inlineStr">
        <is>
          <t>IMP-02</t>
        </is>
      </c>
      <c r="B16" s="7" t="n"/>
      <c r="C16" s="7" t="n"/>
      <c r="D16" s="7" t="n"/>
    </row>
    <row r="17" ht="22" customHeight="1">
      <c r="A17" s="6" t="inlineStr">
        <is>
          <t>IMP-02</t>
        </is>
      </c>
      <c r="B17" s="7" t="n"/>
      <c r="C17" s="7" t="n"/>
      <c r="D17" s="7" t="n"/>
    </row>
    <row r="18" ht="22" customHeight="1">
      <c r="A18" s="6" t="inlineStr">
        <is>
          <t>IMP-02</t>
        </is>
      </c>
      <c r="B18" s="7" t="n"/>
      <c r="C18" s="7" t="n"/>
      <c r="D18" s="7" t="n"/>
    </row>
    <row r="19" ht="22" customHeight="1">
      <c r="A19" s="6" t="inlineStr">
        <is>
          <t>IMP-02</t>
        </is>
      </c>
      <c r="B19" s="7" t="n"/>
      <c r="C19" s="7" t="n"/>
      <c r="D19" s="7" t="n"/>
    </row>
    <row r="20" ht="22" customHeight="1">
      <c r="A20" s="6" t="inlineStr">
        <is>
          <t>IMP-02</t>
        </is>
      </c>
      <c r="B20" s="7" t="n"/>
      <c r="C20" s="7" t="n"/>
      <c r="D20" s="7" t="n"/>
    </row>
    <row r="21" ht="22" customHeight="1">
      <c r="A21" s="6" t="inlineStr">
        <is>
          <t>IMP-02</t>
        </is>
      </c>
      <c r="B21" s="7" t="n"/>
      <c r="C21" s="7" t="n"/>
      <c r="D21" s="7" t="n"/>
    </row>
    <row r="22" ht="22" customHeight="1">
      <c r="A22" s="6" t="inlineStr">
        <is>
          <t>IMP-02</t>
        </is>
      </c>
      <c r="B22" s="7" t="n"/>
      <c r="C22" s="7" t="n"/>
      <c r="D22" s="7" t="n"/>
    </row>
    <row r="23" ht="22" customHeight="1">
      <c r="A23" s="6" t="inlineStr">
        <is>
          <t>IMP-02</t>
        </is>
      </c>
      <c r="B23" s="7" t="n"/>
      <c r="C23" s="7" t="n"/>
      <c r="D23" s="7" t="n"/>
    </row>
    <row r="24" ht="22" customHeight="1">
      <c r="A24" s="6" t="inlineStr">
        <is>
          <t>IMP-03</t>
        </is>
      </c>
      <c r="B24" s="7" t="n"/>
      <c r="C24" s="7" t="n"/>
      <c r="D24" s="7" t="n"/>
    </row>
    <row r="25" ht="22" customHeight="1">
      <c r="A25" s="6" t="inlineStr">
        <is>
          <t>IMP-03</t>
        </is>
      </c>
      <c r="B25" s="7" t="n"/>
      <c r="C25" s="7" t="n"/>
      <c r="D25" s="7" t="n"/>
    </row>
    <row r="26" ht="22" customHeight="1">
      <c r="A26" s="6" t="inlineStr">
        <is>
          <t>IMP-03</t>
        </is>
      </c>
      <c r="B26" s="7" t="n"/>
      <c r="C26" s="7" t="n"/>
      <c r="D26" s="7" t="n"/>
    </row>
    <row r="27" ht="22" customHeight="1">
      <c r="A27" s="6" t="inlineStr">
        <is>
          <t>IMP-03</t>
        </is>
      </c>
      <c r="B27" s="7" t="n"/>
      <c r="C27" s="7" t="n"/>
      <c r="D27" s="7" t="n"/>
    </row>
    <row r="28" ht="22" customHeight="1">
      <c r="A28" s="6" t="inlineStr">
        <is>
          <t>IMP-03</t>
        </is>
      </c>
      <c r="B28" s="7" t="n"/>
      <c r="C28" s="7" t="n"/>
      <c r="D28" s="7" t="n"/>
    </row>
    <row r="29" ht="22" customHeight="1">
      <c r="A29" s="6" t="inlineStr">
        <is>
          <t>IMP-03</t>
        </is>
      </c>
      <c r="B29" s="7" t="n"/>
      <c r="C29" s="7" t="n"/>
      <c r="D29" s="7" t="n"/>
    </row>
    <row r="30" ht="22" customHeight="1">
      <c r="A30" s="6" t="inlineStr">
        <is>
          <t>IMP-03</t>
        </is>
      </c>
      <c r="B30" s="7" t="n"/>
      <c r="C30" s="7" t="n"/>
      <c r="D30" s="7" t="n"/>
    </row>
    <row r="31" ht="22" customHeight="1">
      <c r="A31" s="6" t="inlineStr">
        <is>
          <t>IMP-03</t>
        </is>
      </c>
      <c r="B31" s="7" t="n"/>
      <c r="C31" s="7" t="n"/>
      <c r="D31" s="7" t="n"/>
    </row>
    <row r="32" ht="22" customHeight="1">
      <c r="A32" s="6" t="inlineStr">
        <is>
          <t>IMP-03</t>
        </is>
      </c>
      <c r="B32" s="7" t="n"/>
      <c r="C32" s="7" t="n"/>
      <c r="D32" s="7" t="n"/>
    </row>
    <row r="33" ht="22" customHeight="1">
      <c r="A33" s="6" t="inlineStr">
        <is>
          <t>IMP-03</t>
        </is>
      </c>
      <c r="B33" s="7" t="n"/>
      <c r="C33" s="7" t="n"/>
      <c r="D33" s="7" t="n"/>
    </row>
    <row r="34" ht="22" customHeight="1">
      <c r="A34" s="6" t="inlineStr">
        <is>
          <t>IMP-04</t>
        </is>
      </c>
      <c r="B34" s="7" t="n"/>
      <c r="C34" s="7" t="n"/>
      <c r="D34" s="7" t="n"/>
    </row>
    <row r="35" ht="22" customHeight="1">
      <c r="A35" s="6" t="inlineStr">
        <is>
          <t>IMP-04</t>
        </is>
      </c>
      <c r="B35" s="7" t="n"/>
      <c r="C35" s="7" t="n"/>
      <c r="D35" s="7" t="n"/>
    </row>
    <row r="36" ht="22" customHeight="1">
      <c r="A36" s="6" t="inlineStr">
        <is>
          <t>IMP-04</t>
        </is>
      </c>
      <c r="B36" s="7" t="n"/>
      <c r="C36" s="7" t="n"/>
      <c r="D36" s="7" t="n"/>
    </row>
    <row r="37" ht="22" customHeight="1">
      <c r="A37" s="6" t="inlineStr">
        <is>
          <t>IMP-04</t>
        </is>
      </c>
      <c r="B37" s="7" t="n"/>
      <c r="C37" s="7" t="n"/>
      <c r="D37" s="7" t="n"/>
    </row>
    <row r="38" ht="22" customHeight="1">
      <c r="A38" s="6" t="inlineStr">
        <is>
          <t>IMP-04</t>
        </is>
      </c>
      <c r="B38" s="7" t="n"/>
      <c r="C38" s="7" t="n"/>
      <c r="D38" s="7" t="n"/>
    </row>
    <row r="39" ht="22" customHeight="1">
      <c r="A39" s="6" t="inlineStr">
        <is>
          <t>IMP-04</t>
        </is>
      </c>
      <c r="B39" s="7" t="n"/>
      <c r="C39" s="7" t="n"/>
      <c r="D39" s="7" t="n"/>
    </row>
    <row r="40" ht="22" customHeight="1">
      <c r="A40" s="6" t="inlineStr">
        <is>
          <t>IMP-04</t>
        </is>
      </c>
      <c r="B40" s="7" t="n"/>
      <c r="C40" s="7" t="n"/>
      <c r="D40" s="7" t="n"/>
    </row>
    <row r="41" ht="22" customHeight="1">
      <c r="A41" s="6" t="inlineStr">
        <is>
          <t>IMP-04</t>
        </is>
      </c>
      <c r="B41" s="7" t="n"/>
      <c r="C41" s="7" t="n"/>
      <c r="D41" s="7" t="n"/>
    </row>
    <row r="42" ht="22" customHeight="1">
      <c r="A42" s="6" t="inlineStr">
        <is>
          <t>IMP-04</t>
        </is>
      </c>
      <c r="B42" s="7" t="n"/>
      <c r="C42" s="7" t="n"/>
      <c r="D42" s="7" t="n"/>
    </row>
    <row r="43" ht="22" customHeight="1">
      <c r="A43" s="6" t="inlineStr">
        <is>
          <t>IMP-04</t>
        </is>
      </c>
      <c r="B43" s="7" t="n"/>
      <c r="C43" s="7" t="n"/>
      <c r="D43" s="7" t="n"/>
    </row>
    <row r="44" ht="22" customHeight="1">
      <c r="A44" s="6" t="inlineStr">
        <is>
          <t>IMP-05</t>
        </is>
      </c>
      <c r="B44" s="7" t="n"/>
      <c r="C44" s="7" t="n"/>
      <c r="D44" s="7" t="n"/>
    </row>
    <row r="45" ht="22" customHeight="1">
      <c r="A45" s="6" t="inlineStr">
        <is>
          <t>IMP-05</t>
        </is>
      </c>
      <c r="B45" s="7" t="n"/>
      <c r="C45" s="7" t="n"/>
      <c r="D45" s="7" t="n"/>
    </row>
    <row r="46" ht="22" customHeight="1">
      <c r="A46" s="6" t="inlineStr">
        <is>
          <t>IMP-05</t>
        </is>
      </c>
      <c r="B46" s="7" t="n"/>
      <c r="C46" s="7" t="n"/>
      <c r="D46" s="7" t="n"/>
    </row>
    <row r="47" ht="22" customHeight="1">
      <c r="A47" s="6" t="inlineStr">
        <is>
          <t>IMP-05</t>
        </is>
      </c>
      <c r="B47" s="7" t="n"/>
      <c r="C47" s="7" t="n"/>
      <c r="D47" s="7" t="n"/>
    </row>
    <row r="48" ht="22" customHeight="1">
      <c r="A48" s="6" t="inlineStr">
        <is>
          <t>IMP-05</t>
        </is>
      </c>
      <c r="B48" s="7" t="n"/>
      <c r="C48" s="7" t="n"/>
      <c r="D48" s="7" t="n"/>
    </row>
    <row r="49" ht="22" customHeight="1">
      <c r="A49" s="6" t="inlineStr">
        <is>
          <t>IMP-05</t>
        </is>
      </c>
      <c r="B49" s="7" t="n"/>
      <c r="C49" s="7" t="n"/>
      <c r="D49" s="7" t="n"/>
    </row>
    <row r="50" ht="22" customHeight="1">
      <c r="A50" s="6" t="inlineStr">
        <is>
          <t>IMP-05</t>
        </is>
      </c>
      <c r="B50" s="7" t="n"/>
      <c r="C50" s="7" t="n"/>
      <c r="D50" s="7" t="n"/>
    </row>
    <row r="51" ht="22" customHeight="1">
      <c r="A51" s="6" t="inlineStr">
        <is>
          <t>IMP-05</t>
        </is>
      </c>
      <c r="B51" s="7" t="n"/>
      <c r="C51" s="7" t="n"/>
      <c r="D51" s="7" t="n"/>
    </row>
    <row r="52" ht="22" customHeight="1">
      <c r="A52" s="6" t="inlineStr">
        <is>
          <t>IMP-05</t>
        </is>
      </c>
      <c r="B52" s="7" t="n"/>
      <c r="C52" s="7" t="n"/>
      <c r="D52" s="7" t="n"/>
    </row>
    <row r="53" ht="22" customHeight="1">
      <c r="A53" s="6" t="inlineStr">
        <is>
          <t>IMP-05</t>
        </is>
      </c>
      <c r="B53" s="7" t="n"/>
      <c r="C53" s="7" t="n"/>
      <c r="D53" s="7" t="n"/>
    </row>
    <row r="54" ht="22" customHeight="1">
      <c r="A54" s="6" t="inlineStr">
        <is>
          <t>IMP-06</t>
        </is>
      </c>
      <c r="B54" s="7" t="n"/>
      <c r="C54" s="7" t="n"/>
      <c r="D54" s="7" t="n"/>
    </row>
    <row r="55" ht="22" customHeight="1">
      <c r="A55" s="6" t="inlineStr">
        <is>
          <t>IMP-06</t>
        </is>
      </c>
      <c r="B55" s="7" t="n"/>
      <c r="C55" s="7" t="n"/>
      <c r="D55" s="7" t="n"/>
    </row>
    <row r="56" ht="22" customHeight="1">
      <c r="A56" s="6" t="inlineStr">
        <is>
          <t>IMP-06</t>
        </is>
      </c>
      <c r="B56" s="7" t="n"/>
      <c r="C56" s="7" t="n"/>
      <c r="D56" s="7" t="n"/>
    </row>
    <row r="57" ht="22" customHeight="1">
      <c r="A57" s="6" t="inlineStr">
        <is>
          <t>IMP-06</t>
        </is>
      </c>
      <c r="B57" s="7" t="n"/>
      <c r="C57" s="7" t="n"/>
      <c r="D57" s="7" t="n"/>
    </row>
    <row r="58" ht="22" customHeight="1">
      <c r="A58" s="6" t="inlineStr">
        <is>
          <t>IMP-06</t>
        </is>
      </c>
      <c r="B58" s="7" t="n"/>
      <c r="C58" s="7" t="n"/>
      <c r="D58" s="7" t="n"/>
    </row>
    <row r="59" ht="22" customHeight="1">
      <c r="A59" s="6" t="inlineStr">
        <is>
          <t>IMP-06</t>
        </is>
      </c>
      <c r="B59" s="7" t="n"/>
      <c r="C59" s="7" t="n"/>
      <c r="D59" s="7" t="n"/>
    </row>
    <row r="60" ht="22" customHeight="1">
      <c r="A60" s="6" t="inlineStr">
        <is>
          <t>IMP-06</t>
        </is>
      </c>
      <c r="B60" s="7" t="n"/>
      <c r="C60" s="7" t="n"/>
      <c r="D60" s="7" t="n"/>
    </row>
    <row r="61" ht="22" customHeight="1">
      <c r="A61" s="6" t="inlineStr">
        <is>
          <t>IMP-06</t>
        </is>
      </c>
      <c r="B61" s="7" t="n"/>
      <c r="C61" s="7" t="n"/>
      <c r="D61" s="7" t="n"/>
    </row>
    <row r="62" ht="22" customHeight="1">
      <c r="A62" s="6" t="inlineStr">
        <is>
          <t>IMP-06</t>
        </is>
      </c>
      <c r="B62" s="7" t="n"/>
      <c r="C62" s="7" t="n"/>
      <c r="D62" s="7" t="n"/>
    </row>
    <row r="63" ht="22" customHeight="1">
      <c r="A63" s="6" t="inlineStr">
        <is>
          <t>IMP-06</t>
        </is>
      </c>
      <c r="B63" s="7" t="n"/>
      <c r="C63" s="7" t="n"/>
      <c r="D63" s="7" t="n"/>
    </row>
    <row r="64" ht="22" customHeight="1">
      <c r="A64" s="6" t="inlineStr">
        <is>
          <t>IMP-07</t>
        </is>
      </c>
      <c r="B64" s="7" t="n"/>
      <c r="C64" s="7" t="n"/>
      <c r="D64" s="7" t="n"/>
    </row>
    <row r="65" ht="22" customHeight="1">
      <c r="A65" s="6" t="inlineStr">
        <is>
          <t>IMP-07</t>
        </is>
      </c>
      <c r="B65" s="7" t="n"/>
      <c r="C65" s="7" t="n"/>
      <c r="D65" s="7" t="n"/>
    </row>
    <row r="66" ht="22" customHeight="1">
      <c r="A66" s="6" t="inlineStr">
        <is>
          <t>IMP-07</t>
        </is>
      </c>
      <c r="B66" s="7" t="n"/>
      <c r="C66" s="7" t="n"/>
      <c r="D66" s="7" t="n"/>
    </row>
    <row r="67" ht="22" customHeight="1">
      <c r="A67" s="6" t="inlineStr">
        <is>
          <t>IMP-07</t>
        </is>
      </c>
      <c r="B67" s="7" t="n"/>
      <c r="C67" s="7" t="n"/>
      <c r="D67" s="7" t="n"/>
    </row>
    <row r="68" ht="22" customHeight="1">
      <c r="A68" s="6" t="inlineStr">
        <is>
          <t>IMP-07</t>
        </is>
      </c>
      <c r="B68" s="7" t="n"/>
      <c r="C68" s="7" t="n"/>
      <c r="D68" s="7" t="n"/>
    </row>
    <row r="69" ht="22" customHeight="1">
      <c r="A69" s="6" t="inlineStr">
        <is>
          <t>IMP-07</t>
        </is>
      </c>
      <c r="B69" s="7" t="n"/>
      <c r="C69" s="7" t="n"/>
      <c r="D69" s="7" t="n"/>
    </row>
    <row r="70" ht="22" customHeight="1">
      <c r="A70" s="6" t="inlineStr">
        <is>
          <t>IMP-07</t>
        </is>
      </c>
      <c r="B70" s="7" t="n"/>
      <c r="C70" s="7" t="n"/>
      <c r="D70" s="7" t="n"/>
    </row>
    <row r="71" ht="22" customHeight="1">
      <c r="A71" s="6" t="inlineStr">
        <is>
          <t>IMP-07</t>
        </is>
      </c>
      <c r="B71" s="7" t="n"/>
      <c r="C71" s="7" t="n"/>
      <c r="D71" s="7" t="n"/>
    </row>
    <row r="72" ht="22" customHeight="1">
      <c r="A72" s="6" t="inlineStr">
        <is>
          <t>IMP-07</t>
        </is>
      </c>
      <c r="B72" s="7" t="n"/>
      <c r="C72" s="7" t="n"/>
      <c r="D72" s="7" t="n"/>
    </row>
    <row r="73" ht="22" customHeight="1">
      <c r="A73" s="6" t="inlineStr">
        <is>
          <t>IMP-07</t>
        </is>
      </c>
      <c r="B73" s="7" t="n"/>
      <c r="C73" s="7" t="n"/>
      <c r="D73" s="7" t="n"/>
    </row>
    <row r="74" ht="22" customHeight="1">
      <c r="A74" s="6" t="inlineStr">
        <is>
          <t>IMP-08</t>
        </is>
      </c>
      <c r="B74" s="7" t="n"/>
      <c r="C74" s="7" t="n"/>
      <c r="D74" s="7" t="n"/>
    </row>
    <row r="75" ht="22" customHeight="1">
      <c r="A75" s="6" t="inlineStr">
        <is>
          <t>IMP-08</t>
        </is>
      </c>
      <c r="B75" s="7" t="n"/>
      <c r="C75" s="7" t="n"/>
      <c r="D75" s="7" t="n"/>
    </row>
    <row r="76" ht="22" customHeight="1">
      <c r="A76" s="6" t="inlineStr">
        <is>
          <t>IMP-08</t>
        </is>
      </c>
      <c r="B76" s="7" t="n"/>
      <c r="C76" s="7" t="n"/>
      <c r="D76" s="7" t="n"/>
    </row>
    <row r="77" ht="22" customHeight="1">
      <c r="A77" s="6" t="inlineStr">
        <is>
          <t>IMP-08</t>
        </is>
      </c>
      <c r="B77" s="7" t="n"/>
      <c r="C77" s="7" t="n"/>
      <c r="D77" s="7" t="n"/>
    </row>
    <row r="78" ht="22" customHeight="1">
      <c r="A78" s="6" t="inlineStr">
        <is>
          <t>IMP-08</t>
        </is>
      </c>
      <c r="B78" s="7" t="n"/>
      <c r="C78" s="7" t="n"/>
      <c r="D78" s="7" t="n"/>
    </row>
    <row r="79" ht="22" customHeight="1">
      <c r="A79" s="6" t="inlineStr">
        <is>
          <t>IMP-08</t>
        </is>
      </c>
      <c r="B79" s="7" t="n"/>
      <c r="C79" s="7" t="n"/>
      <c r="D79" s="7" t="n"/>
    </row>
    <row r="80" ht="22" customHeight="1">
      <c r="A80" s="6" t="inlineStr">
        <is>
          <t>IMP-08</t>
        </is>
      </c>
      <c r="B80" s="7" t="n"/>
      <c r="C80" s="7" t="n"/>
      <c r="D80" s="7" t="n"/>
    </row>
    <row r="81" ht="22" customHeight="1">
      <c r="A81" s="6" t="inlineStr">
        <is>
          <t>IMP-08</t>
        </is>
      </c>
      <c r="B81" s="7" t="n"/>
      <c r="C81" s="7" t="n"/>
      <c r="D81" s="7" t="n"/>
    </row>
    <row r="82" ht="22" customHeight="1">
      <c r="A82" s="6" t="inlineStr">
        <is>
          <t>IMP-08</t>
        </is>
      </c>
      <c r="B82" s="7" t="n"/>
      <c r="C82" s="7" t="n"/>
      <c r="D82" s="7" t="n"/>
    </row>
    <row r="83" ht="22" customHeight="1">
      <c r="A83" s="6" t="inlineStr">
        <is>
          <t>IMP-08</t>
        </is>
      </c>
      <c r="B83" s="7" t="n"/>
      <c r="C83" s="7" t="n"/>
      <c r="D83" s="7" t="n"/>
    </row>
    <row r="84" ht="22" customHeight="1">
      <c r="A84" s="6" t="inlineStr">
        <is>
          <t>IMP-09</t>
        </is>
      </c>
      <c r="B84" s="7" t="n"/>
      <c r="C84" s="7" t="n"/>
      <c r="D84" s="7" t="n"/>
    </row>
    <row r="85" ht="22" customHeight="1">
      <c r="A85" s="6" t="inlineStr">
        <is>
          <t>IMP-09</t>
        </is>
      </c>
      <c r="B85" s="7" t="n"/>
      <c r="C85" s="7" t="n"/>
      <c r="D85" s="7" t="n"/>
    </row>
    <row r="86" ht="22" customHeight="1">
      <c r="A86" s="6" t="inlineStr">
        <is>
          <t>IMP-09</t>
        </is>
      </c>
      <c r="B86" s="7" t="n"/>
      <c r="C86" s="7" t="n"/>
      <c r="D86" s="7" t="n"/>
    </row>
    <row r="87" ht="22" customHeight="1">
      <c r="A87" s="6" t="inlineStr">
        <is>
          <t>IMP-09</t>
        </is>
      </c>
      <c r="B87" s="7" t="n"/>
      <c r="C87" s="7" t="n"/>
      <c r="D87" s="7" t="n"/>
    </row>
    <row r="88" ht="22" customHeight="1">
      <c r="A88" s="6" t="inlineStr">
        <is>
          <t>IMP-09</t>
        </is>
      </c>
      <c r="B88" s="7" t="n"/>
      <c r="C88" s="7" t="n"/>
      <c r="D88" s="7" t="n"/>
    </row>
    <row r="89" ht="22" customHeight="1">
      <c r="A89" s="6" t="inlineStr">
        <is>
          <t>IMP-09</t>
        </is>
      </c>
      <c r="B89" s="7" t="n"/>
      <c r="C89" s="7" t="n"/>
      <c r="D89" s="7" t="n"/>
    </row>
    <row r="90" ht="22" customHeight="1">
      <c r="A90" s="6" t="inlineStr">
        <is>
          <t>IMP-09</t>
        </is>
      </c>
      <c r="B90" s="7" t="n"/>
      <c r="C90" s="7" t="n"/>
      <c r="D90" s="7" t="n"/>
    </row>
    <row r="91" ht="22" customHeight="1">
      <c r="A91" s="6" t="inlineStr">
        <is>
          <t>IMP-09</t>
        </is>
      </c>
      <c r="B91" s="7" t="n"/>
      <c r="C91" s="7" t="n"/>
      <c r="D91" s="7" t="n"/>
    </row>
    <row r="92" ht="22" customHeight="1">
      <c r="A92" s="6" t="inlineStr">
        <is>
          <t>IMP-09</t>
        </is>
      </c>
      <c r="B92" s="7" t="n"/>
      <c r="C92" s="7" t="n"/>
      <c r="D92" s="7" t="n"/>
    </row>
    <row r="93" ht="22" customHeight="1">
      <c r="A93" s="6" t="inlineStr">
        <is>
          <t>IMP-09</t>
        </is>
      </c>
      <c r="B93" s="7" t="n"/>
      <c r="C93" s="7" t="n"/>
      <c r="D93" s="7" t="n"/>
    </row>
    <row r="94" ht="22" customHeight="1">
      <c r="A94" s="6" t="inlineStr">
        <is>
          <t>IMP-10</t>
        </is>
      </c>
      <c r="B94" s="7" t="n"/>
      <c r="C94" s="7" t="n"/>
      <c r="D94" s="7" t="n"/>
    </row>
    <row r="95" ht="22" customHeight="1">
      <c r="A95" s="6" t="inlineStr">
        <is>
          <t>IMP-10</t>
        </is>
      </c>
      <c r="B95" s="7" t="n"/>
      <c r="C95" s="7" t="n"/>
      <c r="D95" s="7" t="n"/>
    </row>
    <row r="96" ht="22" customHeight="1">
      <c r="A96" s="6" t="inlineStr">
        <is>
          <t>IMP-10</t>
        </is>
      </c>
      <c r="B96" s="7" t="n"/>
      <c r="C96" s="7" t="n"/>
      <c r="D96" s="7" t="n"/>
    </row>
    <row r="97" ht="22" customHeight="1">
      <c r="A97" s="6" t="inlineStr">
        <is>
          <t>IMP-10</t>
        </is>
      </c>
      <c r="B97" s="7" t="n"/>
      <c r="C97" s="7" t="n"/>
      <c r="D97" s="7" t="n"/>
    </row>
    <row r="98" ht="22" customHeight="1">
      <c r="A98" s="6" t="inlineStr">
        <is>
          <t>IMP-10</t>
        </is>
      </c>
      <c r="B98" s="7" t="n"/>
      <c r="C98" s="7" t="n"/>
      <c r="D98" s="7" t="n"/>
    </row>
    <row r="99" ht="22" customHeight="1">
      <c r="A99" s="6" t="inlineStr">
        <is>
          <t>IMP-10</t>
        </is>
      </c>
      <c r="B99" s="7" t="n"/>
      <c r="C99" s="7" t="n"/>
      <c r="D99" s="7" t="n"/>
    </row>
    <row r="100" ht="22" customHeight="1">
      <c r="A100" s="6" t="inlineStr">
        <is>
          <t>IMP-10</t>
        </is>
      </c>
      <c r="B100" s="7" t="n"/>
      <c r="C100" s="7" t="n"/>
      <c r="D100" s="7" t="n"/>
    </row>
    <row r="101" ht="22" customHeight="1">
      <c r="A101" s="6" t="inlineStr">
        <is>
          <t>IMP-10</t>
        </is>
      </c>
      <c r="B101" s="7" t="n"/>
      <c r="C101" s="7" t="n"/>
      <c r="D101" s="7" t="n"/>
    </row>
    <row r="102" ht="22" customHeight="1">
      <c r="A102" s="6" t="inlineStr">
        <is>
          <t>IMP-10</t>
        </is>
      </c>
      <c r="B102" s="7" t="n"/>
      <c r="C102" s="7" t="n"/>
      <c r="D102" s="7" t="n"/>
    </row>
    <row r="103" ht="22" customHeight="1">
      <c r="A103" s="6" t="inlineStr">
        <is>
          <t>IMP-10</t>
        </is>
      </c>
      <c r="B103" s="7" t="n"/>
      <c r="C103" s="7" t="n"/>
      <c r="D103" s="7" t="n"/>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D1"/>
  </mergeCells>
  <conditionalFormatting sqref="A4:A103">
    <cfRule type="expression" priority="1" dxfId="0">
      <formula>AND(A4&lt;&gt;"",COUNTIF($A$4:$A$103,A4)&gt;20)</formula>
    </cfRule>
  </conditionalFormatting>
  <dataValidations count="1">
    <dataValidation sqref="C4 D4 C5 D5 C6 D6 C7 D7 C8 D8 C9 D9 C10 D10 C11 D11 C12 D12 C13 D13 C14 D14 C15 D15 C16 D16 C17 D17 C18 D18 C19 D19 C20 D20 C21 D21 C22 D22 C23 D23 C24 D24 C25 D25 C26 D26 C27 D27 C28 D28 C29 D29 C30 D30 C31 D31 C32 D32 C33 D33 C34 D34 C35 D35 C36 D36 C37 D37 C38 D38 C39 D39 C40 D40 C41 D41 C42 D42 C43 D43 C44 D44 C45 D45 C46 D46 C47 D47 C48 D48 C49 D49 C50 D50 C51 D51 C52 D52 C53 D53 C54 D54 C55 D55 C56 D56 C57 D57 C58 D58 C59 D59 C60 D60 C61 D61 C62 D62 C63 D63 C64 D64 C65 D65 C66 D66 C67 D67 C68 D68 C69 D69 C70 D70 C71 D71 C72 D72 C73 D73 C74 D74 C75 D75 C76 D76 C77 D77 C78 D78 C79 D79 C80 D80 C81 D81 C82 D82 C83 D83 C84 D84 C85 D85 C86 D86 C87 D87 C88 D88 C89 D89 C90 D90 C91 D91 C92 D92 C93 D93 C94 D94 C95 D95 C96 D96 C97 D97 C98 D98 C99 D99 C100 D100 C101 D101 C102 D102 C103 D10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cols>
    <col width="14" customWidth="1" min="1" max="1"/>
    <col width="14" customWidth="1" min="2" max="2"/>
    <col width="10" customWidth="1" min="3" max="3"/>
    <col width="16" customWidth="1" min="4" max="4"/>
    <col width="18" customWidth="1" min="5" max="5"/>
    <col width="20" customWidth="1" min="6" max="6"/>
    <col width="27" customWidth="1" min="7" max="7"/>
    <col width="23" customWidth="1" min="8" max="8"/>
    <col width="20" customWidth="1" min="9" max="9"/>
  </cols>
  <sheetData>
    <row r="1" ht="30" customHeight="1">
      <c r="A1" s="1" t="inlineStr">
        <is>
          <t>检测限定量限结果</t>
        </is>
      </c>
    </row>
    <row r="2" ht="30" customHeight="1">
      <c r="A2" s="4" t="inlineStr">
        <is>
          <t>impurity_id</t>
        </is>
      </c>
      <c r="B2" s="4" t="inlineStr">
        <is>
          <t>result_type</t>
        </is>
      </c>
      <c r="C2" s="4" t="inlineStr">
        <is>
          <t>sequence</t>
        </is>
      </c>
      <c r="D2" s="4" t="inlineStr">
        <is>
          <t>sn_ratio</t>
        </is>
      </c>
      <c r="E2" s="4" t="inlineStr">
        <is>
          <t>peak_area</t>
        </is>
      </c>
      <c r="F2" s="4" t="inlineStr">
        <is>
          <t>concentration</t>
        </is>
      </c>
      <c r="G2" s="4" t="inlineStr">
        <is>
          <t>sample_content</t>
        </is>
      </c>
      <c r="H2" s="4" t="inlineStr">
        <is>
          <t>limit_percentage</t>
        </is>
      </c>
      <c r="I2" s="4" t="inlineStr">
        <is>
          <t>peak_area_rsd</t>
        </is>
      </c>
    </row>
    <row r="3" ht="30" customHeight="1">
      <c r="A3" s="5" t="inlineStr">
        <is>
          <t>杂质编号</t>
        </is>
      </c>
      <c r="B3" s="5" t="inlineStr">
        <is>
          <t>结果类型</t>
        </is>
      </c>
      <c r="C3" s="5" t="inlineStr">
        <is>
          <t>No.</t>
        </is>
      </c>
      <c r="D3" s="5" t="inlineStr">
        <is>
          <t>信噪比S/N</t>
        </is>
      </c>
      <c r="E3" s="5" t="inlineStr">
        <is>
          <t>峰面积</t>
        </is>
      </c>
      <c r="F3" s="5" t="inlineStr">
        <is>
          <t>浓度（ng/ml）</t>
        </is>
      </c>
      <c r="G3" s="5" t="inlineStr">
        <is>
          <t>相当于供试品中含量（ppm）</t>
        </is>
      </c>
      <c r="H3" s="5" t="inlineStr">
        <is>
          <t>占限度百分比（%）</t>
        </is>
      </c>
      <c r="I3" s="5" t="inlineStr">
        <is>
          <t>峰面积RSD（%）</t>
        </is>
      </c>
    </row>
    <row r="4" ht="22" customHeight="1">
      <c r="A4" s="6" t="inlineStr">
        <is>
          <t>IMP-01</t>
        </is>
      </c>
      <c r="B4" s="6" t="inlineStr">
        <is>
          <t>LOD</t>
        </is>
      </c>
      <c r="C4" s="6" t="n">
        <v>1</v>
      </c>
      <c r="D4" s="7" t="n"/>
      <c r="E4" s="7" t="n"/>
      <c r="F4" s="7" t="n"/>
      <c r="G4" s="9">
        <f>IFERROR(ROUND(F4/VLOOKUP(A4,'杂质清单'!$A$4:$F$13,6,FALSE),2),"")</f>
        <v/>
      </c>
      <c r="H4" s="9">
        <f>IFERROR(ROUND(G4/VLOOKUP(A4,'杂质清单'!$A$4:$F$13,4,FALSE)*100,2),"")</f>
        <v/>
      </c>
      <c r="I4" s="9">
        <f>IF(B4&lt;&gt;"LOQ","",IFERROR(ROUND(STDEV(E7:E12)/AVERAGE(E7:E12)*100,2),""))</f>
        <v/>
      </c>
    </row>
    <row r="5" ht="22" customHeight="1">
      <c r="A5" s="6" t="inlineStr">
        <is>
          <t>IMP-01</t>
        </is>
      </c>
      <c r="B5" s="6" t="inlineStr">
        <is>
          <t>LOD</t>
        </is>
      </c>
      <c r="C5" s="6" t="n">
        <v>2</v>
      </c>
      <c r="D5" s="7" t="n"/>
      <c r="E5" s="7" t="n"/>
      <c r="F5" s="7" t="n"/>
      <c r="G5" s="9">
        <f>IFERROR(ROUND(F5/VLOOKUP(A5,'杂质清单'!$A$4:$F$13,6,FALSE),2),"")</f>
        <v/>
      </c>
      <c r="H5" s="9">
        <f>IFERROR(ROUND(G5/VLOOKUP(A5,'杂质清单'!$A$4:$F$13,4,FALSE)*100,2),"")</f>
        <v/>
      </c>
      <c r="I5" s="9">
        <f>IF(B5&lt;&gt;"LOQ","",IFERROR(ROUND(STDEV(E7:E12)/AVERAGE(E7:E12)*100,2),""))</f>
        <v/>
      </c>
    </row>
    <row r="6" ht="22" customHeight="1">
      <c r="A6" s="6" t="inlineStr">
        <is>
          <t>IMP-01</t>
        </is>
      </c>
      <c r="B6" s="6" t="inlineStr">
        <is>
          <t>LOD</t>
        </is>
      </c>
      <c r="C6" s="6" t="n">
        <v>3</v>
      </c>
      <c r="D6" s="7" t="n"/>
      <c r="E6" s="7" t="n"/>
      <c r="F6" s="7" t="n"/>
      <c r="G6" s="9">
        <f>IFERROR(ROUND(F6/VLOOKUP(A6,'杂质清单'!$A$4:$F$13,6,FALSE),2),"")</f>
        <v/>
      </c>
      <c r="H6" s="9">
        <f>IFERROR(ROUND(G6/VLOOKUP(A6,'杂质清单'!$A$4:$F$13,4,FALSE)*100,2),"")</f>
        <v/>
      </c>
      <c r="I6" s="9">
        <f>IF(B6&lt;&gt;"LOQ","",IFERROR(ROUND(STDEV(E7:E12)/AVERAGE(E7:E12)*100,2),""))</f>
        <v/>
      </c>
    </row>
    <row r="7" ht="22" customHeight="1">
      <c r="A7" s="6" t="inlineStr">
        <is>
          <t>IMP-01</t>
        </is>
      </c>
      <c r="B7" s="6" t="inlineStr">
        <is>
          <t>LOQ</t>
        </is>
      </c>
      <c r="C7" s="6" t="n">
        <v>1</v>
      </c>
      <c r="D7" s="7" t="n"/>
      <c r="E7" s="7" t="n"/>
      <c r="F7" s="7" t="n"/>
      <c r="G7" s="9">
        <f>IFERROR(ROUND(F7/VLOOKUP(A7,'杂质清单'!$A$4:$F$13,6,FALSE),2),"")</f>
        <v/>
      </c>
      <c r="H7" s="9">
        <f>IFERROR(ROUND(G7/VLOOKUP(A7,'杂质清单'!$A$4:$F$13,4,FALSE)*100,2),"")</f>
        <v/>
      </c>
      <c r="I7" s="9">
        <f>IF(B7&lt;&gt;"LOQ","",IFERROR(ROUND(STDEV(E7:E12)/AVERAGE(E7:E12)*100,2),""))</f>
        <v/>
      </c>
    </row>
    <row r="8" ht="22" customHeight="1">
      <c r="A8" s="6" t="inlineStr">
        <is>
          <t>IMP-01</t>
        </is>
      </c>
      <c r="B8" s="6" t="inlineStr">
        <is>
          <t>LOQ</t>
        </is>
      </c>
      <c r="C8" s="6" t="n">
        <v>2</v>
      </c>
      <c r="D8" s="7" t="n"/>
      <c r="E8" s="7" t="n"/>
      <c r="F8" s="7" t="n"/>
      <c r="G8" s="9">
        <f>IFERROR(ROUND(F8/VLOOKUP(A8,'杂质清单'!$A$4:$F$13,6,FALSE),2),"")</f>
        <v/>
      </c>
      <c r="H8" s="9">
        <f>IFERROR(ROUND(G8/VLOOKUP(A8,'杂质清单'!$A$4:$F$13,4,FALSE)*100,2),"")</f>
        <v/>
      </c>
      <c r="I8" s="9">
        <f>IF(B8&lt;&gt;"LOQ","",IFERROR(ROUND(STDEV(E7:E12)/AVERAGE(E7:E12)*100,2),""))</f>
        <v/>
      </c>
    </row>
    <row r="9" ht="22" customHeight="1">
      <c r="A9" s="6" t="inlineStr">
        <is>
          <t>IMP-01</t>
        </is>
      </c>
      <c r="B9" s="6" t="inlineStr">
        <is>
          <t>LOQ</t>
        </is>
      </c>
      <c r="C9" s="6" t="n">
        <v>3</v>
      </c>
      <c r="D9" s="7" t="n"/>
      <c r="E9" s="7" t="n"/>
      <c r="F9" s="7" t="n"/>
      <c r="G9" s="9">
        <f>IFERROR(ROUND(F9/VLOOKUP(A9,'杂质清单'!$A$4:$F$13,6,FALSE),2),"")</f>
        <v/>
      </c>
      <c r="H9" s="9">
        <f>IFERROR(ROUND(G9/VLOOKUP(A9,'杂质清单'!$A$4:$F$13,4,FALSE)*100,2),"")</f>
        <v/>
      </c>
      <c r="I9" s="9">
        <f>IF(B9&lt;&gt;"LOQ","",IFERROR(ROUND(STDEV(E7:E12)/AVERAGE(E7:E12)*100,2),""))</f>
        <v/>
      </c>
    </row>
    <row r="10" ht="22" customHeight="1">
      <c r="A10" s="6" t="inlineStr">
        <is>
          <t>IMP-01</t>
        </is>
      </c>
      <c r="B10" s="6" t="inlineStr">
        <is>
          <t>LOQ</t>
        </is>
      </c>
      <c r="C10" s="6" t="n">
        <v>4</v>
      </c>
      <c r="D10" s="7" t="n"/>
      <c r="E10" s="7" t="n"/>
      <c r="F10" s="7" t="n"/>
      <c r="G10" s="9">
        <f>IFERROR(ROUND(F10/VLOOKUP(A10,'杂质清单'!$A$4:$F$13,6,FALSE),2),"")</f>
        <v/>
      </c>
      <c r="H10" s="9">
        <f>IFERROR(ROUND(G10/VLOOKUP(A10,'杂质清单'!$A$4:$F$13,4,FALSE)*100,2),"")</f>
        <v/>
      </c>
      <c r="I10" s="9">
        <f>IF(B10&lt;&gt;"LOQ","",IFERROR(ROUND(STDEV(E7:E12)/AVERAGE(E7:E12)*100,2),""))</f>
        <v/>
      </c>
    </row>
    <row r="11" ht="22" customHeight="1">
      <c r="A11" s="6" t="inlineStr">
        <is>
          <t>IMP-01</t>
        </is>
      </c>
      <c r="B11" s="6" t="inlineStr">
        <is>
          <t>LOQ</t>
        </is>
      </c>
      <c r="C11" s="6" t="n">
        <v>5</v>
      </c>
      <c r="D11" s="7" t="n"/>
      <c r="E11" s="7" t="n"/>
      <c r="F11" s="7" t="n"/>
      <c r="G11" s="9">
        <f>IFERROR(ROUND(F11/VLOOKUP(A11,'杂质清单'!$A$4:$F$13,6,FALSE),2),"")</f>
        <v/>
      </c>
      <c r="H11" s="9">
        <f>IFERROR(ROUND(G11/VLOOKUP(A11,'杂质清单'!$A$4:$F$13,4,FALSE)*100,2),"")</f>
        <v/>
      </c>
      <c r="I11" s="9">
        <f>IF(B11&lt;&gt;"LOQ","",IFERROR(ROUND(STDEV(E7:E12)/AVERAGE(E7:E12)*100,2),""))</f>
        <v/>
      </c>
    </row>
    <row r="12" ht="22" customHeight="1">
      <c r="A12" s="6" t="inlineStr">
        <is>
          <t>IMP-01</t>
        </is>
      </c>
      <c r="B12" s="6" t="inlineStr">
        <is>
          <t>LOQ</t>
        </is>
      </c>
      <c r="C12" s="6" t="n">
        <v>6</v>
      </c>
      <c r="D12" s="7" t="n"/>
      <c r="E12" s="7" t="n"/>
      <c r="F12" s="7" t="n"/>
      <c r="G12" s="9">
        <f>IFERROR(ROUND(F12/VLOOKUP(A12,'杂质清单'!$A$4:$F$13,6,FALSE),2),"")</f>
        <v/>
      </c>
      <c r="H12" s="9">
        <f>IFERROR(ROUND(G12/VLOOKUP(A12,'杂质清单'!$A$4:$F$13,4,FALSE)*100,2),"")</f>
        <v/>
      </c>
      <c r="I12" s="9">
        <f>IF(B12&lt;&gt;"LOQ","",IFERROR(ROUND(STDEV(E7:E12)/AVERAGE(E7:E12)*100,2),""))</f>
        <v/>
      </c>
    </row>
    <row r="13" ht="22" customHeight="1">
      <c r="A13" s="6" t="inlineStr">
        <is>
          <t>IMP-02</t>
        </is>
      </c>
      <c r="B13" s="6" t="inlineStr">
        <is>
          <t>LOD</t>
        </is>
      </c>
      <c r="C13" s="6" t="n">
        <v>1</v>
      </c>
      <c r="D13" s="7" t="n"/>
      <c r="E13" s="7" t="n"/>
      <c r="F13" s="7" t="n"/>
      <c r="G13" s="9">
        <f>IFERROR(ROUND(F13/VLOOKUP(A13,'杂质清单'!$A$4:$F$13,6,FALSE),2),"")</f>
        <v/>
      </c>
      <c r="H13" s="9">
        <f>IFERROR(ROUND(G13/VLOOKUP(A13,'杂质清单'!$A$4:$F$13,4,FALSE)*100,2),"")</f>
        <v/>
      </c>
      <c r="I13" s="9">
        <f>IF(B13&lt;&gt;"LOQ","",IFERROR(ROUND(STDEV(E16:E21)/AVERAGE(E16:E21)*100,2),""))</f>
        <v/>
      </c>
    </row>
    <row r="14" ht="22" customHeight="1">
      <c r="A14" s="6" t="inlineStr">
        <is>
          <t>IMP-02</t>
        </is>
      </c>
      <c r="B14" s="6" t="inlineStr">
        <is>
          <t>LOD</t>
        </is>
      </c>
      <c r="C14" s="6" t="n">
        <v>2</v>
      </c>
      <c r="D14" s="7" t="n"/>
      <c r="E14" s="7" t="n"/>
      <c r="F14" s="7" t="n"/>
      <c r="G14" s="9">
        <f>IFERROR(ROUND(F14/VLOOKUP(A14,'杂质清单'!$A$4:$F$13,6,FALSE),2),"")</f>
        <v/>
      </c>
      <c r="H14" s="9">
        <f>IFERROR(ROUND(G14/VLOOKUP(A14,'杂质清单'!$A$4:$F$13,4,FALSE)*100,2),"")</f>
        <v/>
      </c>
      <c r="I14" s="9">
        <f>IF(B14&lt;&gt;"LOQ","",IFERROR(ROUND(STDEV(E16:E21)/AVERAGE(E16:E21)*100,2),""))</f>
        <v/>
      </c>
    </row>
    <row r="15" ht="22" customHeight="1">
      <c r="A15" s="6" t="inlineStr">
        <is>
          <t>IMP-02</t>
        </is>
      </c>
      <c r="B15" s="6" t="inlineStr">
        <is>
          <t>LOD</t>
        </is>
      </c>
      <c r="C15" s="6" t="n">
        <v>3</v>
      </c>
      <c r="D15" s="7" t="n"/>
      <c r="E15" s="7" t="n"/>
      <c r="F15" s="7" t="n"/>
      <c r="G15" s="9">
        <f>IFERROR(ROUND(F15/VLOOKUP(A15,'杂质清单'!$A$4:$F$13,6,FALSE),2),"")</f>
        <v/>
      </c>
      <c r="H15" s="9">
        <f>IFERROR(ROUND(G15/VLOOKUP(A15,'杂质清单'!$A$4:$F$13,4,FALSE)*100,2),"")</f>
        <v/>
      </c>
      <c r="I15" s="9">
        <f>IF(B15&lt;&gt;"LOQ","",IFERROR(ROUND(STDEV(E16:E21)/AVERAGE(E16:E21)*100,2),""))</f>
        <v/>
      </c>
    </row>
    <row r="16" ht="22" customHeight="1">
      <c r="A16" s="6" t="inlineStr">
        <is>
          <t>IMP-02</t>
        </is>
      </c>
      <c r="B16" s="6" t="inlineStr">
        <is>
          <t>LOQ</t>
        </is>
      </c>
      <c r="C16" s="6" t="n">
        <v>1</v>
      </c>
      <c r="D16" s="7" t="n"/>
      <c r="E16" s="7" t="n"/>
      <c r="F16" s="7" t="n"/>
      <c r="G16" s="9">
        <f>IFERROR(ROUND(F16/VLOOKUP(A16,'杂质清单'!$A$4:$F$13,6,FALSE),2),"")</f>
        <v/>
      </c>
      <c r="H16" s="9">
        <f>IFERROR(ROUND(G16/VLOOKUP(A16,'杂质清单'!$A$4:$F$13,4,FALSE)*100,2),"")</f>
        <v/>
      </c>
      <c r="I16" s="9">
        <f>IF(B16&lt;&gt;"LOQ","",IFERROR(ROUND(STDEV(E16:E21)/AVERAGE(E16:E21)*100,2),""))</f>
        <v/>
      </c>
    </row>
    <row r="17" ht="22" customHeight="1">
      <c r="A17" s="6" t="inlineStr">
        <is>
          <t>IMP-02</t>
        </is>
      </c>
      <c r="B17" s="6" t="inlineStr">
        <is>
          <t>LOQ</t>
        </is>
      </c>
      <c r="C17" s="6" t="n">
        <v>2</v>
      </c>
      <c r="D17" s="7" t="n"/>
      <c r="E17" s="7" t="n"/>
      <c r="F17" s="7" t="n"/>
      <c r="G17" s="9">
        <f>IFERROR(ROUND(F17/VLOOKUP(A17,'杂质清单'!$A$4:$F$13,6,FALSE),2),"")</f>
        <v/>
      </c>
      <c r="H17" s="9">
        <f>IFERROR(ROUND(G17/VLOOKUP(A17,'杂质清单'!$A$4:$F$13,4,FALSE)*100,2),"")</f>
        <v/>
      </c>
      <c r="I17" s="9">
        <f>IF(B17&lt;&gt;"LOQ","",IFERROR(ROUND(STDEV(E16:E21)/AVERAGE(E16:E21)*100,2),""))</f>
        <v/>
      </c>
    </row>
    <row r="18" ht="22" customHeight="1">
      <c r="A18" s="6" t="inlineStr">
        <is>
          <t>IMP-02</t>
        </is>
      </c>
      <c r="B18" s="6" t="inlineStr">
        <is>
          <t>LOQ</t>
        </is>
      </c>
      <c r="C18" s="6" t="n">
        <v>3</v>
      </c>
      <c r="D18" s="7" t="n"/>
      <c r="E18" s="7" t="n"/>
      <c r="F18" s="7" t="n"/>
      <c r="G18" s="9">
        <f>IFERROR(ROUND(F18/VLOOKUP(A18,'杂质清单'!$A$4:$F$13,6,FALSE),2),"")</f>
        <v/>
      </c>
      <c r="H18" s="9">
        <f>IFERROR(ROUND(G18/VLOOKUP(A18,'杂质清单'!$A$4:$F$13,4,FALSE)*100,2),"")</f>
        <v/>
      </c>
      <c r="I18" s="9">
        <f>IF(B18&lt;&gt;"LOQ","",IFERROR(ROUND(STDEV(E16:E21)/AVERAGE(E16:E21)*100,2),""))</f>
        <v/>
      </c>
    </row>
    <row r="19" ht="22" customHeight="1">
      <c r="A19" s="6" t="inlineStr">
        <is>
          <t>IMP-02</t>
        </is>
      </c>
      <c r="B19" s="6" t="inlineStr">
        <is>
          <t>LOQ</t>
        </is>
      </c>
      <c r="C19" s="6" t="n">
        <v>4</v>
      </c>
      <c r="D19" s="7" t="n"/>
      <c r="E19" s="7" t="n"/>
      <c r="F19" s="7" t="n"/>
      <c r="G19" s="9">
        <f>IFERROR(ROUND(F19/VLOOKUP(A19,'杂质清单'!$A$4:$F$13,6,FALSE),2),"")</f>
        <v/>
      </c>
      <c r="H19" s="9">
        <f>IFERROR(ROUND(G19/VLOOKUP(A19,'杂质清单'!$A$4:$F$13,4,FALSE)*100,2),"")</f>
        <v/>
      </c>
      <c r="I19" s="9">
        <f>IF(B19&lt;&gt;"LOQ","",IFERROR(ROUND(STDEV(E16:E21)/AVERAGE(E16:E21)*100,2),""))</f>
        <v/>
      </c>
    </row>
    <row r="20" ht="22" customHeight="1">
      <c r="A20" s="6" t="inlineStr">
        <is>
          <t>IMP-02</t>
        </is>
      </c>
      <c r="B20" s="6" t="inlineStr">
        <is>
          <t>LOQ</t>
        </is>
      </c>
      <c r="C20" s="6" t="n">
        <v>5</v>
      </c>
      <c r="D20" s="7" t="n"/>
      <c r="E20" s="7" t="n"/>
      <c r="F20" s="7" t="n"/>
      <c r="G20" s="9">
        <f>IFERROR(ROUND(F20/VLOOKUP(A20,'杂质清单'!$A$4:$F$13,6,FALSE),2),"")</f>
        <v/>
      </c>
      <c r="H20" s="9">
        <f>IFERROR(ROUND(G20/VLOOKUP(A20,'杂质清单'!$A$4:$F$13,4,FALSE)*100,2),"")</f>
        <v/>
      </c>
      <c r="I20" s="9">
        <f>IF(B20&lt;&gt;"LOQ","",IFERROR(ROUND(STDEV(E16:E21)/AVERAGE(E16:E21)*100,2),""))</f>
        <v/>
      </c>
    </row>
    <row r="21" ht="22" customHeight="1">
      <c r="A21" s="6" t="inlineStr">
        <is>
          <t>IMP-02</t>
        </is>
      </c>
      <c r="B21" s="6" t="inlineStr">
        <is>
          <t>LOQ</t>
        </is>
      </c>
      <c r="C21" s="6" t="n">
        <v>6</v>
      </c>
      <c r="D21" s="7" t="n"/>
      <c r="E21" s="7" t="n"/>
      <c r="F21" s="7" t="n"/>
      <c r="G21" s="9">
        <f>IFERROR(ROUND(F21/VLOOKUP(A21,'杂质清单'!$A$4:$F$13,6,FALSE),2),"")</f>
        <v/>
      </c>
      <c r="H21" s="9">
        <f>IFERROR(ROUND(G21/VLOOKUP(A21,'杂质清单'!$A$4:$F$13,4,FALSE)*100,2),"")</f>
        <v/>
      </c>
      <c r="I21" s="9">
        <f>IF(B21&lt;&gt;"LOQ","",IFERROR(ROUND(STDEV(E16:E21)/AVERAGE(E16:E21)*100,2),""))</f>
        <v/>
      </c>
    </row>
    <row r="22" ht="22" customHeight="1">
      <c r="A22" s="6" t="inlineStr">
        <is>
          <t>IMP-03</t>
        </is>
      </c>
      <c r="B22" s="6" t="inlineStr">
        <is>
          <t>LOD</t>
        </is>
      </c>
      <c r="C22" s="6" t="n">
        <v>1</v>
      </c>
      <c r="D22" s="7" t="n"/>
      <c r="E22" s="7" t="n"/>
      <c r="F22" s="7" t="n"/>
      <c r="G22" s="9">
        <f>IFERROR(ROUND(F22/VLOOKUP(A22,'杂质清单'!$A$4:$F$13,6,FALSE),2),"")</f>
        <v/>
      </c>
      <c r="H22" s="9">
        <f>IFERROR(ROUND(G22/VLOOKUP(A22,'杂质清单'!$A$4:$F$13,4,FALSE)*100,2),"")</f>
        <v/>
      </c>
      <c r="I22" s="9">
        <f>IF(B22&lt;&gt;"LOQ","",IFERROR(ROUND(STDEV(E25:E30)/AVERAGE(E25:E30)*100,2),""))</f>
        <v/>
      </c>
    </row>
    <row r="23" ht="22" customHeight="1">
      <c r="A23" s="6" t="inlineStr">
        <is>
          <t>IMP-03</t>
        </is>
      </c>
      <c r="B23" s="6" t="inlineStr">
        <is>
          <t>LOD</t>
        </is>
      </c>
      <c r="C23" s="6" t="n">
        <v>2</v>
      </c>
      <c r="D23" s="7" t="n"/>
      <c r="E23" s="7" t="n"/>
      <c r="F23" s="7" t="n"/>
      <c r="G23" s="9">
        <f>IFERROR(ROUND(F23/VLOOKUP(A23,'杂质清单'!$A$4:$F$13,6,FALSE),2),"")</f>
        <v/>
      </c>
      <c r="H23" s="9">
        <f>IFERROR(ROUND(G23/VLOOKUP(A23,'杂质清单'!$A$4:$F$13,4,FALSE)*100,2),"")</f>
        <v/>
      </c>
      <c r="I23" s="9">
        <f>IF(B23&lt;&gt;"LOQ","",IFERROR(ROUND(STDEV(E25:E30)/AVERAGE(E25:E30)*100,2),""))</f>
        <v/>
      </c>
    </row>
    <row r="24" ht="22" customHeight="1">
      <c r="A24" s="6" t="inlineStr">
        <is>
          <t>IMP-03</t>
        </is>
      </c>
      <c r="B24" s="6" t="inlineStr">
        <is>
          <t>LOD</t>
        </is>
      </c>
      <c r="C24" s="6" t="n">
        <v>3</v>
      </c>
      <c r="D24" s="7" t="n"/>
      <c r="E24" s="7" t="n"/>
      <c r="F24" s="7" t="n"/>
      <c r="G24" s="9">
        <f>IFERROR(ROUND(F24/VLOOKUP(A24,'杂质清单'!$A$4:$F$13,6,FALSE),2),"")</f>
        <v/>
      </c>
      <c r="H24" s="9">
        <f>IFERROR(ROUND(G24/VLOOKUP(A24,'杂质清单'!$A$4:$F$13,4,FALSE)*100,2),"")</f>
        <v/>
      </c>
      <c r="I24" s="9">
        <f>IF(B24&lt;&gt;"LOQ","",IFERROR(ROUND(STDEV(E25:E30)/AVERAGE(E25:E30)*100,2),""))</f>
        <v/>
      </c>
    </row>
    <row r="25" ht="22" customHeight="1">
      <c r="A25" s="6" t="inlineStr">
        <is>
          <t>IMP-03</t>
        </is>
      </c>
      <c r="B25" s="6" t="inlineStr">
        <is>
          <t>LOQ</t>
        </is>
      </c>
      <c r="C25" s="6" t="n">
        <v>1</v>
      </c>
      <c r="D25" s="7" t="n"/>
      <c r="E25" s="7" t="n"/>
      <c r="F25" s="7" t="n"/>
      <c r="G25" s="9">
        <f>IFERROR(ROUND(F25/VLOOKUP(A25,'杂质清单'!$A$4:$F$13,6,FALSE),2),"")</f>
        <v/>
      </c>
      <c r="H25" s="9">
        <f>IFERROR(ROUND(G25/VLOOKUP(A25,'杂质清单'!$A$4:$F$13,4,FALSE)*100,2),"")</f>
        <v/>
      </c>
      <c r="I25" s="9">
        <f>IF(B25&lt;&gt;"LOQ","",IFERROR(ROUND(STDEV(E25:E30)/AVERAGE(E25:E30)*100,2),""))</f>
        <v/>
      </c>
    </row>
    <row r="26" ht="22" customHeight="1">
      <c r="A26" s="6" t="inlineStr">
        <is>
          <t>IMP-03</t>
        </is>
      </c>
      <c r="B26" s="6" t="inlineStr">
        <is>
          <t>LOQ</t>
        </is>
      </c>
      <c r="C26" s="6" t="n">
        <v>2</v>
      </c>
      <c r="D26" s="7" t="n"/>
      <c r="E26" s="7" t="n"/>
      <c r="F26" s="7" t="n"/>
      <c r="G26" s="9">
        <f>IFERROR(ROUND(F26/VLOOKUP(A26,'杂质清单'!$A$4:$F$13,6,FALSE),2),"")</f>
        <v/>
      </c>
      <c r="H26" s="9">
        <f>IFERROR(ROUND(G26/VLOOKUP(A26,'杂质清单'!$A$4:$F$13,4,FALSE)*100,2),"")</f>
        <v/>
      </c>
      <c r="I26" s="9">
        <f>IF(B26&lt;&gt;"LOQ","",IFERROR(ROUND(STDEV(E25:E30)/AVERAGE(E25:E30)*100,2),""))</f>
        <v/>
      </c>
    </row>
    <row r="27" ht="22" customHeight="1">
      <c r="A27" s="6" t="inlineStr">
        <is>
          <t>IMP-03</t>
        </is>
      </c>
      <c r="B27" s="6" t="inlineStr">
        <is>
          <t>LOQ</t>
        </is>
      </c>
      <c r="C27" s="6" t="n">
        <v>3</v>
      </c>
      <c r="D27" s="7" t="n"/>
      <c r="E27" s="7" t="n"/>
      <c r="F27" s="7" t="n"/>
      <c r="G27" s="9">
        <f>IFERROR(ROUND(F27/VLOOKUP(A27,'杂质清单'!$A$4:$F$13,6,FALSE),2),"")</f>
        <v/>
      </c>
      <c r="H27" s="9">
        <f>IFERROR(ROUND(G27/VLOOKUP(A27,'杂质清单'!$A$4:$F$13,4,FALSE)*100,2),"")</f>
        <v/>
      </c>
      <c r="I27" s="9">
        <f>IF(B27&lt;&gt;"LOQ","",IFERROR(ROUND(STDEV(E25:E30)/AVERAGE(E25:E30)*100,2),""))</f>
        <v/>
      </c>
    </row>
    <row r="28" ht="22" customHeight="1">
      <c r="A28" s="6" t="inlineStr">
        <is>
          <t>IMP-03</t>
        </is>
      </c>
      <c r="B28" s="6" t="inlineStr">
        <is>
          <t>LOQ</t>
        </is>
      </c>
      <c r="C28" s="6" t="n">
        <v>4</v>
      </c>
      <c r="D28" s="7" t="n"/>
      <c r="E28" s="7" t="n"/>
      <c r="F28" s="7" t="n"/>
      <c r="G28" s="9">
        <f>IFERROR(ROUND(F28/VLOOKUP(A28,'杂质清单'!$A$4:$F$13,6,FALSE),2),"")</f>
        <v/>
      </c>
      <c r="H28" s="9">
        <f>IFERROR(ROUND(G28/VLOOKUP(A28,'杂质清单'!$A$4:$F$13,4,FALSE)*100,2),"")</f>
        <v/>
      </c>
      <c r="I28" s="9">
        <f>IF(B28&lt;&gt;"LOQ","",IFERROR(ROUND(STDEV(E25:E30)/AVERAGE(E25:E30)*100,2),""))</f>
        <v/>
      </c>
    </row>
    <row r="29" ht="22" customHeight="1">
      <c r="A29" s="6" t="inlineStr">
        <is>
          <t>IMP-03</t>
        </is>
      </c>
      <c r="B29" s="6" t="inlineStr">
        <is>
          <t>LOQ</t>
        </is>
      </c>
      <c r="C29" s="6" t="n">
        <v>5</v>
      </c>
      <c r="D29" s="7" t="n"/>
      <c r="E29" s="7" t="n"/>
      <c r="F29" s="7" t="n"/>
      <c r="G29" s="9">
        <f>IFERROR(ROUND(F29/VLOOKUP(A29,'杂质清单'!$A$4:$F$13,6,FALSE),2),"")</f>
        <v/>
      </c>
      <c r="H29" s="9">
        <f>IFERROR(ROUND(G29/VLOOKUP(A29,'杂质清单'!$A$4:$F$13,4,FALSE)*100,2),"")</f>
        <v/>
      </c>
      <c r="I29" s="9">
        <f>IF(B29&lt;&gt;"LOQ","",IFERROR(ROUND(STDEV(E25:E30)/AVERAGE(E25:E30)*100,2),""))</f>
        <v/>
      </c>
    </row>
    <row r="30" ht="22" customHeight="1">
      <c r="A30" s="6" t="inlineStr">
        <is>
          <t>IMP-03</t>
        </is>
      </c>
      <c r="B30" s="6" t="inlineStr">
        <is>
          <t>LOQ</t>
        </is>
      </c>
      <c r="C30" s="6" t="n">
        <v>6</v>
      </c>
      <c r="D30" s="7" t="n"/>
      <c r="E30" s="7" t="n"/>
      <c r="F30" s="7" t="n"/>
      <c r="G30" s="9">
        <f>IFERROR(ROUND(F30/VLOOKUP(A30,'杂质清单'!$A$4:$F$13,6,FALSE),2),"")</f>
        <v/>
      </c>
      <c r="H30" s="9">
        <f>IFERROR(ROUND(G30/VLOOKUP(A30,'杂质清单'!$A$4:$F$13,4,FALSE)*100,2),"")</f>
        <v/>
      </c>
      <c r="I30" s="9">
        <f>IF(B30&lt;&gt;"LOQ","",IFERROR(ROUND(STDEV(E25:E30)/AVERAGE(E25:E30)*100,2),""))</f>
        <v/>
      </c>
    </row>
    <row r="31" ht="22" customHeight="1">
      <c r="A31" s="6" t="inlineStr">
        <is>
          <t>IMP-04</t>
        </is>
      </c>
      <c r="B31" s="6" t="inlineStr">
        <is>
          <t>LOD</t>
        </is>
      </c>
      <c r="C31" s="6" t="n">
        <v>1</v>
      </c>
      <c r="D31" s="7" t="n"/>
      <c r="E31" s="7" t="n"/>
      <c r="F31" s="7" t="n"/>
      <c r="G31" s="9">
        <f>IFERROR(ROUND(F31/VLOOKUP(A31,'杂质清单'!$A$4:$F$13,6,FALSE),2),"")</f>
        <v/>
      </c>
      <c r="H31" s="9">
        <f>IFERROR(ROUND(G31/VLOOKUP(A31,'杂质清单'!$A$4:$F$13,4,FALSE)*100,2),"")</f>
        <v/>
      </c>
      <c r="I31" s="9">
        <f>IF(B31&lt;&gt;"LOQ","",IFERROR(ROUND(STDEV(E34:E39)/AVERAGE(E34:E39)*100,2),""))</f>
        <v/>
      </c>
    </row>
    <row r="32" ht="22" customHeight="1">
      <c r="A32" s="6" t="inlineStr">
        <is>
          <t>IMP-04</t>
        </is>
      </c>
      <c r="B32" s="6" t="inlineStr">
        <is>
          <t>LOD</t>
        </is>
      </c>
      <c r="C32" s="6" t="n">
        <v>2</v>
      </c>
      <c r="D32" s="7" t="n"/>
      <c r="E32" s="7" t="n"/>
      <c r="F32" s="7" t="n"/>
      <c r="G32" s="9">
        <f>IFERROR(ROUND(F32/VLOOKUP(A32,'杂质清单'!$A$4:$F$13,6,FALSE),2),"")</f>
        <v/>
      </c>
      <c r="H32" s="9">
        <f>IFERROR(ROUND(G32/VLOOKUP(A32,'杂质清单'!$A$4:$F$13,4,FALSE)*100,2),"")</f>
        <v/>
      </c>
      <c r="I32" s="9">
        <f>IF(B32&lt;&gt;"LOQ","",IFERROR(ROUND(STDEV(E34:E39)/AVERAGE(E34:E39)*100,2),""))</f>
        <v/>
      </c>
    </row>
    <row r="33" ht="22" customHeight="1">
      <c r="A33" s="6" t="inlineStr">
        <is>
          <t>IMP-04</t>
        </is>
      </c>
      <c r="B33" s="6" t="inlineStr">
        <is>
          <t>LOD</t>
        </is>
      </c>
      <c r="C33" s="6" t="n">
        <v>3</v>
      </c>
      <c r="D33" s="7" t="n"/>
      <c r="E33" s="7" t="n"/>
      <c r="F33" s="7" t="n"/>
      <c r="G33" s="9">
        <f>IFERROR(ROUND(F33/VLOOKUP(A33,'杂质清单'!$A$4:$F$13,6,FALSE),2),"")</f>
        <v/>
      </c>
      <c r="H33" s="9">
        <f>IFERROR(ROUND(G33/VLOOKUP(A33,'杂质清单'!$A$4:$F$13,4,FALSE)*100,2),"")</f>
        <v/>
      </c>
      <c r="I33" s="9">
        <f>IF(B33&lt;&gt;"LOQ","",IFERROR(ROUND(STDEV(E34:E39)/AVERAGE(E34:E39)*100,2),""))</f>
        <v/>
      </c>
    </row>
    <row r="34" ht="22" customHeight="1">
      <c r="A34" s="6" t="inlineStr">
        <is>
          <t>IMP-04</t>
        </is>
      </c>
      <c r="B34" s="6" t="inlineStr">
        <is>
          <t>LOQ</t>
        </is>
      </c>
      <c r="C34" s="6" t="n">
        <v>1</v>
      </c>
      <c r="D34" s="7" t="n"/>
      <c r="E34" s="7" t="n"/>
      <c r="F34" s="7" t="n"/>
      <c r="G34" s="9">
        <f>IFERROR(ROUND(F34/VLOOKUP(A34,'杂质清单'!$A$4:$F$13,6,FALSE),2),"")</f>
        <v/>
      </c>
      <c r="H34" s="9">
        <f>IFERROR(ROUND(G34/VLOOKUP(A34,'杂质清单'!$A$4:$F$13,4,FALSE)*100,2),"")</f>
        <v/>
      </c>
      <c r="I34" s="9">
        <f>IF(B34&lt;&gt;"LOQ","",IFERROR(ROUND(STDEV(E34:E39)/AVERAGE(E34:E39)*100,2),""))</f>
        <v/>
      </c>
    </row>
    <row r="35" ht="22" customHeight="1">
      <c r="A35" s="6" t="inlineStr">
        <is>
          <t>IMP-04</t>
        </is>
      </c>
      <c r="B35" s="6" t="inlineStr">
        <is>
          <t>LOQ</t>
        </is>
      </c>
      <c r="C35" s="6" t="n">
        <v>2</v>
      </c>
      <c r="D35" s="7" t="n"/>
      <c r="E35" s="7" t="n"/>
      <c r="F35" s="7" t="n"/>
      <c r="G35" s="9">
        <f>IFERROR(ROUND(F35/VLOOKUP(A35,'杂质清单'!$A$4:$F$13,6,FALSE),2),"")</f>
        <v/>
      </c>
      <c r="H35" s="9">
        <f>IFERROR(ROUND(G35/VLOOKUP(A35,'杂质清单'!$A$4:$F$13,4,FALSE)*100,2),"")</f>
        <v/>
      </c>
      <c r="I35" s="9">
        <f>IF(B35&lt;&gt;"LOQ","",IFERROR(ROUND(STDEV(E34:E39)/AVERAGE(E34:E39)*100,2),""))</f>
        <v/>
      </c>
    </row>
    <row r="36" ht="22" customHeight="1">
      <c r="A36" s="6" t="inlineStr">
        <is>
          <t>IMP-04</t>
        </is>
      </c>
      <c r="B36" s="6" t="inlineStr">
        <is>
          <t>LOQ</t>
        </is>
      </c>
      <c r="C36" s="6" t="n">
        <v>3</v>
      </c>
      <c r="D36" s="7" t="n"/>
      <c r="E36" s="7" t="n"/>
      <c r="F36" s="7" t="n"/>
      <c r="G36" s="9">
        <f>IFERROR(ROUND(F36/VLOOKUP(A36,'杂质清单'!$A$4:$F$13,6,FALSE),2),"")</f>
        <v/>
      </c>
      <c r="H36" s="9">
        <f>IFERROR(ROUND(G36/VLOOKUP(A36,'杂质清单'!$A$4:$F$13,4,FALSE)*100,2),"")</f>
        <v/>
      </c>
      <c r="I36" s="9">
        <f>IF(B36&lt;&gt;"LOQ","",IFERROR(ROUND(STDEV(E34:E39)/AVERAGE(E34:E39)*100,2),""))</f>
        <v/>
      </c>
    </row>
    <row r="37" ht="22" customHeight="1">
      <c r="A37" s="6" t="inlineStr">
        <is>
          <t>IMP-04</t>
        </is>
      </c>
      <c r="B37" s="6" t="inlineStr">
        <is>
          <t>LOQ</t>
        </is>
      </c>
      <c r="C37" s="6" t="n">
        <v>4</v>
      </c>
      <c r="D37" s="7" t="n"/>
      <c r="E37" s="7" t="n"/>
      <c r="F37" s="7" t="n"/>
      <c r="G37" s="9">
        <f>IFERROR(ROUND(F37/VLOOKUP(A37,'杂质清单'!$A$4:$F$13,6,FALSE),2),"")</f>
        <v/>
      </c>
      <c r="H37" s="9">
        <f>IFERROR(ROUND(G37/VLOOKUP(A37,'杂质清单'!$A$4:$F$13,4,FALSE)*100,2),"")</f>
        <v/>
      </c>
      <c r="I37" s="9">
        <f>IF(B37&lt;&gt;"LOQ","",IFERROR(ROUND(STDEV(E34:E39)/AVERAGE(E34:E39)*100,2),""))</f>
        <v/>
      </c>
    </row>
    <row r="38" ht="22" customHeight="1">
      <c r="A38" s="6" t="inlineStr">
        <is>
          <t>IMP-04</t>
        </is>
      </c>
      <c r="B38" s="6" t="inlineStr">
        <is>
          <t>LOQ</t>
        </is>
      </c>
      <c r="C38" s="6" t="n">
        <v>5</v>
      </c>
      <c r="D38" s="7" t="n"/>
      <c r="E38" s="7" t="n"/>
      <c r="F38" s="7" t="n"/>
      <c r="G38" s="9">
        <f>IFERROR(ROUND(F38/VLOOKUP(A38,'杂质清单'!$A$4:$F$13,6,FALSE),2),"")</f>
        <v/>
      </c>
      <c r="H38" s="9">
        <f>IFERROR(ROUND(G38/VLOOKUP(A38,'杂质清单'!$A$4:$F$13,4,FALSE)*100,2),"")</f>
        <v/>
      </c>
      <c r="I38" s="9">
        <f>IF(B38&lt;&gt;"LOQ","",IFERROR(ROUND(STDEV(E34:E39)/AVERAGE(E34:E39)*100,2),""))</f>
        <v/>
      </c>
    </row>
    <row r="39" ht="22" customHeight="1">
      <c r="A39" s="6" t="inlineStr">
        <is>
          <t>IMP-04</t>
        </is>
      </c>
      <c r="B39" s="6" t="inlineStr">
        <is>
          <t>LOQ</t>
        </is>
      </c>
      <c r="C39" s="6" t="n">
        <v>6</v>
      </c>
      <c r="D39" s="7" t="n"/>
      <c r="E39" s="7" t="n"/>
      <c r="F39" s="7" t="n"/>
      <c r="G39" s="9">
        <f>IFERROR(ROUND(F39/VLOOKUP(A39,'杂质清单'!$A$4:$F$13,6,FALSE),2),"")</f>
        <v/>
      </c>
      <c r="H39" s="9">
        <f>IFERROR(ROUND(G39/VLOOKUP(A39,'杂质清单'!$A$4:$F$13,4,FALSE)*100,2),"")</f>
        <v/>
      </c>
      <c r="I39" s="9">
        <f>IF(B39&lt;&gt;"LOQ","",IFERROR(ROUND(STDEV(E34:E39)/AVERAGE(E34:E39)*100,2),""))</f>
        <v/>
      </c>
    </row>
    <row r="40" ht="22" customHeight="1">
      <c r="A40" s="6" t="inlineStr">
        <is>
          <t>IMP-05</t>
        </is>
      </c>
      <c r="B40" s="6" t="inlineStr">
        <is>
          <t>LOD</t>
        </is>
      </c>
      <c r="C40" s="6" t="n">
        <v>1</v>
      </c>
      <c r="D40" s="7" t="n"/>
      <c r="E40" s="7" t="n"/>
      <c r="F40" s="7" t="n"/>
      <c r="G40" s="9">
        <f>IFERROR(ROUND(F40/VLOOKUP(A40,'杂质清单'!$A$4:$F$13,6,FALSE),2),"")</f>
        <v/>
      </c>
      <c r="H40" s="9">
        <f>IFERROR(ROUND(G40/VLOOKUP(A40,'杂质清单'!$A$4:$F$13,4,FALSE)*100,2),"")</f>
        <v/>
      </c>
      <c r="I40" s="9">
        <f>IF(B40&lt;&gt;"LOQ","",IFERROR(ROUND(STDEV(E43:E48)/AVERAGE(E43:E48)*100,2),""))</f>
        <v/>
      </c>
    </row>
    <row r="41" ht="22" customHeight="1">
      <c r="A41" s="6" t="inlineStr">
        <is>
          <t>IMP-05</t>
        </is>
      </c>
      <c r="B41" s="6" t="inlineStr">
        <is>
          <t>LOD</t>
        </is>
      </c>
      <c r="C41" s="6" t="n">
        <v>2</v>
      </c>
      <c r="D41" s="7" t="n"/>
      <c r="E41" s="7" t="n"/>
      <c r="F41" s="7" t="n"/>
      <c r="G41" s="9">
        <f>IFERROR(ROUND(F41/VLOOKUP(A41,'杂质清单'!$A$4:$F$13,6,FALSE),2),"")</f>
        <v/>
      </c>
      <c r="H41" s="9">
        <f>IFERROR(ROUND(G41/VLOOKUP(A41,'杂质清单'!$A$4:$F$13,4,FALSE)*100,2),"")</f>
        <v/>
      </c>
      <c r="I41" s="9">
        <f>IF(B41&lt;&gt;"LOQ","",IFERROR(ROUND(STDEV(E43:E48)/AVERAGE(E43:E48)*100,2),""))</f>
        <v/>
      </c>
    </row>
    <row r="42" ht="22" customHeight="1">
      <c r="A42" s="6" t="inlineStr">
        <is>
          <t>IMP-05</t>
        </is>
      </c>
      <c r="B42" s="6" t="inlineStr">
        <is>
          <t>LOD</t>
        </is>
      </c>
      <c r="C42" s="6" t="n">
        <v>3</v>
      </c>
      <c r="D42" s="7" t="n"/>
      <c r="E42" s="7" t="n"/>
      <c r="F42" s="7" t="n"/>
      <c r="G42" s="9">
        <f>IFERROR(ROUND(F42/VLOOKUP(A42,'杂质清单'!$A$4:$F$13,6,FALSE),2),"")</f>
        <v/>
      </c>
      <c r="H42" s="9">
        <f>IFERROR(ROUND(G42/VLOOKUP(A42,'杂质清单'!$A$4:$F$13,4,FALSE)*100,2),"")</f>
        <v/>
      </c>
      <c r="I42" s="9">
        <f>IF(B42&lt;&gt;"LOQ","",IFERROR(ROUND(STDEV(E43:E48)/AVERAGE(E43:E48)*100,2),""))</f>
        <v/>
      </c>
    </row>
    <row r="43" ht="22" customHeight="1">
      <c r="A43" s="6" t="inlineStr">
        <is>
          <t>IMP-05</t>
        </is>
      </c>
      <c r="B43" s="6" t="inlineStr">
        <is>
          <t>LOQ</t>
        </is>
      </c>
      <c r="C43" s="6" t="n">
        <v>1</v>
      </c>
      <c r="D43" s="7" t="n"/>
      <c r="E43" s="7" t="n"/>
      <c r="F43" s="7" t="n"/>
      <c r="G43" s="9">
        <f>IFERROR(ROUND(F43/VLOOKUP(A43,'杂质清单'!$A$4:$F$13,6,FALSE),2),"")</f>
        <v/>
      </c>
      <c r="H43" s="9">
        <f>IFERROR(ROUND(G43/VLOOKUP(A43,'杂质清单'!$A$4:$F$13,4,FALSE)*100,2),"")</f>
        <v/>
      </c>
      <c r="I43" s="9">
        <f>IF(B43&lt;&gt;"LOQ","",IFERROR(ROUND(STDEV(E43:E48)/AVERAGE(E43:E48)*100,2),""))</f>
        <v/>
      </c>
    </row>
    <row r="44" ht="22" customHeight="1">
      <c r="A44" s="6" t="inlineStr">
        <is>
          <t>IMP-05</t>
        </is>
      </c>
      <c r="B44" s="6" t="inlineStr">
        <is>
          <t>LOQ</t>
        </is>
      </c>
      <c r="C44" s="6" t="n">
        <v>2</v>
      </c>
      <c r="D44" s="7" t="n"/>
      <c r="E44" s="7" t="n"/>
      <c r="F44" s="7" t="n"/>
      <c r="G44" s="9">
        <f>IFERROR(ROUND(F44/VLOOKUP(A44,'杂质清单'!$A$4:$F$13,6,FALSE),2),"")</f>
        <v/>
      </c>
      <c r="H44" s="9">
        <f>IFERROR(ROUND(G44/VLOOKUP(A44,'杂质清单'!$A$4:$F$13,4,FALSE)*100,2),"")</f>
        <v/>
      </c>
      <c r="I44" s="9">
        <f>IF(B44&lt;&gt;"LOQ","",IFERROR(ROUND(STDEV(E43:E48)/AVERAGE(E43:E48)*100,2),""))</f>
        <v/>
      </c>
    </row>
    <row r="45" ht="22" customHeight="1">
      <c r="A45" s="6" t="inlineStr">
        <is>
          <t>IMP-05</t>
        </is>
      </c>
      <c r="B45" s="6" t="inlineStr">
        <is>
          <t>LOQ</t>
        </is>
      </c>
      <c r="C45" s="6" t="n">
        <v>3</v>
      </c>
      <c r="D45" s="7" t="n"/>
      <c r="E45" s="7" t="n"/>
      <c r="F45" s="7" t="n"/>
      <c r="G45" s="9">
        <f>IFERROR(ROUND(F45/VLOOKUP(A45,'杂质清单'!$A$4:$F$13,6,FALSE),2),"")</f>
        <v/>
      </c>
      <c r="H45" s="9">
        <f>IFERROR(ROUND(G45/VLOOKUP(A45,'杂质清单'!$A$4:$F$13,4,FALSE)*100,2),"")</f>
        <v/>
      </c>
      <c r="I45" s="9">
        <f>IF(B45&lt;&gt;"LOQ","",IFERROR(ROUND(STDEV(E43:E48)/AVERAGE(E43:E48)*100,2),""))</f>
        <v/>
      </c>
    </row>
    <row r="46" ht="22" customHeight="1">
      <c r="A46" s="6" t="inlineStr">
        <is>
          <t>IMP-05</t>
        </is>
      </c>
      <c r="B46" s="6" t="inlineStr">
        <is>
          <t>LOQ</t>
        </is>
      </c>
      <c r="C46" s="6" t="n">
        <v>4</v>
      </c>
      <c r="D46" s="7" t="n"/>
      <c r="E46" s="7" t="n"/>
      <c r="F46" s="7" t="n"/>
      <c r="G46" s="9">
        <f>IFERROR(ROUND(F46/VLOOKUP(A46,'杂质清单'!$A$4:$F$13,6,FALSE),2),"")</f>
        <v/>
      </c>
      <c r="H46" s="9">
        <f>IFERROR(ROUND(G46/VLOOKUP(A46,'杂质清单'!$A$4:$F$13,4,FALSE)*100,2),"")</f>
        <v/>
      </c>
      <c r="I46" s="9">
        <f>IF(B46&lt;&gt;"LOQ","",IFERROR(ROUND(STDEV(E43:E48)/AVERAGE(E43:E48)*100,2),""))</f>
        <v/>
      </c>
    </row>
    <row r="47" ht="22" customHeight="1">
      <c r="A47" s="6" t="inlineStr">
        <is>
          <t>IMP-05</t>
        </is>
      </c>
      <c r="B47" s="6" t="inlineStr">
        <is>
          <t>LOQ</t>
        </is>
      </c>
      <c r="C47" s="6" t="n">
        <v>5</v>
      </c>
      <c r="D47" s="7" t="n"/>
      <c r="E47" s="7" t="n"/>
      <c r="F47" s="7" t="n"/>
      <c r="G47" s="9">
        <f>IFERROR(ROUND(F47/VLOOKUP(A47,'杂质清单'!$A$4:$F$13,6,FALSE),2),"")</f>
        <v/>
      </c>
      <c r="H47" s="9">
        <f>IFERROR(ROUND(G47/VLOOKUP(A47,'杂质清单'!$A$4:$F$13,4,FALSE)*100,2),"")</f>
        <v/>
      </c>
      <c r="I47" s="9">
        <f>IF(B47&lt;&gt;"LOQ","",IFERROR(ROUND(STDEV(E43:E48)/AVERAGE(E43:E48)*100,2),""))</f>
        <v/>
      </c>
    </row>
    <row r="48" ht="22" customHeight="1">
      <c r="A48" s="6" t="inlineStr">
        <is>
          <t>IMP-05</t>
        </is>
      </c>
      <c r="B48" s="6" t="inlineStr">
        <is>
          <t>LOQ</t>
        </is>
      </c>
      <c r="C48" s="6" t="n">
        <v>6</v>
      </c>
      <c r="D48" s="7" t="n"/>
      <c r="E48" s="7" t="n"/>
      <c r="F48" s="7" t="n"/>
      <c r="G48" s="9">
        <f>IFERROR(ROUND(F48/VLOOKUP(A48,'杂质清单'!$A$4:$F$13,6,FALSE),2),"")</f>
        <v/>
      </c>
      <c r="H48" s="9">
        <f>IFERROR(ROUND(G48/VLOOKUP(A48,'杂质清单'!$A$4:$F$13,4,FALSE)*100,2),"")</f>
        <v/>
      </c>
      <c r="I48" s="9">
        <f>IF(B48&lt;&gt;"LOQ","",IFERROR(ROUND(STDEV(E43:E48)/AVERAGE(E43:E48)*100,2),""))</f>
        <v/>
      </c>
    </row>
    <row r="49" ht="22" customHeight="1">
      <c r="A49" s="6" t="inlineStr">
        <is>
          <t>IMP-06</t>
        </is>
      </c>
      <c r="B49" s="6" t="inlineStr">
        <is>
          <t>LOD</t>
        </is>
      </c>
      <c r="C49" s="6" t="n">
        <v>1</v>
      </c>
      <c r="D49" s="7" t="n"/>
      <c r="E49" s="7" t="n"/>
      <c r="F49" s="7" t="n"/>
      <c r="G49" s="9">
        <f>IFERROR(ROUND(F49/VLOOKUP(A49,'杂质清单'!$A$4:$F$13,6,FALSE),2),"")</f>
        <v/>
      </c>
      <c r="H49" s="9">
        <f>IFERROR(ROUND(G49/VLOOKUP(A49,'杂质清单'!$A$4:$F$13,4,FALSE)*100,2),"")</f>
        <v/>
      </c>
      <c r="I49" s="9">
        <f>IF(B49&lt;&gt;"LOQ","",IFERROR(ROUND(STDEV(E52:E57)/AVERAGE(E52:E57)*100,2),""))</f>
        <v/>
      </c>
    </row>
    <row r="50" ht="22" customHeight="1">
      <c r="A50" s="6" t="inlineStr">
        <is>
          <t>IMP-06</t>
        </is>
      </c>
      <c r="B50" s="6" t="inlineStr">
        <is>
          <t>LOD</t>
        </is>
      </c>
      <c r="C50" s="6" t="n">
        <v>2</v>
      </c>
      <c r="D50" s="7" t="n"/>
      <c r="E50" s="7" t="n"/>
      <c r="F50" s="7" t="n"/>
      <c r="G50" s="9">
        <f>IFERROR(ROUND(F50/VLOOKUP(A50,'杂质清单'!$A$4:$F$13,6,FALSE),2),"")</f>
        <v/>
      </c>
      <c r="H50" s="9">
        <f>IFERROR(ROUND(G50/VLOOKUP(A50,'杂质清单'!$A$4:$F$13,4,FALSE)*100,2),"")</f>
        <v/>
      </c>
      <c r="I50" s="9">
        <f>IF(B50&lt;&gt;"LOQ","",IFERROR(ROUND(STDEV(E52:E57)/AVERAGE(E52:E57)*100,2),""))</f>
        <v/>
      </c>
    </row>
    <row r="51" ht="22" customHeight="1">
      <c r="A51" s="6" t="inlineStr">
        <is>
          <t>IMP-06</t>
        </is>
      </c>
      <c r="B51" s="6" t="inlineStr">
        <is>
          <t>LOD</t>
        </is>
      </c>
      <c r="C51" s="6" t="n">
        <v>3</v>
      </c>
      <c r="D51" s="7" t="n"/>
      <c r="E51" s="7" t="n"/>
      <c r="F51" s="7" t="n"/>
      <c r="G51" s="9">
        <f>IFERROR(ROUND(F51/VLOOKUP(A51,'杂质清单'!$A$4:$F$13,6,FALSE),2),"")</f>
        <v/>
      </c>
      <c r="H51" s="9">
        <f>IFERROR(ROUND(G51/VLOOKUP(A51,'杂质清单'!$A$4:$F$13,4,FALSE)*100,2),"")</f>
        <v/>
      </c>
      <c r="I51" s="9">
        <f>IF(B51&lt;&gt;"LOQ","",IFERROR(ROUND(STDEV(E52:E57)/AVERAGE(E52:E57)*100,2),""))</f>
        <v/>
      </c>
    </row>
    <row r="52" ht="22" customHeight="1">
      <c r="A52" s="6" t="inlineStr">
        <is>
          <t>IMP-06</t>
        </is>
      </c>
      <c r="B52" s="6" t="inlineStr">
        <is>
          <t>LOQ</t>
        </is>
      </c>
      <c r="C52" s="6" t="n">
        <v>1</v>
      </c>
      <c r="D52" s="7" t="n"/>
      <c r="E52" s="7" t="n"/>
      <c r="F52" s="7" t="n"/>
      <c r="G52" s="9">
        <f>IFERROR(ROUND(F52/VLOOKUP(A52,'杂质清单'!$A$4:$F$13,6,FALSE),2),"")</f>
        <v/>
      </c>
      <c r="H52" s="9">
        <f>IFERROR(ROUND(G52/VLOOKUP(A52,'杂质清单'!$A$4:$F$13,4,FALSE)*100,2),"")</f>
        <v/>
      </c>
      <c r="I52" s="9">
        <f>IF(B52&lt;&gt;"LOQ","",IFERROR(ROUND(STDEV(E52:E57)/AVERAGE(E52:E57)*100,2),""))</f>
        <v/>
      </c>
    </row>
    <row r="53" ht="22" customHeight="1">
      <c r="A53" s="6" t="inlineStr">
        <is>
          <t>IMP-06</t>
        </is>
      </c>
      <c r="B53" s="6" t="inlineStr">
        <is>
          <t>LOQ</t>
        </is>
      </c>
      <c r="C53" s="6" t="n">
        <v>2</v>
      </c>
      <c r="D53" s="7" t="n"/>
      <c r="E53" s="7" t="n"/>
      <c r="F53" s="7" t="n"/>
      <c r="G53" s="9">
        <f>IFERROR(ROUND(F53/VLOOKUP(A53,'杂质清单'!$A$4:$F$13,6,FALSE),2),"")</f>
        <v/>
      </c>
      <c r="H53" s="9">
        <f>IFERROR(ROUND(G53/VLOOKUP(A53,'杂质清单'!$A$4:$F$13,4,FALSE)*100,2),"")</f>
        <v/>
      </c>
      <c r="I53" s="9">
        <f>IF(B53&lt;&gt;"LOQ","",IFERROR(ROUND(STDEV(E52:E57)/AVERAGE(E52:E57)*100,2),""))</f>
        <v/>
      </c>
    </row>
    <row r="54" ht="22" customHeight="1">
      <c r="A54" s="6" t="inlineStr">
        <is>
          <t>IMP-06</t>
        </is>
      </c>
      <c r="B54" s="6" t="inlineStr">
        <is>
          <t>LOQ</t>
        </is>
      </c>
      <c r="C54" s="6" t="n">
        <v>3</v>
      </c>
      <c r="D54" s="7" t="n"/>
      <c r="E54" s="7" t="n"/>
      <c r="F54" s="7" t="n"/>
      <c r="G54" s="9">
        <f>IFERROR(ROUND(F54/VLOOKUP(A54,'杂质清单'!$A$4:$F$13,6,FALSE),2),"")</f>
        <v/>
      </c>
      <c r="H54" s="9">
        <f>IFERROR(ROUND(G54/VLOOKUP(A54,'杂质清单'!$A$4:$F$13,4,FALSE)*100,2),"")</f>
        <v/>
      </c>
      <c r="I54" s="9">
        <f>IF(B54&lt;&gt;"LOQ","",IFERROR(ROUND(STDEV(E52:E57)/AVERAGE(E52:E57)*100,2),""))</f>
        <v/>
      </c>
    </row>
    <row r="55" ht="22" customHeight="1">
      <c r="A55" s="6" t="inlineStr">
        <is>
          <t>IMP-06</t>
        </is>
      </c>
      <c r="B55" s="6" t="inlineStr">
        <is>
          <t>LOQ</t>
        </is>
      </c>
      <c r="C55" s="6" t="n">
        <v>4</v>
      </c>
      <c r="D55" s="7" t="n"/>
      <c r="E55" s="7" t="n"/>
      <c r="F55" s="7" t="n"/>
      <c r="G55" s="9">
        <f>IFERROR(ROUND(F55/VLOOKUP(A55,'杂质清单'!$A$4:$F$13,6,FALSE),2),"")</f>
        <v/>
      </c>
      <c r="H55" s="9">
        <f>IFERROR(ROUND(G55/VLOOKUP(A55,'杂质清单'!$A$4:$F$13,4,FALSE)*100,2),"")</f>
        <v/>
      </c>
      <c r="I55" s="9">
        <f>IF(B55&lt;&gt;"LOQ","",IFERROR(ROUND(STDEV(E52:E57)/AVERAGE(E52:E57)*100,2),""))</f>
        <v/>
      </c>
    </row>
    <row r="56" ht="22" customHeight="1">
      <c r="A56" s="6" t="inlineStr">
        <is>
          <t>IMP-06</t>
        </is>
      </c>
      <c r="B56" s="6" t="inlineStr">
        <is>
          <t>LOQ</t>
        </is>
      </c>
      <c r="C56" s="6" t="n">
        <v>5</v>
      </c>
      <c r="D56" s="7" t="n"/>
      <c r="E56" s="7" t="n"/>
      <c r="F56" s="7" t="n"/>
      <c r="G56" s="9">
        <f>IFERROR(ROUND(F56/VLOOKUP(A56,'杂质清单'!$A$4:$F$13,6,FALSE),2),"")</f>
        <v/>
      </c>
      <c r="H56" s="9">
        <f>IFERROR(ROUND(G56/VLOOKUP(A56,'杂质清单'!$A$4:$F$13,4,FALSE)*100,2),"")</f>
        <v/>
      </c>
      <c r="I56" s="9">
        <f>IF(B56&lt;&gt;"LOQ","",IFERROR(ROUND(STDEV(E52:E57)/AVERAGE(E52:E57)*100,2),""))</f>
        <v/>
      </c>
    </row>
    <row r="57" ht="22" customHeight="1">
      <c r="A57" s="6" t="inlineStr">
        <is>
          <t>IMP-06</t>
        </is>
      </c>
      <c r="B57" s="6" t="inlineStr">
        <is>
          <t>LOQ</t>
        </is>
      </c>
      <c r="C57" s="6" t="n">
        <v>6</v>
      </c>
      <c r="D57" s="7" t="n"/>
      <c r="E57" s="7" t="n"/>
      <c r="F57" s="7" t="n"/>
      <c r="G57" s="9">
        <f>IFERROR(ROUND(F57/VLOOKUP(A57,'杂质清单'!$A$4:$F$13,6,FALSE),2),"")</f>
        <v/>
      </c>
      <c r="H57" s="9">
        <f>IFERROR(ROUND(G57/VLOOKUP(A57,'杂质清单'!$A$4:$F$13,4,FALSE)*100,2),"")</f>
        <v/>
      </c>
      <c r="I57" s="9">
        <f>IF(B57&lt;&gt;"LOQ","",IFERROR(ROUND(STDEV(E52:E57)/AVERAGE(E52:E57)*100,2),""))</f>
        <v/>
      </c>
    </row>
    <row r="58" ht="22" customHeight="1">
      <c r="A58" s="6" t="inlineStr">
        <is>
          <t>IMP-07</t>
        </is>
      </c>
      <c r="B58" s="6" t="inlineStr">
        <is>
          <t>LOD</t>
        </is>
      </c>
      <c r="C58" s="6" t="n">
        <v>1</v>
      </c>
      <c r="D58" s="7" t="n"/>
      <c r="E58" s="7" t="n"/>
      <c r="F58" s="7" t="n"/>
      <c r="G58" s="9">
        <f>IFERROR(ROUND(F58/VLOOKUP(A58,'杂质清单'!$A$4:$F$13,6,FALSE),2),"")</f>
        <v/>
      </c>
      <c r="H58" s="9">
        <f>IFERROR(ROUND(G58/VLOOKUP(A58,'杂质清单'!$A$4:$F$13,4,FALSE)*100,2),"")</f>
        <v/>
      </c>
      <c r="I58" s="9">
        <f>IF(B58&lt;&gt;"LOQ","",IFERROR(ROUND(STDEV(E61:E66)/AVERAGE(E61:E66)*100,2),""))</f>
        <v/>
      </c>
    </row>
    <row r="59" ht="22" customHeight="1">
      <c r="A59" s="6" t="inlineStr">
        <is>
          <t>IMP-07</t>
        </is>
      </c>
      <c r="B59" s="6" t="inlineStr">
        <is>
          <t>LOD</t>
        </is>
      </c>
      <c r="C59" s="6" t="n">
        <v>2</v>
      </c>
      <c r="D59" s="7" t="n"/>
      <c r="E59" s="7" t="n"/>
      <c r="F59" s="7" t="n"/>
      <c r="G59" s="9">
        <f>IFERROR(ROUND(F59/VLOOKUP(A59,'杂质清单'!$A$4:$F$13,6,FALSE),2),"")</f>
        <v/>
      </c>
      <c r="H59" s="9">
        <f>IFERROR(ROUND(G59/VLOOKUP(A59,'杂质清单'!$A$4:$F$13,4,FALSE)*100,2),"")</f>
        <v/>
      </c>
      <c r="I59" s="9">
        <f>IF(B59&lt;&gt;"LOQ","",IFERROR(ROUND(STDEV(E61:E66)/AVERAGE(E61:E66)*100,2),""))</f>
        <v/>
      </c>
    </row>
    <row r="60" ht="22" customHeight="1">
      <c r="A60" s="6" t="inlineStr">
        <is>
          <t>IMP-07</t>
        </is>
      </c>
      <c r="B60" s="6" t="inlineStr">
        <is>
          <t>LOD</t>
        </is>
      </c>
      <c r="C60" s="6" t="n">
        <v>3</v>
      </c>
      <c r="D60" s="7" t="n"/>
      <c r="E60" s="7" t="n"/>
      <c r="F60" s="7" t="n"/>
      <c r="G60" s="9">
        <f>IFERROR(ROUND(F60/VLOOKUP(A60,'杂质清单'!$A$4:$F$13,6,FALSE),2),"")</f>
        <v/>
      </c>
      <c r="H60" s="9">
        <f>IFERROR(ROUND(G60/VLOOKUP(A60,'杂质清单'!$A$4:$F$13,4,FALSE)*100,2),"")</f>
        <v/>
      </c>
      <c r="I60" s="9">
        <f>IF(B60&lt;&gt;"LOQ","",IFERROR(ROUND(STDEV(E61:E66)/AVERAGE(E61:E66)*100,2),""))</f>
        <v/>
      </c>
    </row>
    <row r="61" ht="22" customHeight="1">
      <c r="A61" s="6" t="inlineStr">
        <is>
          <t>IMP-07</t>
        </is>
      </c>
      <c r="B61" s="6" t="inlineStr">
        <is>
          <t>LOQ</t>
        </is>
      </c>
      <c r="C61" s="6" t="n">
        <v>1</v>
      </c>
      <c r="D61" s="7" t="n"/>
      <c r="E61" s="7" t="n"/>
      <c r="F61" s="7" t="n"/>
      <c r="G61" s="9">
        <f>IFERROR(ROUND(F61/VLOOKUP(A61,'杂质清单'!$A$4:$F$13,6,FALSE),2),"")</f>
        <v/>
      </c>
      <c r="H61" s="9">
        <f>IFERROR(ROUND(G61/VLOOKUP(A61,'杂质清单'!$A$4:$F$13,4,FALSE)*100,2),"")</f>
        <v/>
      </c>
      <c r="I61" s="9">
        <f>IF(B61&lt;&gt;"LOQ","",IFERROR(ROUND(STDEV(E61:E66)/AVERAGE(E61:E66)*100,2),""))</f>
        <v/>
      </c>
    </row>
    <row r="62" ht="22" customHeight="1">
      <c r="A62" s="6" t="inlineStr">
        <is>
          <t>IMP-07</t>
        </is>
      </c>
      <c r="B62" s="6" t="inlineStr">
        <is>
          <t>LOQ</t>
        </is>
      </c>
      <c r="C62" s="6" t="n">
        <v>2</v>
      </c>
      <c r="D62" s="7" t="n"/>
      <c r="E62" s="7" t="n"/>
      <c r="F62" s="7" t="n"/>
      <c r="G62" s="9">
        <f>IFERROR(ROUND(F62/VLOOKUP(A62,'杂质清单'!$A$4:$F$13,6,FALSE),2),"")</f>
        <v/>
      </c>
      <c r="H62" s="9">
        <f>IFERROR(ROUND(G62/VLOOKUP(A62,'杂质清单'!$A$4:$F$13,4,FALSE)*100,2),"")</f>
        <v/>
      </c>
      <c r="I62" s="9">
        <f>IF(B62&lt;&gt;"LOQ","",IFERROR(ROUND(STDEV(E61:E66)/AVERAGE(E61:E66)*100,2),""))</f>
        <v/>
      </c>
    </row>
    <row r="63" ht="22" customHeight="1">
      <c r="A63" s="6" t="inlineStr">
        <is>
          <t>IMP-07</t>
        </is>
      </c>
      <c r="B63" s="6" t="inlineStr">
        <is>
          <t>LOQ</t>
        </is>
      </c>
      <c r="C63" s="6" t="n">
        <v>3</v>
      </c>
      <c r="D63" s="7" t="n"/>
      <c r="E63" s="7" t="n"/>
      <c r="F63" s="7" t="n"/>
      <c r="G63" s="9">
        <f>IFERROR(ROUND(F63/VLOOKUP(A63,'杂质清单'!$A$4:$F$13,6,FALSE),2),"")</f>
        <v/>
      </c>
      <c r="H63" s="9">
        <f>IFERROR(ROUND(G63/VLOOKUP(A63,'杂质清单'!$A$4:$F$13,4,FALSE)*100,2),"")</f>
        <v/>
      </c>
      <c r="I63" s="9">
        <f>IF(B63&lt;&gt;"LOQ","",IFERROR(ROUND(STDEV(E61:E66)/AVERAGE(E61:E66)*100,2),""))</f>
        <v/>
      </c>
    </row>
    <row r="64" ht="22" customHeight="1">
      <c r="A64" s="6" t="inlineStr">
        <is>
          <t>IMP-07</t>
        </is>
      </c>
      <c r="B64" s="6" t="inlineStr">
        <is>
          <t>LOQ</t>
        </is>
      </c>
      <c r="C64" s="6" t="n">
        <v>4</v>
      </c>
      <c r="D64" s="7" t="n"/>
      <c r="E64" s="7" t="n"/>
      <c r="F64" s="7" t="n"/>
      <c r="G64" s="9">
        <f>IFERROR(ROUND(F64/VLOOKUP(A64,'杂质清单'!$A$4:$F$13,6,FALSE),2),"")</f>
        <v/>
      </c>
      <c r="H64" s="9">
        <f>IFERROR(ROUND(G64/VLOOKUP(A64,'杂质清单'!$A$4:$F$13,4,FALSE)*100,2),"")</f>
        <v/>
      </c>
      <c r="I64" s="9">
        <f>IF(B64&lt;&gt;"LOQ","",IFERROR(ROUND(STDEV(E61:E66)/AVERAGE(E61:E66)*100,2),""))</f>
        <v/>
      </c>
    </row>
    <row r="65" ht="22" customHeight="1">
      <c r="A65" s="6" t="inlineStr">
        <is>
          <t>IMP-07</t>
        </is>
      </c>
      <c r="B65" s="6" t="inlineStr">
        <is>
          <t>LOQ</t>
        </is>
      </c>
      <c r="C65" s="6" t="n">
        <v>5</v>
      </c>
      <c r="D65" s="7" t="n"/>
      <c r="E65" s="7" t="n"/>
      <c r="F65" s="7" t="n"/>
      <c r="G65" s="9">
        <f>IFERROR(ROUND(F65/VLOOKUP(A65,'杂质清单'!$A$4:$F$13,6,FALSE),2),"")</f>
        <v/>
      </c>
      <c r="H65" s="9">
        <f>IFERROR(ROUND(G65/VLOOKUP(A65,'杂质清单'!$A$4:$F$13,4,FALSE)*100,2),"")</f>
        <v/>
      </c>
      <c r="I65" s="9">
        <f>IF(B65&lt;&gt;"LOQ","",IFERROR(ROUND(STDEV(E61:E66)/AVERAGE(E61:E66)*100,2),""))</f>
        <v/>
      </c>
    </row>
    <row r="66" ht="22" customHeight="1">
      <c r="A66" s="6" t="inlineStr">
        <is>
          <t>IMP-07</t>
        </is>
      </c>
      <c r="B66" s="6" t="inlineStr">
        <is>
          <t>LOQ</t>
        </is>
      </c>
      <c r="C66" s="6" t="n">
        <v>6</v>
      </c>
      <c r="D66" s="7" t="n"/>
      <c r="E66" s="7" t="n"/>
      <c r="F66" s="7" t="n"/>
      <c r="G66" s="9">
        <f>IFERROR(ROUND(F66/VLOOKUP(A66,'杂质清单'!$A$4:$F$13,6,FALSE),2),"")</f>
        <v/>
      </c>
      <c r="H66" s="9">
        <f>IFERROR(ROUND(G66/VLOOKUP(A66,'杂质清单'!$A$4:$F$13,4,FALSE)*100,2),"")</f>
        <v/>
      </c>
      <c r="I66" s="9">
        <f>IF(B66&lt;&gt;"LOQ","",IFERROR(ROUND(STDEV(E61:E66)/AVERAGE(E61:E66)*100,2),""))</f>
        <v/>
      </c>
    </row>
    <row r="67" ht="22" customHeight="1">
      <c r="A67" s="6" t="inlineStr">
        <is>
          <t>IMP-08</t>
        </is>
      </c>
      <c r="B67" s="6" t="inlineStr">
        <is>
          <t>LOD</t>
        </is>
      </c>
      <c r="C67" s="6" t="n">
        <v>1</v>
      </c>
      <c r="D67" s="7" t="n"/>
      <c r="E67" s="7" t="n"/>
      <c r="F67" s="7" t="n"/>
      <c r="G67" s="9">
        <f>IFERROR(ROUND(F67/VLOOKUP(A67,'杂质清单'!$A$4:$F$13,6,FALSE),2),"")</f>
        <v/>
      </c>
      <c r="H67" s="9">
        <f>IFERROR(ROUND(G67/VLOOKUP(A67,'杂质清单'!$A$4:$F$13,4,FALSE)*100,2),"")</f>
        <v/>
      </c>
      <c r="I67" s="9">
        <f>IF(B67&lt;&gt;"LOQ","",IFERROR(ROUND(STDEV(E70:E75)/AVERAGE(E70:E75)*100,2),""))</f>
        <v/>
      </c>
    </row>
    <row r="68" ht="22" customHeight="1">
      <c r="A68" s="6" t="inlineStr">
        <is>
          <t>IMP-08</t>
        </is>
      </c>
      <c r="B68" s="6" t="inlineStr">
        <is>
          <t>LOD</t>
        </is>
      </c>
      <c r="C68" s="6" t="n">
        <v>2</v>
      </c>
      <c r="D68" s="7" t="n"/>
      <c r="E68" s="7" t="n"/>
      <c r="F68" s="7" t="n"/>
      <c r="G68" s="9">
        <f>IFERROR(ROUND(F68/VLOOKUP(A68,'杂质清单'!$A$4:$F$13,6,FALSE),2),"")</f>
        <v/>
      </c>
      <c r="H68" s="9">
        <f>IFERROR(ROUND(G68/VLOOKUP(A68,'杂质清单'!$A$4:$F$13,4,FALSE)*100,2),"")</f>
        <v/>
      </c>
      <c r="I68" s="9">
        <f>IF(B68&lt;&gt;"LOQ","",IFERROR(ROUND(STDEV(E70:E75)/AVERAGE(E70:E75)*100,2),""))</f>
        <v/>
      </c>
    </row>
    <row r="69" ht="22" customHeight="1">
      <c r="A69" s="6" t="inlineStr">
        <is>
          <t>IMP-08</t>
        </is>
      </c>
      <c r="B69" s="6" t="inlineStr">
        <is>
          <t>LOD</t>
        </is>
      </c>
      <c r="C69" s="6" t="n">
        <v>3</v>
      </c>
      <c r="D69" s="7" t="n"/>
      <c r="E69" s="7" t="n"/>
      <c r="F69" s="7" t="n"/>
      <c r="G69" s="9">
        <f>IFERROR(ROUND(F69/VLOOKUP(A69,'杂质清单'!$A$4:$F$13,6,FALSE),2),"")</f>
        <v/>
      </c>
      <c r="H69" s="9">
        <f>IFERROR(ROUND(G69/VLOOKUP(A69,'杂质清单'!$A$4:$F$13,4,FALSE)*100,2),"")</f>
        <v/>
      </c>
      <c r="I69" s="9">
        <f>IF(B69&lt;&gt;"LOQ","",IFERROR(ROUND(STDEV(E70:E75)/AVERAGE(E70:E75)*100,2),""))</f>
        <v/>
      </c>
    </row>
    <row r="70" ht="22" customHeight="1">
      <c r="A70" s="6" t="inlineStr">
        <is>
          <t>IMP-08</t>
        </is>
      </c>
      <c r="B70" s="6" t="inlineStr">
        <is>
          <t>LOQ</t>
        </is>
      </c>
      <c r="C70" s="6" t="n">
        <v>1</v>
      </c>
      <c r="D70" s="7" t="n"/>
      <c r="E70" s="7" t="n"/>
      <c r="F70" s="7" t="n"/>
      <c r="G70" s="9">
        <f>IFERROR(ROUND(F70/VLOOKUP(A70,'杂质清单'!$A$4:$F$13,6,FALSE),2),"")</f>
        <v/>
      </c>
      <c r="H70" s="9">
        <f>IFERROR(ROUND(G70/VLOOKUP(A70,'杂质清单'!$A$4:$F$13,4,FALSE)*100,2),"")</f>
        <v/>
      </c>
      <c r="I70" s="9">
        <f>IF(B70&lt;&gt;"LOQ","",IFERROR(ROUND(STDEV(E70:E75)/AVERAGE(E70:E75)*100,2),""))</f>
        <v/>
      </c>
    </row>
    <row r="71" ht="22" customHeight="1">
      <c r="A71" s="6" t="inlineStr">
        <is>
          <t>IMP-08</t>
        </is>
      </c>
      <c r="B71" s="6" t="inlineStr">
        <is>
          <t>LOQ</t>
        </is>
      </c>
      <c r="C71" s="6" t="n">
        <v>2</v>
      </c>
      <c r="D71" s="7" t="n"/>
      <c r="E71" s="7" t="n"/>
      <c r="F71" s="7" t="n"/>
      <c r="G71" s="9">
        <f>IFERROR(ROUND(F71/VLOOKUP(A71,'杂质清单'!$A$4:$F$13,6,FALSE),2),"")</f>
        <v/>
      </c>
      <c r="H71" s="9">
        <f>IFERROR(ROUND(G71/VLOOKUP(A71,'杂质清单'!$A$4:$F$13,4,FALSE)*100,2),"")</f>
        <v/>
      </c>
      <c r="I71" s="9">
        <f>IF(B71&lt;&gt;"LOQ","",IFERROR(ROUND(STDEV(E70:E75)/AVERAGE(E70:E75)*100,2),""))</f>
        <v/>
      </c>
    </row>
    <row r="72" ht="22" customHeight="1">
      <c r="A72" s="6" t="inlineStr">
        <is>
          <t>IMP-08</t>
        </is>
      </c>
      <c r="B72" s="6" t="inlineStr">
        <is>
          <t>LOQ</t>
        </is>
      </c>
      <c r="C72" s="6" t="n">
        <v>3</v>
      </c>
      <c r="D72" s="7" t="n"/>
      <c r="E72" s="7" t="n"/>
      <c r="F72" s="7" t="n"/>
      <c r="G72" s="9">
        <f>IFERROR(ROUND(F72/VLOOKUP(A72,'杂质清单'!$A$4:$F$13,6,FALSE),2),"")</f>
        <v/>
      </c>
      <c r="H72" s="9">
        <f>IFERROR(ROUND(G72/VLOOKUP(A72,'杂质清单'!$A$4:$F$13,4,FALSE)*100,2),"")</f>
        <v/>
      </c>
      <c r="I72" s="9">
        <f>IF(B72&lt;&gt;"LOQ","",IFERROR(ROUND(STDEV(E70:E75)/AVERAGE(E70:E75)*100,2),""))</f>
        <v/>
      </c>
    </row>
    <row r="73" ht="22" customHeight="1">
      <c r="A73" s="6" t="inlineStr">
        <is>
          <t>IMP-08</t>
        </is>
      </c>
      <c r="B73" s="6" t="inlineStr">
        <is>
          <t>LOQ</t>
        </is>
      </c>
      <c r="C73" s="6" t="n">
        <v>4</v>
      </c>
      <c r="D73" s="7" t="n"/>
      <c r="E73" s="7" t="n"/>
      <c r="F73" s="7" t="n"/>
      <c r="G73" s="9">
        <f>IFERROR(ROUND(F73/VLOOKUP(A73,'杂质清单'!$A$4:$F$13,6,FALSE),2),"")</f>
        <v/>
      </c>
      <c r="H73" s="9">
        <f>IFERROR(ROUND(G73/VLOOKUP(A73,'杂质清单'!$A$4:$F$13,4,FALSE)*100,2),"")</f>
        <v/>
      </c>
      <c r="I73" s="9">
        <f>IF(B73&lt;&gt;"LOQ","",IFERROR(ROUND(STDEV(E70:E75)/AVERAGE(E70:E75)*100,2),""))</f>
        <v/>
      </c>
    </row>
    <row r="74" ht="22" customHeight="1">
      <c r="A74" s="6" t="inlineStr">
        <is>
          <t>IMP-08</t>
        </is>
      </c>
      <c r="B74" s="6" t="inlineStr">
        <is>
          <t>LOQ</t>
        </is>
      </c>
      <c r="C74" s="6" t="n">
        <v>5</v>
      </c>
      <c r="D74" s="7" t="n"/>
      <c r="E74" s="7" t="n"/>
      <c r="F74" s="7" t="n"/>
      <c r="G74" s="9">
        <f>IFERROR(ROUND(F74/VLOOKUP(A74,'杂质清单'!$A$4:$F$13,6,FALSE),2),"")</f>
        <v/>
      </c>
      <c r="H74" s="9">
        <f>IFERROR(ROUND(G74/VLOOKUP(A74,'杂质清单'!$A$4:$F$13,4,FALSE)*100,2),"")</f>
        <v/>
      </c>
      <c r="I74" s="9">
        <f>IF(B74&lt;&gt;"LOQ","",IFERROR(ROUND(STDEV(E70:E75)/AVERAGE(E70:E75)*100,2),""))</f>
        <v/>
      </c>
    </row>
    <row r="75" ht="22" customHeight="1">
      <c r="A75" s="6" t="inlineStr">
        <is>
          <t>IMP-08</t>
        </is>
      </c>
      <c r="B75" s="6" t="inlineStr">
        <is>
          <t>LOQ</t>
        </is>
      </c>
      <c r="C75" s="6" t="n">
        <v>6</v>
      </c>
      <c r="D75" s="7" t="n"/>
      <c r="E75" s="7" t="n"/>
      <c r="F75" s="7" t="n"/>
      <c r="G75" s="9">
        <f>IFERROR(ROUND(F75/VLOOKUP(A75,'杂质清单'!$A$4:$F$13,6,FALSE),2),"")</f>
        <v/>
      </c>
      <c r="H75" s="9">
        <f>IFERROR(ROUND(G75/VLOOKUP(A75,'杂质清单'!$A$4:$F$13,4,FALSE)*100,2),"")</f>
        <v/>
      </c>
      <c r="I75" s="9">
        <f>IF(B75&lt;&gt;"LOQ","",IFERROR(ROUND(STDEV(E70:E75)/AVERAGE(E70:E75)*100,2),""))</f>
        <v/>
      </c>
    </row>
    <row r="76" ht="22" customHeight="1">
      <c r="A76" s="6" t="inlineStr">
        <is>
          <t>IMP-09</t>
        </is>
      </c>
      <c r="B76" s="6" t="inlineStr">
        <is>
          <t>LOD</t>
        </is>
      </c>
      <c r="C76" s="6" t="n">
        <v>1</v>
      </c>
      <c r="D76" s="7" t="n"/>
      <c r="E76" s="7" t="n"/>
      <c r="F76" s="7" t="n"/>
      <c r="G76" s="9">
        <f>IFERROR(ROUND(F76/VLOOKUP(A76,'杂质清单'!$A$4:$F$13,6,FALSE),2),"")</f>
        <v/>
      </c>
      <c r="H76" s="9">
        <f>IFERROR(ROUND(G76/VLOOKUP(A76,'杂质清单'!$A$4:$F$13,4,FALSE)*100,2),"")</f>
        <v/>
      </c>
      <c r="I76" s="9">
        <f>IF(B76&lt;&gt;"LOQ","",IFERROR(ROUND(STDEV(E79:E84)/AVERAGE(E79:E84)*100,2),""))</f>
        <v/>
      </c>
    </row>
    <row r="77" ht="22" customHeight="1">
      <c r="A77" s="6" t="inlineStr">
        <is>
          <t>IMP-09</t>
        </is>
      </c>
      <c r="B77" s="6" t="inlineStr">
        <is>
          <t>LOD</t>
        </is>
      </c>
      <c r="C77" s="6" t="n">
        <v>2</v>
      </c>
      <c r="D77" s="7" t="n"/>
      <c r="E77" s="7" t="n"/>
      <c r="F77" s="7" t="n"/>
      <c r="G77" s="9">
        <f>IFERROR(ROUND(F77/VLOOKUP(A77,'杂质清单'!$A$4:$F$13,6,FALSE),2),"")</f>
        <v/>
      </c>
      <c r="H77" s="9">
        <f>IFERROR(ROUND(G77/VLOOKUP(A77,'杂质清单'!$A$4:$F$13,4,FALSE)*100,2),"")</f>
        <v/>
      </c>
      <c r="I77" s="9">
        <f>IF(B77&lt;&gt;"LOQ","",IFERROR(ROUND(STDEV(E79:E84)/AVERAGE(E79:E84)*100,2),""))</f>
        <v/>
      </c>
    </row>
    <row r="78" ht="22" customHeight="1">
      <c r="A78" s="6" t="inlineStr">
        <is>
          <t>IMP-09</t>
        </is>
      </c>
      <c r="B78" s="6" t="inlineStr">
        <is>
          <t>LOD</t>
        </is>
      </c>
      <c r="C78" s="6" t="n">
        <v>3</v>
      </c>
      <c r="D78" s="7" t="n"/>
      <c r="E78" s="7" t="n"/>
      <c r="F78" s="7" t="n"/>
      <c r="G78" s="9">
        <f>IFERROR(ROUND(F78/VLOOKUP(A78,'杂质清单'!$A$4:$F$13,6,FALSE),2),"")</f>
        <v/>
      </c>
      <c r="H78" s="9">
        <f>IFERROR(ROUND(G78/VLOOKUP(A78,'杂质清单'!$A$4:$F$13,4,FALSE)*100,2),"")</f>
        <v/>
      </c>
      <c r="I78" s="9">
        <f>IF(B78&lt;&gt;"LOQ","",IFERROR(ROUND(STDEV(E79:E84)/AVERAGE(E79:E84)*100,2),""))</f>
        <v/>
      </c>
    </row>
    <row r="79" ht="22" customHeight="1">
      <c r="A79" s="6" t="inlineStr">
        <is>
          <t>IMP-09</t>
        </is>
      </c>
      <c r="B79" s="6" t="inlineStr">
        <is>
          <t>LOQ</t>
        </is>
      </c>
      <c r="C79" s="6" t="n">
        <v>1</v>
      </c>
      <c r="D79" s="7" t="n"/>
      <c r="E79" s="7" t="n"/>
      <c r="F79" s="7" t="n"/>
      <c r="G79" s="9">
        <f>IFERROR(ROUND(F79/VLOOKUP(A79,'杂质清单'!$A$4:$F$13,6,FALSE),2),"")</f>
        <v/>
      </c>
      <c r="H79" s="9">
        <f>IFERROR(ROUND(G79/VLOOKUP(A79,'杂质清单'!$A$4:$F$13,4,FALSE)*100,2),"")</f>
        <v/>
      </c>
      <c r="I79" s="9">
        <f>IF(B79&lt;&gt;"LOQ","",IFERROR(ROUND(STDEV(E79:E84)/AVERAGE(E79:E84)*100,2),""))</f>
        <v/>
      </c>
    </row>
    <row r="80" ht="22" customHeight="1">
      <c r="A80" s="6" t="inlineStr">
        <is>
          <t>IMP-09</t>
        </is>
      </c>
      <c r="B80" s="6" t="inlineStr">
        <is>
          <t>LOQ</t>
        </is>
      </c>
      <c r="C80" s="6" t="n">
        <v>2</v>
      </c>
      <c r="D80" s="7" t="n"/>
      <c r="E80" s="7" t="n"/>
      <c r="F80" s="7" t="n"/>
      <c r="G80" s="9">
        <f>IFERROR(ROUND(F80/VLOOKUP(A80,'杂质清单'!$A$4:$F$13,6,FALSE),2),"")</f>
        <v/>
      </c>
      <c r="H80" s="9">
        <f>IFERROR(ROUND(G80/VLOOKUP(A80,'杂质清单'!$A$4:$F$13,4,FALSE)*100,2),"")</f>
        <v/>
      </c>
      <c r="I80" s="9">
        <f>IF(B80&lt;&gt;"LOQ","",IFERROR(ROUND(STDEV(E79:E84)/AVERAGE(E79:E84)*100,2),""))</f>
        <v/>
      </c>
    </row>
    <row r="81" ht="22" customHeight="1">
      <c r="A81" s="6" t="inlineStr">
        <is>
          <t>IMP-09</t>
        </is>
      </c>
      <c r="B81" s="6" t="inlineStr">
        <is>
          <t>LOQ</t>
        </is>
      </c>
      <c r="C81" s="6" t="n">
        <v>3</v>
      </c>
      <c r="D81" s="7" t="n"/>
      <c r="E81" s="7" t="n"/>
      <c r="F81" s="7" t="n"/>
      <c r="G81" s="9">
        <f>IFERROR(ROUND(F81/VLOOKUP(A81,'杂质清单'!$A$4:$F$13,6,FALSE),2),"")</f>
        <v/>
      </c>
      <c r="H81" s="9">
        <f>IFERROR(ROUND(G81/VLOOKUP(A81,'杂质清单'!$A$4:$F$13,4,FALSE)*100,2),"")</f>
        <v/>
      </c>
      <c r="I81" s="9">
        <f>IF(B81&lt;&gt;"LOQ","",IFERROR(ROUND(STDEV(E79:E84)/AVERAGE(E79:E84)*100,2),""))</f>
        <v/>
      </c>
    </row>
    <row r="82" ht="22" customHeight="1">
      <c r="A82" s="6" t="inlineStr">
        <is>
          <t>IMP-09</t>
        </is>
      </c>
      <c r="B82" s="6" t="inlineStr">
        <is>
          <t>LOQ</t>
        </is>
      </c>
      <c r="C82" s="6" t="n">
        <v>4</v>
      </c>
      <c r="D82" s="7" t="n"/>
      <c r="E82" s="7" t="n"/>
      <c r="F82" s="7" t="n"/>
      <c r="G82" s="9">
        <f>IFERROR(ROUND(F82/VLOOKUP(A82,'杂质清单'!$A$4:$F$13,6,FALSE),2),"")</f>
        <v/>
      </c>
      <c r="H82" s="9">
        <f>IFERROR(ROUND(G82/VLOOKUP(A82,'杂质清单'!$A$4:$F$13,4,FALSE)*100,2),"")</f>
        <v/>
      </c>
      <c r="I82" s="9">
        <f>IF(B82&lt;&gt;"LOQ","",IFERROR(ROUND(STDEV(E79:E84)/AVERAGE(E79:E84)*100,2),""))</f>
        <v/>
      </c>
    </row>
    <row r="83" ht="22" customHeight="1">
      <c r="A83" s="6" t="inlineStr">
        <is>
          <t>IMP-09</t>
        </is>
      </c>
      <c r="B83" s="6" t="inlineStr">
        <is>
          <t>LOQ</t>
        </is>
      </c>
      <c r="C83" s="6" t="n">
        <v>5</v>
      </c>
      <c r="D83" s="7" t="n"/>
      <c r="E83" s="7" t="n"/>
      <c r="F83" s="7" t="n"/>
      <c r="G83" s="9">
        <f>IFERROR(ROUND(F83/VLOOKUP(A83,'杂质清单'!$A$4:$F$13,6,FALSE),2),"")</f>
        <v/>
      </c>
      <c r="H83" s="9">
        <f>IFERROR(ROUND(G83/VLOOKUP(A83,'杂质清单'!$A$4:$F$13,4,FALSE)*100,2),"")</f>
        <v/>
      </c>
      <c r="I83" s="9">
        <f>IF(B83&lt;&gt;"LOQ","",IFERROR(ROUND(STDEV(E79:E84)/AVERAGE(E79:E84)*100,2),""))</f>
        <v/>
      </c>
    </row>
    <row r="84" ht="22" customHeight="1">
      <c r="A84" s="6" t="inlineStr">
        <is>
          <t>IMP-09</t>
        </is>
      </c>
      <c r="B84" s="6" t="inlineStr">
        <is>
          <t>LOQ</t>
        </is>
      </c>
      <c r="C84" s="6" t="n">
        <v>6</v>
      </c>
      <c r="D84" s="7" t="n"/>
      <c r="E84" s="7" t="n"/>
      <c r="F84" s="7" t="n"/>
      <c r="G84" s="9">
        <f>IFERROR(ROUND(F84/VLOOKUP(A84,'杂质清单'!$A$4:$F$13,6,FALSE),2),"")</f>
        <v/>
      </c>
      <c r="H84" s="9">
        <f>IFERROR(ROUND(G84/VLOOKUP(A84,'杂质清单'!$A$4:$F$13,4,FALSE)*100,2),"")</f>
        <v/>
      </c>
      <c r="I84" s="9">
        <f>IF(B84&lt;&gt;"LOQ","",IFERROR(ROUND(STDEV(E79:E84)/AVERAGE(E79:E84)*100,2),""))</f>
        <v/>
      </c>
    </row>
    <row r="85" ht="22" customHeight="1">
      <c r="A85" s="6" t="inlineStr">
        <is>
          <t>IMP-10</t>
        </is>
      </c>
      <c r="B85" s="6" t="inlineStr">
        <is>
          <t>LOD</t>
        </is>
      </c>
      <c r="C85" s="6" t="n">
        <v>1</v>
      </c>
      <c r="D85" s="7" t="n"/>
      <c r="E85" s="7" t="n"/>
      <c r="F85" s="7" t="n"/>
      <c r="G85" s="9">
        <f>IFERROR(ROUND(F85/VLOOKUP(A85,'杂质清单'!$A$4:$F$13,6,FALSE),2),"")</f>
        <v/>
      </c>
      <c r="H85" s="9">
        <f>IFERROR(ROUND(G85/VLOOKUP(A85,'杂质清单'!$A$4:$F$13,4,FALSE)*100,2),"")</f>
        <v/>
      </c>
      <c r="I85" s="9">
        <f>IF(B85&lt;&gt;"LOQ","",IFERROR(ROUND(STDEV(E88:E93)/AVERAGE(E88:E93)*100,2),""))</f>
        <v/>
      </c>
    </row>
    <row r="86" ht="22" customHeight="1">
      <c r="A86" s="6" t="inlineStr">
        <is>
          <t>IMP-10</t>
        </is>
      </c>
      <c r="B86" s="6" t="inlineStr">
        <is>
          <t>LOD</t>
        </is>
      </c>
      <c r="C86" s="6" t="n">
        <v>2</v>
      </c>
      <c r="D86" s="7" t="n"/>
      <c r="E86" s="7" t="n"/>
      <c r="F86" s="7" t="n"/>
      <c r="G86" s="9">
        <f>IFERROR(ROUND(F86/VLOOKUP(A86,'杂质清单'!$A$4:$F$13,6,FALSE),2),"")</f>
        <v/>
      </c>
      <c r="H86" s="9">
        <f>IFERROR(ROUND(G86/VLOOKUP(A86,'杂质清单'!$A$4:$F$13,4,FALSE)*100,2),"")</f>
        <v/>
      </c>
      <c r="I86" s="9">
        <f>IF(B86&lt;&gt;"LOQ","",IFERROR(ROUND(STDEV(E88:E93)/AVERAGE(E88:E93)*100,2),""))</f>
        <v/>
      </c>
    </row>
    <row r="87" ht="22" customHeight="1">
      <c r="A87" s="6" t="inlineStr">
        <is>
          <t>IMP-10</t>
        </is>
      </c>
      <c r="B87" s="6" t="inlineStr">
        <is>
          <t>LOD</t>
        </is>
      </c>
      <c r="C87" s="6" t="n">
        <v>3</v>
      </c>
      <c r="D87" s="7" t="n"/>
      <c r="E87" s="7" t="n"/>
      <c r="F87" s="7" t="n"/>
      <c r="G87" s="9">
        <f>IFERROR(ROUND(F87/VLOOKUP(A87,'杂质清单'!$A$4:$F$13,6,FALSE),2),"")</f>
        <v/>
      </c>
      <c r="H87" s="9">
        <f>IFERROR(ROUND(G87/VLOOKUP(A87,'杂质清单'!$A$4:$F$13,4,FALSE)*100,2),"")</f>
        <v/>
      </c>
      <c r="I87" s="9">
        <f>IF(B87&lt;&gt;"LOQ","",IFERROR(ROUND(STDEV(E88:E93)/AVERAGE(E88:E93)*100,2),""))</f>
        <v/>
      </c>
    </row>
    <row r="88" ht="22" customHeight="1">
      <c r="A88" s="6" t="inlineStr">
        <is>
          <t>IMP-10</t>
        </is>
      </c>
      <c r="B88" s="6" t="inlineStr">
        <is>
          <t>LOQ</t>
        </is>
      </c>
      <c r="C88" s="6" t="n">
        <v>1</v>
      </c>
      <c r="D88" s="7" t="n"/>
      <c r="E88" s="7" t="n"/>
      <c r="F88" s="7" t="n"/>
      <c r="G88" s="9">
        <f>IFERROR(ROUND(F88/VLOOKUP(A88,'杂质清单'!$A$4:$F$13,6,FALSE),2),"")</f>
        <v/>
      </c>
      <c r="H88" s="9">
        <f>IFERROR(ROUND(G88/VLOOKUP(A88,'杂质清单'!$A$4:$F$13,4,FALSE)*100,2),"")</f>
        <v/>
      </c>
      <c r="I88" s="9">
        <f>IF(B88&lt;&gt;"LOQ","",IFERROR(ROUND(STDEV(E88:E93)/AVERAGE(E88:E93)*100,2),""))</f>
        <v/>
      </c>
    </row>
    <row r="89" ht="22" customHeight="1">
      <c r="A89" s="6" t="inlineStr">
        <is>
          <t>IMP-10</t>
        </is>
      </c>
      <c r="B89" s="6" t="inlineStr">
        <is>
          <t>LOQ</t>
        </is>
      </c>
      <c r="C89" s="6" t="n">
        <v>2</v>
      </c>
      <c r="D89" s="7" t="n"/>
      <c r="E89" s="7" t="n"/>
      <c r="F89" s="7" t="n"/>
      <c r="G89" s="9">
        <f>IFERROR(ROUND(F89/VLOOKUP(A89,'杂质清单'!$A$4:$F$13,6,FALSE),2),"")</f>
        <v/>
      </c>
      <c r="H89" s="9">
        <f>IFERROR(ROUND(G89/VLOOKUP(A89,'杂质清单'!$A$4:$F$13,4,FALSE)*100,2),"")</f>
        <v/>
      </c>
      <c r="I89" s="9">
        <f>IF(B89&lt;&gt;"LOQ","",IFERROR(ROUND(STDEV(E88:E93)/AVERAGE(E88:E93)*100,2),""))</f>
        <v/>
      </c>
    </row>
    <row r="90" ht="22" customHeight="1">
      <c r="A90" s="6" t="inlineStr">
        <is>
          <t>IMP-10</t>
        </is>
      </c>
      <c r="B90" s="6" t="inlineStr">
        <is>
          <t>LOQ</t>
        </is>
      </c>
      <c r="C90" s="6" t="n">
        <v>3</v>
      </c>
      <c r="D90" s="7" t="n"/>
      <c r="E90" s="7" t="n"/>
      <c r="F90" s="7" t="n"/>
      <c r="G90" s="9">
        <f>IFERROR(ROUND(F90/VLOOKUP(A90,'杂质清单'!$A$4:$F$13,6,FALSE),2),"")</f>
        <v/>
      </c>
      <c r="H90" s="9">
        <f>IFERROR(ROUND(G90/VLOOKUP(A90,'杂质清单'!$A$4:$F$13,4,FALSE)*100,2),"")</f>
        <v/>
      </c>
      <c r="I90" s="9">
        <f>IF(B90&lt;&gt;"LOQ","",IFERROR(ROUND(STDEV(E88:E93)/AVERAGE(E88:E93)*100,2),""))</f>
        <v/>
      </c>
    </row>
    <row r="91" ht="22" customHeight="1">
      <c r="A91" s="6" t="inlineStr">
        <is>
          <t>IMP-10</t>
        </is>
      </c>
      <c r="B91" s="6" t="inlineStr">
        <is>
          <t>LOQ</t>
        </is>
      </c>
      <c r="C91" s="6" t="n">
        <v>4</v>
      </c>
      <c r="D91" s="7" t="n"/>
      <c r="E91" s="7" t="n"/>
      <c r="F91" s="7" t="n"/>
      <c r="G91" s="9">
        <f>IFERROR(ROUND(F91/VLOOKUP(A91,'杂质清单'!$A$4:$F$13,6,FALSE),2),"")</f>
        <v/>
      </c>
      <c r="H91" s="9">
        <f>IFERROR(ROUND(G91/VLOOKUP(A91,'杂质清单'!$A$4:$F$13,4,FALSE)*100,2),"")</f>
        <v/>
      </c>
      <c r="I91" s="9">
        <f>IF(B91&lt;&gt;"LOQ","",IFERROR(ROUND(STDEV(E88:E93)/AVERAGE(E88:E93)*100,2),""))</f>
        <v/>
      </c>
    </row>
    <row r="92" ht="22" customHeight="1">
      <c r="A92" s="6" t="inlineStr">
        <is>
          <t>IMP-10</t>
        </is>
      </c>
      <c r="B92" s="6" t="inlineStr">
        <is>
          <t>LOQ</t>
        </is>
      </c>
      <c r="C92" s="6" t="n">
        <v>5</v>
      </c>
      <c r="D92" s="7" t="n"/>
      <c r="E92" s="7" t="n"/>
      <c r="F92" s="7" t="n"/>
      <c r="G92" s="9">
        <f>IFERROR(ROUND(F92/VLOOKUP(A92,'杂质清单'!$A$4:$F$13,6,FALSE),2),"")</f>
        <v/>
      </c>
      <c r="H92" s="9">
        <f>IFERROR(ROUND(G92/VLOOKUP(A92,'杂质清单'!$A$4:$F$13,4,FALSE)*100,2),"")</f>
        <v/>
      </c>
      <c r="I92" s="9">
        <f>IF(B92&lt;&gt;"LOQ","",IFERROR(ROUND(STDEV(E88:E93)/AVERAGE(E88:E93)*100,2),""))</f>
        <v/>
      </c>
    </row>
    <row r="93" ht="22" customHeight="1">
      <c r="A93" s="6" t="inlineStr">
        <is>
          <t>IMP-10</t>
        </is>
      </c>
      <c r="B93" s="6" t="inlineStr">
        <is>
          <t>LOQ</t>
        </is>
      </c>
      <c r="C93" s="6" t="n">
        <v>6</v>
      </c>
      <c r="D93" s="7" t="n"/>
      <c r="E93" s="7" t="n"/>
      <c r="F93" s="7" t="n"/>
      <c r="G93" s="9">
        <f>IFERROR(ROUND(F93/VLOOKUP(A93,'杂质清单'!$A$4:$F$13,6,FALSE),2),"")</f>
        <v/>
      </c>
      <c r="H93" s="9">
        <f>IFERROR(ROUND(G93/VLOOKUP(A93,'杂质清单'!$A$4:$F$13,4,FALSE)*100,2),"")</f>
        <v/>
      </c>
      <c r="I93" s="9">
        <f>IF(B93&lt;&gt;"LOQ","",IFERROR(ROUND(STDEV(E88:E93)/AVERAGE(E88:E93)*100,2),""))</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I1"/>
  </mergeCells>
  <conditionalFormatting sqref="A4:A93">
    <cfRule type="expression" priority="1" dxfId="0">
      <formula>AND(A4&lt;&gt;"",COUNTIF($A$4:$A$93,A4)&gt;20)</formula>
    </cfRule>
  </conditionalFormatting>
  <dataValidations count="1">
    <dataValidation sqref="D4 E4 F4 D5 E5 F5 D6 E6 F6 D7 E7 F7 D8 E8 F8 D9 E9 F9 D10 E10 F10 D11 E11 F11 D12 E12 F12 D13 E13 F13 D14 E14 F14 D15 E15 F15 D16 E16 F16 D17 E17 F17 D18 E18 F18 D19 E19 F19 D20 E20 F20 D21 E21 F21 D22 E22 F22 D23 E23 F23 D24 E24 F24 D25 E25 F25 D26 E26 F26 D27 E27 F27 D28 E28 F28 D29 E29 F29 D30 E30 F30 D31 E31 F31 D32 E32 F32 D33 E33 F33 D34 E34 F34 D35 E35 F35 D36 E36 F36 D37 E37 F37 D38 E38 F38 D39 E39 F39 D40 E40 F40 D41 E41 F41 D42 E42 F42 D43 E43 F43 D44 E44 F44 D45 E45 F45 D46 E46 F46 D47 E47 F47 D48 E48 F48 D49 E49 F49 D50 E50 F50 D51 E51 F51 D52 E52 F52 D53 E53 F53 D54 E54 F54 D55 E55 F55 D56 E56 F56 D57 E57 F57 D58 E58 F58 D59 E59 F59 D60 E60 F60 D61 E61 F61 D62 E62 F62 D63 E63 F63 D64 E64 F64 D65 E65 F65 D66 E66 F66 D67 E67 F67 D68 E68 F68 D69 E69 F69 D70 E70 F70 D71 E71 F71 D72 E72 F72 D73 E73 F73 D74 E74 F74 D75 E75 F75 D76 E76 F76 D77 E77 F77 D78 E78 F78 D79 E79 F79 D80 E80 F80 D81 E81 F81 D82 E82 F82 D83 E83 F83 D84 E84 F84 D85 E85 F85 D86 E86 F86 D87 E87 F87 D88 E88 F88 D89 E89 F89 D90 E90 F90 D91 E91 F91 D92 E92 F92 D93 E93 F9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cols>
    <col width="14" customWidth="1" min="1" max="1"/>
    <col width="18" customWidth="1" min="2" max="2"/>
    <col width="20" customWidth="1" min="3" max="3"/>
    <col width="22" customWidth="1" min="4" max="4"/>
    <col width="18" customWidth="1" min="5" max="5"/>
    <col width="18" customWidth="1" min="6" max="6"/>
    <col width="24" customWidth="1" min="7" max="7"/>
    <col width="26" customWidth="1" min="8" max="8"/>
  </cols>
  <sheetData>
    <row r="1" ht="30" customHeight="1">
      <c r="A1" s="1" t="inlineStr">
        <is>
          <t>线性溶液数值</t>
        </is>
      </c>
    </row>
    <row r="2" ht="30" customHeight="1">
      <c r="A2" s="4" t="inlineStr">
        <is>
          <t>impurity_id</t>
        </is>
      </c>
      <c r="B2" s="4" t="inlineStr">
        <is>
          <t>run_type</t>
        </is>
      </c>
      <c r="C2" s="4" t="inlineStr">
        <is>
          <t>solution_name</t>
        </is>
      </c>
      <c r="D2" s="4" t="inlineStr">
        <is>
          <t>stock_concentration</t>
        </is>
      </c>
      <c r="E2" s="4" t="inlineStr">
        <is>
          <t>aliquot_volume</t>
        </is>
      </c>
      <c r="F2" s="4" t="inlineStr">
        <is>
          <t>final_volume</t>
        </is>
      </c>
      <c r="G2" s="4" t="inlineStr">
        <is>
          <t>theoretical_concentration</t>
        </is>
      </c>
      <c r="H2" s="4" t="inlineStr">
        <is>
          <t>limit_percentage</t>
        </is>
      </c>
    </row>
    <row r="3" ht="30" customHeight="1">
      <c r="A3" s="5" t="inlineStr">
        <is>
          <t>杂质编号</t>
        </is>
      </c>
      <c r="B3" s="5" t="inlineStr">
        <is>
          <t>线性批次</t>
        </is>
      </c>
      <c r="C3" s="5" t="inlineStr">
        <is>
          <t>溶液名称</t>
        </is>
      </c>
      <c r="D3" s="5" t="inlineStr">
        <is>
          <t>中间贮备液浓度</t>
        </is>
      </c>
      <c r="E3" s="5" t="inlineStr">
        <is>
          <t>量取体积（ml）</t>
        </is>
      </c>
      <c r="F3" s="5" t="inlineStr">
        <is>
          <t>定容至（ml）</t>
        </is>
      </c>
      <c r="G3" s="5" t="inlineStr">
        <is>
          <t>目标溶液理论浓度</t>
        </is>
      </c>
      <c r="H3" s="5" t="inlineStr">
        <is>
          <t>占限度浓度百分比（%）</t>
        </is>
      </c>
    </row>
    <row r="4" ht="22" customHeight="1">
      <c r="A4" s="6" t="inlineStr">
        <is>
          <t>IMP-01</t>
        </is>
      </c>
      <c r="B4" s="6" t="inlineStr">
        <is>
          <t>INITIAL</t>
        </is>
      </c>
      <c r="C4" s="6" t="inlineStr">
        <is>
          <t>C1</t>
        </is>
      </c>
      <c r="D4" s="7" t="n"/>
      <c r="E4" s="7" t="n"/>
      <c r="F4" s="7" t="n"/>
      <c r="G4" s="9">
        <f>IFERROR(D4*E4/F4,"")</f>
        <v/>
      </c>
      <c r="H4" s="9">
        <f>IFERROR(G4/VLOOKUP(A4,'杂质清单'!$A$4:$F$13,5,FALSE)*100,"")</f>
        <v/>
      </c>
    </row>
    <row r="5" ht="22" customHeight="1">
      <c r="A5" s="6" t="inlineStr">
        <is>
          <t>IMP-01</t>
        </is>
      </c>
      <c r="B5" s="6" t="inlineStr">
        <is>
          <t>INITIAL</t>
        </is>
      </c>
      <c r="C5" s="6" t="inlineStr">
        <is>
          <t>C2</t>
        </is>
      </c>
      <c r="D5" s="7" t="n"/>
      <c r="E5" s="7" t="n"/>
      <c r="F5" s="7" t="n"/>
      <c r="G5" s="9">
        <f>IFERROR(D5*E5/F5,"")</f>
        <v/>
      </c>
      <c r="H5" s="9">
        <f>IFERROR(G5/VLOOKUP(A5,'杂质清单'!$A$4:$F$13,5,FALSE)*100,"")</f>
        <v/>
      </c>
    </row>
    <row r="6" ht="22" customHeight="1">
      <c r="A6" s="6" t="inlineStr">
        <is>
          <t>IMP-01</t>
        </is>
      </c>
      <c r="B6" s="6" t="inlineStr">
        <is>
          <t>INITIAL</t>
        </is>
      </c>
      <c r="C6" s="6" t="inlineStr">
        <is>
          <t>C3</t>
        </is>
      </c>
      <c r="D6" s="7" t="n"/>
      <c r="E6" s="7" t="n"/>
      <c r="F6" s="7" t="n"/>
      <c r="G6" s="9">
        <f>IFERROR(D6*E6/F6,"")</f>
        <v/>
      </c>
      <c r="H6" s="9">
        <f>IFERROR(G6/VLOOKUP(A6,'杂质清单'!$A$4:$F$13,5,FALSE)*100,"")</f>
        <v/>
      </c>
    </row>
    <row r="7" ht="22" customHeight="1">
      <c r="A7" s="6" t="inlineStr">
        <is>
          <t>IMP-01</t>
        </is>
      </c>
      <c r="B7" s="6" t="inlineStr">
        <is>
          <t>INITIAL</t>
        </is>
      </c>
      <c r="C7" s="6" t="inlineStr">
        <is>
          <t>C4</t>
        </is>
      </c>
      <c r="D7" s="7" t="n"/>
      <c r="E7" s="7" t="n"/>
      <c r="F7" s="7" t="n"/>
      <c r="G7" s="9">
        <f>IFERROR(D7*E7/F7,"")</f>
        <v/>
      </c>
      <c r="H7" s="9">
        <f>IFERROR(G7/VLOOKUP(A7,'杂质清单'!$A$4:$F$13,5,FALSE)*100,"")</f>
        <v/>
      </c>
    </row>
    <row r="8" ht="22" customHeight="1">
      <c r="A8" s="6" t="inlineStr">
        <is>
          <t>IMP-01</t>
        </is>
      </c>
      <c r="B8" s="6" t="inlineStr">
        <is>
          <t>INITIAL</t>
        </is>
      </c>
      <c r="C8" s="6" t="inlineStr">
        <is>
          <t>C5</t>
        </is>
      </c>
      <c r="D8" s="7" t="n"/>
      <c r="E8" s="7" t="n"/>
      <c r="F8" s="7" t="n"/>
      <c r="G8" s="9">
        <f>IFERROR(D8*E8/F8,"")</f>
        <v/>
      </c>
      <c r="H8" s="9">
        <f>IFERROR(G8/VLOOKUP(A8,'杂质清单'!$A$4:$F$13,5,FALSE)*100,"")</f>
        <v/>
      </c>
    </row>
    <row r="9" ht="22" customHeight="1">
      <c r="A9" s="6" t="inlineStr">
        <is>
          <t>IMP-01</t>
        </is>
      </c>
      <c r="B9" s="6" t="inlineStr">
        <is>
          <t>INTERMEDIATE</t>
        </is>
      </c>
      <c r="C9" s="6" t="inlineStr">
        <is>
          <t>C1</t>
        </is>
      </c>
      <c r="D9" s="7" t="n"/>
      <c r="E9" s="7" t="n"/>
      <c r="F9" s="7" t="n"/>
      <c r="G9" s="9">
        <f>IFERROR(D9*E9/F9,"")</f>
        <v/>
      </c>
      <c r="H9" s="9">
        <f>IFERROR(G9/VLOOKUP(A9,'杂质清单'!$A$4:$F$13,5,FALSE)*100,"")</f>
        <v/>
      </c>
    </row>
    <row r="10" ht="22" customHeight="1">
      <c r="A10" s="6" t="inlineStr">
        <is>
          <t>IMP-01</t>
        </is>
      </c>
      <c r="B10" s="6" t="inlineStr">
        <is>
          <t>INTERMEDIATE</t>
        </is>
      </c>
      <c r="C10" s="6" t="inlineStr">
        <is>
          <t>C2</t>
        </is>
      </c>
      <c r="D10" s="7" t="n"/>
      <c r="E10" s="7" t="n"/>
      <c r="F10" s="7" t="n"/>
      <c r="G10" s="9">
        <f>IFERROR(D10*E10/F10,"")</f>
        <v/>
      </c>
      <c r="H10" s="9">
        <f>IFERROR(G10/VLOOKUP(A10,'杂质清单'!$A$4:$F$13,5,FALSE)*100,"")</f>
        <v/>
      </c>
    </row>
    <row r="11" ht="22" customHeight="1">
      <c r="A11" s="6" t="inlineStr">
        <is>
          <t>IMP-01</t>
        </is>
      </c>
      <c r="B11" s="6" t="inlineStr">
        <is>
          <t>INTERMEDIATE</t>
        </is>
      </c>
      <c r="C11" s="6" t="inlineStr">
        <is>
          <t>C3</t>
        </is>
      </c>
      <c r="D11" s="7" t="n"/>
      <c r="E11" s="7" t="n"/>
      <c r="F11" s="7" t="n"/>
      <c r="G11" s="9">
        <f>IFERROR(D11*E11/F11,"")</f>
        <v/>
      </c>
      <c r="H11" s="9">
        <f>IFERROR(G11/VLOOKUP(A11,'杂质清单'!$A$4:$F$13,5,FALSE)*100,"")</f>
        <v/>
      </c>
    </row>
    <row r="12" ht="22" customHeight="1">
      <c r="A12" s="6" t="inlineStr">
        <is>
          <t>IMP-01</t>
        </is>
      </c>
      <c r="B12" s="6" t="inlineStr">
        <is>
          <t>INTERMEDIATE</t>
        </is>
      </c>
      <c r="C12" s="6" t="inlineStr">
        <is>
          <t>C4</t>
        </is>
      </c>
      <c r="D12" s="7" t="n"/>
      <c r="E12" s="7" t="n"/>
      <c r="F12" s="7" t="n"/>
      <c r="G12" s="9">
        <f>IFERROR(D12*E12/F12,"")</f>
        <v/>
      </c>
      <c r="H12" s="9">
        <f>IFERROR(G12/VLOOKUP(A12,'杂质清单'!$A$4:$F$13,5,FALSE)*100,"")</f>
        <v/>
      </c>
    </row>
    <row r="13" ht="22" customHeight="1">
      <c r="A13" s="6" t="inlineStr">
        <is>
          <t>IMP-01</t>
        </is>
      </c>
      <c r="B13" s="6" t="inlineStr">
        <is>
          <t>INTERMEDIATE</t>
        </is>
      </c>
      <c r="C13" s="6" t="inlineStr">
        <is>
          <t>C5</t>
        </is>
      </c>
      <c r="D13" s="7" t="n"/>
      <c r="E13" s="7" t="n"/>
      <c r="F13" s="7" t="n"/>
      <c r="G13" s="9">
        <f>IFERROR(D13*E13/F13,"")</f>
        <v/>
      </c>
      <c r="H13" s="9">
        <f>IFERROR(G13/VLOOKUP(A13,'杂质清单'!$A$4:$F$13,5,FALSE)*100,"")</f>
        <v/>
      </c>
    </row>
    <row r="14" ht="22" customHeight="1">
      <c r="A14" s="6" t="inlineStr">
        <is>
          <t>IMP-02</t>
        </is>
      </c>
      <c r="B14" s="6" t="inlineStr">
        <is>
          <t>INITIAL</t>
        </is>
      </c>
      <c r="C14" s="6" t="inlineStr">
        <is>
          <t>C1</t>
        </is>
      </c>
      <c r="D14" s="7" t="n"/>
      <c r="E14" s="7" t="n"/>
      <c r="F14" s="7" t="n"/>
      <c r="G14" s="9">
        <f>IFERROR(D14*E14/F14,"")</f>
        <v/>
      </c>
      <c r="H14" s="9">
        <f>IFERROR(G14/VLOOKUP(A14,'杂质清单'!$A$4:$F$13,5,FALSE)*100,"")</f>
        <v/>
      </c>
    </row>
    <row r="15" ht="22" customHeight="1">
      <c r="A15" s="6" t="inlineStr">
        <is>
          <t>IMP-02</t>
        </is>
      </c>
      <c r="B15" s="6" t="inlineStr">
        <is>
          <t>INITIAL</t>
        </is>
      </c>
      <c r="C15" s="6" t="inlineStr">
        <is>
          <t>C2</t>
        </is>
      </c>
      <c r="D15" s="7" t="n"/>
      <c r="E15" s="7" t="n"/>
      <c r="F15" s="7" t="n"/>
      <c r="G15" s="9">
        <f>IFERROR(D15*E15/F15,"")</f>
        <v/>
      </c>
      <c r="H15" s="9">
        <f>IFERROR(G15/VLOOKUP(A15,'杂质清单'!$A$4:$F$13,5,FALSE)*100,"")</f>
        <v/>
      </c>
    </row>
    <row r="16" ht="22" customHeight="1">
      <c r="A16" s="6" t="inlineStr">
        <is>
          <t>IMP-02</t>
        </is>
      </c>
      <c r="B16" s="6" t="inlineStr">
        <is>
          <t>INITIAL</t>
        </is>
      </c>
      <c r="C16" s="6" t="inlineStr">
        <is>
          <t>C3</t>
        </is>
      </c>
      <c r="D16" s="7" t="n"/>
      <c r="E16" s="7" t="n"/>
      <c r="F16" s="7" t="n"/>
      <c r="G16" s="9">
        <f>IFERROR(D16*E16/F16,"")</f>
        <v/>
      </c>
      <c r="H16" s="9">
        <f>IFERROR(G16/VLOOKUP(A16,'杂质清单'!$A$4:$F$13,5,FALSE)*100,"")</f>
        <v/>
      </c>
    </row>
    <row r="17" ht="22" customHeight="1">
      <c r="A17" s="6" t="inlineStr">
        <is>
          <t>IMP-02</t>
        </is>
      </c>
      <c r="B17" s="6" t="inlineStr">
        <is>
          <t>INITIAL</t>
        </is>
      </c>
      <c r="C17" s="6" t="inlineStr">
        <is>
          <t>C4</t>
        </is>
      </c>
      <c r="D17" s="7" t="n"/>
      <c r="E17" s="7" t="n"/>
      <c r="F17" s="7" t="n"/>
      <c r="G17" s="9">
        <f>IFERROR(D17*E17/F17,"")</f>
        <v/>
      </c>
      <c r="H17" s="9">
        <f>IFERROR(G17/VLOOKUP(A17,'杂质清单'!$A$4:$F$13,5,FALSE)*100,"")</f>
        <v/>
      </c>
    </row>
    <row r="18" ht="22" customHeight="1">
      <c r="A18" s="6" t="inlineStr">
        <is>
          <t>IMP-02</t>
        </is>
      </c>
      <c r="B18" s="6" t="inlineStr">
        <is>
          <t>INITIAL</t>
        </is>
      </c>
      <c r="C18" s="6" t="inlineStr">
        <is>
          <t>C5</t>
        </is>
      </c>
      <c r="D18" s="7" t="n"/>
      <c r="E18" s="7" t="n"/>
      <c r="F18" s="7" t="n"/>
      <c r="G18" s="9">
        <f>IFERROR(D18*E18/F18,"")</f>
        <v/>
      </c>
      <c r="H18" s="9">
        <f>IFERROR(G18/VLOOKUP(A18,'杂质清单'!$A$4:$F$13,5,FALSE)*100,"")</f>
        <v/>
      </c>
    </row>
    <row r="19" ht="22" customHeight="1">
      <c r="A19" s="6" t="inlineStr">
        <is>
          <t>IMP-02</t>
        </is>
      </c>
      <c r="B19" s="6" t="inlineStr">
        <is>
          <t>INTERMEDIATE</t>
        </is>
      </c>
      <c r="C19" s="6" t="inlineStr">
        <is>
          <t>C1</t>
        </is>
      </c>
      <c r="D19" s="7" t="n"/>
      <c r="E19" s="7" t="n"/>
      <c r="F19" s="7" t="n"/>
      <c r="G19" s="9">
        <f>IFERROR(D19*E19/F19,"")</f>
        <v/>
      </c>
      <c r="H19" s="9">
        <f>IFERROR(G19/VLOOKUP(A19,'杂质清单'!$A$4:$F$13,5,FALSE)*100,"")</f>
        <v/>
      </c>
    </row>
    <row r="20" ht="22" customHeight="1">
      <c r="A20" s="6" t="inlineStr">
        <is>
          <t>IMP-02</t>
        </is>
      </c>
      <c r="B20" s="6" t="inlineStr">
        <is>
          <t>INTERMEDIATE</t>
        </is>
      </c>
      <c r="C20" s="6" t="inlineStr">
        <is>
          <t>C2</t>
        </is>
      </c>
      <c r="D20" s="7" t="n"/>
      <c r="E20" s="7" t="n"/>
      <c r="F20" s="7" t="n"/>
      <c r="G20" s="9">
        <f>IFERROR(D20*E20/F20,"")</f>
        <v/>
      </c>
      <c r="H20" s="9">
        <f>IFERROR(G20/VLOOKUP(A20,'杂质清单'!$A$4:$F$13,5,FALSE)*100,"")</f>
        <v/>
      </c>
    </row>
    <row r="21" ht="22" customHeight="1">
      <c r="A21" s="6" t="inlineStr">
        <is>
          <t>IMP-02</t>
        </is>
      </c>
      <c r="B21" s="6" t="inlineStr">
        <is>
          <t>INTERMEDIATE</t>
        </is>
      </c>
      <c r="C21" s="6" t="inlineStr">
        <is>
          <t>C3</t>
        </is>
      </c>
      <c r="D21" s="7" t="n"/>
      <c r="E21" s="7" t="n"/>
      <c r="F21" s="7" t="n"/>
      <c r="G21" s="9">
        <f>IFERROR(D21*E21/F21,"")</f>
        <v/>
      </c>
      <c r="H21" s="9">
        <f>IFERROR(G21/VLOOKUP(A21,'杂质清单'!$A$4:$F$13,5,FALSE)*100,"")</f>
        <v/>
      </c>
    </row>
    <row r="22" ht="22" customHeight="1">
      <c r="A22" s="6" t="inlineStr">
        <is>
          <t>IMP-02</t>
        </is>
      </c>
      <c r="B22" s="6" t="inlineStr">
        <is>
          <t>INTERMEDIATE</t>
        </is>
      </c>
      <c r="C22" s="6" t="inlineStr">
        <is>
          <t>C4</t>
        </is>
      </c>
      <c r="D22" s="7" t="n"/>
      <c r="E22" s="7" t="n"/>
      <c r="F22" s="7" t="n"/>
      <c r="G22" s="9">
        <f>IFERROR(D22*E22/F22,"")</f>
        <v/>
      </c>
      <c r="H22" s="9">
        <f>IFERROR(G22/VLOOKUP(A22,'杂质清单'!$A$4:$F$13,5,FALSE)*100,"")</f>
        <v/>
      </c>
    </row>
    <row r="23" ht="22" customHeight="1">
      <c r="A23" s="6" t="inlineStr">
        <is>
          <t>IMP-02</t>
        </is>
      </c>
      <c r="B23" s="6" t="inlineStr">
        <is>
          <t>INTERMEDIATE</t>
        </is>
      </c>
      <c r="C23" s="6" t="inlineStr">
        <is>
          <t>C5</t>
        </is>
      </c>
      <c r="D23" s="7" t="n"/>
      <c r="E23" s="7" t="n"/>
      <c r="F23" s="7" t="n"/>
      <c r="G23" s="9">
        <f>IFERROR(D23*E23/F23,"")</f>
        <v/>
      </c>
      <c r="H23" s="9">
        <f>IFERROR(G23/VLOOKUP(A23,'杂质清单'!$A$4:$F$13,5,FALSE)*100,"")</f>
        <v/>
      </c>
    </row>
    <row r="24" ht="22" customHeight="1">
      <c r="A24" s="6" t="inlineStr">
        <is>
          <t>IMP-03</t>
        </is>
      </c>
      <c r="B24" s="6" t="inlineStr">
        <is>
          <t>INITIAL</t>
        </is>
      </c>
      <c r="C24" s="6" t="inlineStr">
        <is>
          <t>C1</t>
        </is>
      </c>
      <c r="D24" s="7" t="n"/>
      <c r="E24" s="7" t="n"/>
      <c r="F24" s="7" t="n"/>
      <c r="G24" s="9">
        <f>IFERROR(D24*E24/F24,"")</f>
        <v/>
      </c>
      <c r="H24" s="9">
        <f>IFERROR(G24/VLOOKUP(A24,'杂质清单'!$A$4:$F$13,5,FALSE)*100,"")</f>
        <v/>
      </c>
    </row>
    <row r="25" ht="22" customHeight="1">
      <c r="A25" s="6" t="inlineStr">
        <is>
          <t>IMP-03</t>
        </is>
      </c>
      <c r="B25" s="6" t="inlineStr">
        <is>
          <t>INITIAL</t>
        </is>
      </c>
      <c r="C25" s="6" t="inlineStr">
        <is>
          <t>C2</t>
        </is>
      </c>
      <c r="D25" s="7" t="n"/>
      <c r="E25" s="7" t="n"/>
      <c r="F25" s="7" t="n"/>
      <c r="G25" s="9">
        <f>IFERROR(D25*E25/F25,"")</f>
        <v/>
      </c>
      <c r="H25" s="9">
        <f>IFERROR(G25/VLOOKUP(A25,'杂质清单'!$A$4:$F$13,5,FALSE)*100,"")</f>
        <v/>
      </c>
    </row>
    <row r="26" ht="22" customHeight="1">
      <c r="A26" s="6" t="inlineStr">
        <is>
          <t>IMP-03</t>
        </is>
      </c>
      <c r="B26" s="6" t="inlineStr">
        <is>
          <t>INITIAL</t>
        </is>
      </c>
      <c r="C26" s="6" t="inlineStr">
        <is>
          <t>C3</t>
        </is>
      </c>
      <c r="D26" s="7" t="n"/>
      <c r="E26" s="7" t="n"/>
      <c r="F26" s="7" t="n"/>
      <c r="G26" s="9">
        <f>IFERROR(D26*E26/F26,"")</f>
        <v/>
      </c>
      <c r="H26" s="9">
        <f>IFERROR(G26/VLOOKUP(A26,'杂质清单'!$A$4:$F$13,5,FALSE)*100,"")</f>
        <v/>
      </c>
    </row>
    <row r="27" ht="22" customHeight="1">
      <c r="A27" s="6" t="inlineStr">
        <is>
          <t>IMP-03</t>
        </is>
      </c>
      <c r="B27" s="6" t="inlineStr">
        <is>
          <t>INITIAL</t>
        </is>
      </c>
      <c r="C27" s="6" t="inlineStr">
        <is>
          <t>C4</t>
        </is>
      </c>
      <c r="D27" s="7" t="n"/>
      <c r="E27" s="7" t="n"/>
      <c r="F27" s="7" t="n"/>
      <c r="G27" s="9">
        <f>IFERROR(D27*E27/F27,"")</f>
        <v/>
      </c>
      <c r="H27" s="9">
        <f>IFERROR(G27/VLOOKUP(A27,'杂质清单'!$A$4:$F$13,5,FALSE)*100,"")</f>
        <v/>
      </c>
    </row>
    <row r="28" ht="22" customHeight="1">
      <c r="A28" s="6" t="inlineStr">
        <is>
          <t>IMP-03</t>
        </is>
      </c>
      <c r="B28" s="6" t="inlineStr">
        <is>
          <t>INITIAL</t>
        </is>
      </c>
      <c r="C28" s="6" t="inlineStr">
        <is>
          <t>C5</t>
        </is>
      </c>
      <c r="D28" s="7" t="n"/>
      <c r="E28" s="7" t="n"/>
      <c r="F28" s="7" t="n"/>
      <c r="G28" s="9">
        <f>IFERROR(D28*E28/F28,"")</f>
        <v/>
      </c>
      <c r="H28" s="9">
        <f>IFERROR(G28/VLOOKUP(A28,'杂质清单'!$A$4:$F$13,5,FALSE)*100,"")</f>
        <v/>
      </c>
    </row>
    <row r="29" ht="22" customHeight="1">
      <c r="A29" s="6" t="inlineStr">
        <is>
          <t>IMP-03</t>
        </is>
      </c>
      <c r="B29" s="6" t="inlineStr">
        <is>
          <t>INTERMEDIATE</t>
        </is>
      </c>
      <c r="C29" s="6" t="inlineStr">
        <is>
          <t>C1</t>
        </is>
      </c>
      <c r="D29" s="7" t="n"/>
      <c r="E29" s="7" t="n"/>
      <c r="F29" s="7" t="n"/>
      <c r="G29" s="9">
        <f>IFERROR(D29*E29/F29,"")</f>
        <v/>
      </c>
      <c r="H29" s="9">
        <f>IFERROR(G29/VLOOKUP(A29,'杂质清单'!$A$4:$F$13,5,FALSE)*100,"")</f>
        <v/>
      </c>
    </row>
    <row r="30" ht="22" customHeight="1">
      <c r="A30" s="6" t="inlineStr">
        <is>
          <t>IMP-03</t>
        </is>
      </c>
      <c r="B30" s="6" t="inlineStr">
        <is>
          <t>INTERMEDIATE</t>
        </is>
      </c>
      <c r="C30" s="6" t="inlineStr">
        <is>
          <t>C2</t>
        </is>
      </c>
      <c r="D30" s="7" t="n"/>
      <c r="E30" s="7" t="n"/>
      <c r="F30" s="7" t="n"/>
      <c r="G30" s="9">
        <f>IFERROR(D30*E30/F30,"")</f>
        <v/>
      </c>
      <c r="H30" s="9">
        <f>IFERROR(G30/VLOOKUP(A30,'杂质清单'!$A$4:$F$13,5,FALSE)*100,"")</f>
        <v/>
      </c>
    </row>
    <row r="31" ht="22" customHeight="1">
      <c r="A31" s="6" t="inlineStr">
        <is>
          <t>IMP-03</t>
        </is>
      </c>
      <c r="B31" s="6" t="inlineStr">
        <is>
          <t>INTERMEDIATE</t>
        </is>
      </c>
      <c r="C31" s="6" t="inlineStr">
        <is>
          <t>C3</t>
        </is>
      </c>
      <c r="D31" s="7" t="n"/>
      <c r="E31" s="7" t="n"/>
      <c r="F31" s="7" t="n"/>
      <c r="G31" s="9">
        <f>IFERROR(D31*E31/F31,"")</f>
        <v/>
      </c>
      <c r="H31" s="9">
        <f>IFERROR(G31/VLOOKUP(A31,'杂质清单'!$A$4:$F$13,5,FALSE)*100,"")</f>
        <v/>
      </c>
    </row>
    <row r="32" ht="22" customHeight="1">
      <c r="A32" s="6" t="inlineStr">
        <is>
          <t>IMP-03</t>
        </is>
      </c>
      <c r="B32" s="6" t="inlineStr">
        <is>
          <t>INTERMEDIATE</t>
        </is>
      </c>
      <c r="C32" s="6" t="inlineStr">
        <is>
          <t>C4</t>
        </is>
      </c>
      <c r="D32" s="7" t="n"/>
      <c r="E32" s="7" t="n"/>
      <c r="F32" s="7" t="n"/>
      <c r="G32" s="9">
        <f>IFERROR(D32*E32/F32,"")</f>
        <v/>
      </c>
      <c r="H32" s="9">
        <f>IFERROR(G32/VLOOKUP(A32,'杂质清单'!$A$4:$F$13,5,FALSE)*100,"")</f>
        <v/>
      </c>
    </row>
    <row r="33" ht="22" customHeight="1">
      <c r="A33" s="6" t="inlineStr">
        <is>
          <t>IMP-03</t>
        </is>
      </c>
      <c r="B33" s="6" t="inlineStr">
        <is>
          <t>INTERMEDIATE</t>
        </is>
      </c>
      <c r="C33" s="6" t="inlineStr">
        <is>
          <t>C5</t>
        </is>
      </c>
      <c r="D33" s="7" t="n"/>
      <c r="E33" s="7" t="n"/>
      <c r="F33" s="7" t="n"/>
      <c r="G33" s="9">
        <f>IFERROR(D33*E33/F33,"")</f>
        <v/>
      </c>
      <c r="H33" s="9">
        <f>IFERROR(G33/VLOOKUP(A33,'杂质清单'!$A$4:$F$13,5,FALSE)*100,"")</f>
        <v/>
      </c>
    </row>
    <row r="34" ht="22" customHeight="1">
      <c r="A34" s="6" t="inlineStr">
        <is>
          <t>IMP-04</t>
        </is>
      </c>
      <c r="B34" s="6" t="inlineStr">
        <is>
          <t>INITIAL</t>
        </is>
      </c>
      <c r="C34" s="6" t="inlineStr">
        <is>
          <t>C1</t>
        </is>
      </c>
      <c r="D34" s="7" t="n"/>
      <c r="E34" s="7" t="n"/>
      <c r="F34" s="7" t="n"/>
      <c r="G34" s="9">
        <f>IFERROR(D34*E34/F34,"")</f>
        <v/>
      </c>
      <c r="H34" s="9">
        <f>IFERROR(G34/VLOOKUP(A34,'杂质清单'!$A$4:$F$13,5,FALSE)*100,"")</f>
        <v/>
      </c>
    </row>
    <row r="35" ht="22" customHeight="1">
      <c r="A35" s="6" t="inlineStr">
        <is>
          <t>IMP-04</t>
        </is>
      </c>
      <c r="B35" s="6" t="inlineStr">
        <is>
          <t>INITIAL</t>
        </is>
      </c>
      <c r="C35" s="6" t="inlineStr">
        <is>
          <t>C2</t>
        </is>
      </c>
      <c r="D35" s="7" t="n"/>
      <c r="E35" s="7" t="n"/>
      <c r="F35" s="7" t="n"/>
      <c r="G35" s="9">
        <f>IFERROR(D35*E35/F35,"")</f>
        <v/>
      </c>
      <c r="H35" s="9">
        <f>IFERROR(G35/VLOOKUP(A35,'杂质清单'!$A$4:$F$13,5,FALSE)*100,"")</f>
        <v/>
      </c>
    </row>
    <row r="36" ht="22" customHeight="1">
      <c r="A36" s="6" t="inlineStr">
        <is>
          <t>IMP-04</t>
        </is>
      </c>
      <c r="B36" s="6" t="inlineStr">
        <is>
          <t>INITIAL</t>
        </is>
      </c>
      <c r="C36" s="6" t="inlineStr">
        <is>
          <t>C3</t>
        </is>
      </c>
      <c r="D36" s="7" t="n"/>
      <c r="E36" s="7" t="n"/>
      <c r="F36" s="7" t="n"/>
      <c r="G36" s="9">
        <f>IFERROR(D36*E36/F36,"")</f>
        <v/>
      </c>
      <c r="H36" s="9">
        <f>IFERROR(G36/VLOOKUP(A36,'杂质清单'!$A$4:$F$13,5,FALSE)*100,"")</f>
        <v/>
      </c>
    </row>
    <row r="37" ht="22" customHeight="1">
      <c r="A37" s="6" t="inlineStr">
        <is>
          <t>IMP-04</t>
        </is>
      </c>
      <c r="B37" s="6" t="inlineStr">
        <is>
          <t>INITIAL</t>
        </is>
      </c>
      <c r="C37" s="6" t="inlineStr">
        <is>
          <t>C4</t>
        </is>
      </c>
      <c r="D37" s="7" t="n"/>
      <c r="E37" s="7" t="n"/>
      <c r="F37" s="7" t="n"/>
      <c r="G37" s="9">
        <f>IFERROR(D37*E37/F37,"")</f>
        <v/>
      </c>
      <c r="H37" s="9">
        <f>IFERROR(G37/VLOOKUP(A37,'杂质清单'!$A$4:$F$13,5,FALSE)*100,"")</f>
        <v/>
      </c>
    </row>
    <row r="38" ht="22" customHeight="1">
      <c r="A38" s="6" t="inlineStr">
        <is>
          <t>IMP-04</t>
        </is>
      </c>
      <c r="B38" s="6" t="inlineStr">
        <is>
          <t>INITIAL</t>
        </is>
      </c>
      <c r="C38" s="6" t="inlineStr">
        <is>
          <t>C5</t>
        </is>
      </c>
      <c r="D38" s="7" t="n"/>
      <c r="E38" s="7" t="n"/>
      <c r="F38" s="7" t="n"/>
      <c r="G38" s="9">
        <f>IFERROR(D38*E38/F38,"")</f>
        <v/>
      </c>
      <c r="H38" s="9">
        <f>IFERROR(G38/VLOOKUP(A38,'杂质清单'!$A$4:$F$13,5,FALSE)*100,"")</f>
        <v/>
      </c>
    </row>
    <row r="39" ht="22" customHeight="1">
      <c r="A39" s="6" t="inlineStr">
        <is>
          <t>IMP-04</t>
        </is>
      </c>
      <c r="B39" s="6" t="inlineStr">
        <is>
          <t>INTERMEDIATE</t>
        </is>
      </c>
      <c r="C39" s="6" t="inlineStr">
        <is>
          <t>C1</t>
        </is>
      </c>
      <c r="D39" s="7" t="n"/>
      <c r="E39" s="7" t="n"/>
      <c r="F39" s="7" t="n"/>
      <c r="G39" s="9">
        <f>IFERROR(D39*E39/F39,"")</f>
        <v/>
      </c>
      <c r="H39" s="9">
        <f>IFERROR(G39/VLOOKUP(A39,'杂质清单'!$A$4:$F$13,5,FALSE)*100,"")</f>
        <v/>
      </c>
    </row>
    <row r="40" ht="22" customHeight="1">
      <c r="A40" s="6" t="inlineStr">
        <is>
          <t>IMP-04</t>
        </is>
      </c>
      <c r="B40" s="6" t="inlineStr">
        <is>
          <t>INTERMEDIATE</t>
        </is>
      </c>
      <c r="C40" s="6" t="inlineStr">
        <is>
          <t>C2</t>
        </is>
      </c>
      <c r="D40" s="7" t="n"/>
      <c r="E40" s="7" t="n"/>
      <c r="F40" s="7" t="n"/>
      <c r="G40" s="9">
        <f>IFERROR(D40*E40/F40,"")</f>
        <v/>
      </c>
      <c r="H40" s="9">
        <f>IFERROR(G40/VLOOKUP(A40,'杂质清单'!$A$4:$F$13,5,FALSE)*100,"")</f>
        <v/>
      </c>
    </row>
    <row r="41" ht="22" customHeight="1">
      <c r="A41" s="6" t="inlineStr">
        <is>
          <t>IMP-04</t>
        </is>
      </c>
      <c r="B41" s="6" t="inlineStr">
        <is>
          <t>INTERMEDIATE</t>
        </is>
      </c>
      <c r="C41" s="6" t="inlineStr">
        <is>
          <t>C3</t>
        </is>
      </c>
      <c r="D41" s="7" t="n"/>
      <c r="E41" s="7" t="n"/>
      <c r="F41" s="7" t="n"/>
      <c r="G41" s="9">
        <f>IFERROR(D41*E41/F41,"")</f>
        <v/>
      </c>
      <c r="H41" s="9">
        <f>IFERROR(G41/VLOOKUP(A41,'杂质清单'!$A$4:$F$13,5,FALSE)*100,"")</f>
        <v/>
      </c>
    </row>
    <row r="42" ht="22" customHeight="1">
      <c r="A42" s="6" t="inlineStr">
        <is>
          <t>IMP-04</t>
        </is>
      </c>
      <c r="B42" s="6" t="inlineStr">
        <is>
          <t>INTERMEDIATE</t>
        </is>
      </c>
      <c r="C42" s="6" t="inlineStr">
        <is>
          <t>C4</t>
        </is>
      </c>
      <c r="D42" s="7" t="n"/>
      <c r="E42" s="7" t="n"/>
      <c r="F42" s="7" t="n"/>
      <c r="G42" s="9">
        <f>IFERROR(D42*E42/F42,"")</f>
        <v/>
      </c>
      <c r="H42" s="9">
        <f>IFERROR(G42/VLOOKUP(A42,'杂质清单'!$A$4:$F$13,5,FALSE)*100,"")</f>
        <v/>
      </c>
    </row>
    <row r="43" ht="22" customHeight="1">
      <c r="A43" s="6" t="inlineStr">
        <is>
          <t>IMP-04</t>
        </is>
      </c>
      <c r="B43" s="6" t="inlineStr">
        <is>
          <t>INTERMEDIATE</t>
        </is>
      </c>
      <c r="C43" s="6" t="inlineStr">
        <is>
          <t>C5</t>
        </is>
      </c>
      <c r="D43" s="7" t="n"/>
      <c r="E43" s="7" t="n"/>
      <c r="F43" s="7" t="n"/>
      <c r="G43" s="9">
        <f>IFERROR(D43*E43/F43,"")</f>
        <v/>
      </c>
      <c r="H43" s="9">
        <f>IFERROR(G43/VLOOKUP(A43,'杂质清单'!$A$4:$F$13,5,FALSE)*100,"")</f>
        <v/>
      </c>
    </row>
    <row r="44" ht="22" customHeight="1">
      <c r="A44" s="6" t="inlineStr">
        <is>
          <t>IMP-05</t>
        </is>
      </c>
      <c r="B44" s="6" t="inlineStr">
        <is>
          <t>INITIAL</t>
        </is>
      </c>
      <c r="C44" s="6" t="inlineStr">
        <is>
          <t>C1</t>
        </is>
      </c>
      <c r="D44" s="7" t="n"/>
      <c r="E44" s="7" t="n"/>
      <c r="F44" s="7" t="n"/>
      <c r="G44" s="9">
        <f>IFERROR(D44*E44/F44,"")</f>
        <v/>
      </c>
      <c r="H44" s="9">
        <f>IFERROR(G44/VLOOKUP(A44,'杂质清单'!$A$4:$F$13,5,FALSE)*100,"")</f>
        <v/>
      </c>
    </row>
    <row r="45" ht="22" customHeight="1">
      <c r="A45" s="6" t="inlineStr">
        <is>
          <t>IMP-05</t>
        </is>
      </c>
      <c r="B45" s="6" t="inlineStr">
        <is>
          <t>INITIAL</t>
        </is>
      </c>
      <c r="C45" s="6" t="inlineStr">
        <is>
          <t>C2</t>
        </is>
      </c>
      <c r="D45" s="7" t="n"/>
      <c r="E45" s="7" t="n"/>
      <c r="F45" s="7" t="n"/>
      <c r="G45" s="9">
        <f>IFERROR(D45*E45/F45,"")</f>
        <v/>
      </c>
      <c r="H45" s="9">
        <f>IFERROR(G45/VLOOKUP(A45,'杂质清单'!$A$4:$F$13,5,FALSE)*100,"")</f>
        <v/>
      </c>
    </row>
    <row r="46" ht="22" customHeight="1">
      <c r="A46" s="6" t="inlineStr">
        <is>
          <t>IMP-05</t>
        </is>
      </c>
      <c r="B46" s="6" t="inlineStr">
        <is>
          <t>INITIAL</t>
        </is>
      </c>
      <c r="C46" s="6" t="inlineStr">
        <is>
          <t>C3</t>
        </is>
      </c>
      <c r="D46" s="7" t="n"/>
      <c r="E46" s="7" t="n"/>
      <c r="F46" s="7" t="n"/>
      <c r="G46" s="9">
        <f>IFERROR(D46*E46/F46,"")</f>
        <v/>
      </c>
      <c r="H46" s="9">
        <f>IFERROR(G46/VLOOKUP(A46,'杂质清单'!$A$4:$F$13,5,FALSE)*100,"")</f>
        <v/>
      </c>
    </row>
    <row r="47" ht="22" customHeight="1">
      <c r="A47" s="6" t="inlineStr">
        <is>
          <t>IMP-05</t>
        </is>
      </c>
      <c r="B47" s="6" t="inlineStr">
        <is>
          <t>INITIAL</t>
        </is>
      </c>
      <c r="C47" s="6" t="inlineStr">
        <is>
          <t>C4</t>
        </is>
      </c>
      <c r="D47" s="7" t="n"/>
      <c r="E47" s="7" t="n"/>
      <c r="F47" s="7" t="n"/>
      <c r="G47" s="9">
        <f>IFERROR(D47*E47/F47,"")</f>
        <v/>
      </c>
      <c r="H47" s="9">
        <f>IFERROR(G47/VLOOKUP(A47,'杂质清单'!$A$4:$F$13,5,FALSE)*100,"")</f>
        <v/>
      </c>
    </row>
    <row r="48" ht="22" customHeight="1">
      <c r="A48" s="6" t="inlineStr">
        <is>
          <t>IMP-05</t>
        </is>
      </c>
      <c r="B48" s="6" t="inlineStr">
        <is>
          <t>INITIAL</t>
        </is>
      </c>
      <c r="C48" s="6" t="inlineStr">
        <is>
          <t>C5</t>
        </is>
      </c>
      <c r="D48" s="7" t="n"/>
      <c r="E48" s="7" t="n"/>
      <c r="F48" s="7" t="n"/>
      <c r="G48" s="9">
        <f>IFERROR(D48*E48/F48,"")</f>
        <v/>
      </c>
      <c r="H48" s="9">
        <f>IFERROR(G48/VLOOKUP(A48,'杂质清单'!$A$4:$F$13,5,FALSE)*100,"")</f>
        <v/>
      </c>
    </row>
    <row r="49" ht="22" customHeight="1">
      <c r="A49" s="6" t="inlineStr">
        <is>
          <t>IMP-05</t>
        </is>
      </c>
      <c r="B49" s="6" t="inlineStr">
        <is>
          <t>INTERMEDIATE</t>
        </is>
      </c>
      <c r="C49" s="6" t="inlineStr">
        <is>
          <t>C1</t>
        </is>
      </c>
      <c r="D49" s="7" t="n"/>
      <c r="E49" s="7" t="n"/>
      <c r="F49" s="7" t="n"/>
      <c r="G49" s="9">
        <f>IFERROR(D49*E49/F49,"")</f>
        <v/>
      </c>
      <c r="H49" s="9">
        <f>IFERROR(G49/VLOOKUP(A49,'杂质清单'!$A$4:$F$13,5,FALSE)*100,"")</f>
        <v/>
      </c>
    </row>
    <row r="50" ht="22" customHeight="1">
      <c r="A50" s="6" t="inlineStr">
        <is>
          <t>IMP-05</t>
        </is>
      </c>
      <c r="B50" s="6" t="inlineStr">
        <is>
          <t>INTERMEDIATE</t>
        </is>
      </c>
      <c r="C50" s="6" t="inlineStr">
        <is>
          <t>C2</t>
        </is>
      </c>
      <c r="D50" s="7" t="n"/>
      <c r="E50" s="7" t="n"/>
      <c r="F50" s="7" t="n"/>
      <c r="G50" s="9">
        <f>IFERROR(D50*E50/F50,"")</f>
        <v/>
      </c>
      <c r="H50" s="9">
        <f>IFERROR(G50/VLOOKUP(A50,'杂质清单'!$A$4:$F$13,5,FALSE)*100,"")</f>
        <v/>
      </c>
    </row>
    <row r="51" ht="22" customHeight="1">
      <c r="A51" s="6" t="inlineStr">
        <is>
          <t>IMP-05</t>
        </is>
      </c>
      <c r="B51" s="6" t="inlineStr">
        <is>
          <t>INTERMEDIATE</t>
        </is>
      </c>
      <c r="C51" s="6" t="inlineStr">
        <is>
          <t>C3</t>
        </is>
      </c>
      <c r="D51" s="7" t="n"/>
      <c r="E51" s="7" t="n"/>
      <c r="F51" s="7" t="n"/>
      <c r="G51" s="9">
        <f>IFERROR(D51*E51/F51,"")</f>
        <v/>
      </c>
      <c r="H51" s="9">
        <f>IFERROR(G51/VLOOKUP(A51,'杂质清单'!$A$4:$F$13,5,FALSE)*100,"")</f>
        <v/>
      </c>
    </row>
    <row r="52" ht="22" customHeight="1">
      <c r="A52" s="6" t="inlineStr">
        <is>
          <t>IMP-05</t>
        </is>
      </c>
      <c r="B52" s="6" t="inlineStr">
        <is>
          <t>INTERMEDIATE</t>
        </is>
      </c>
      <c r="C52" s="6" t="inlineStr">
        <is>
          <t>C4</t>
        </is>
      </c>
      <c r="D52" s="7" t="n"/>
      <c r="E52" s="7" t="n"/>
      <c r="F52" s="7" t="n"/>
      <c r="G52" s="9">
        <f>IFERROR(D52*E52/F52,"")</f>
        <v/>
      </c>
      <c r="H52" s="9">
        <f>IFERROR(G52/VLOOKUP(A52,'杂质清单'!$A$4:$F$13,5,FALSE)*100,"")</f>
        <v/>
      </c>
    </row>
    <row r="53" ht="22" customHeight="1">
      <c r="A53" s="6" t="inlineStr">
        <is>
          <t>IMP-05</t>
        </is>
      </c>
      <c r="B53" s="6" t="inlineStr">
        <is>
          <t>INTERMEDIATE</t>
        </is>
      </c>
      <c r="C53" s="6" t="inlineStr">
        <is>
          <t>C5</t>
        </is>
      </c>
      <c r="D53" s="7" t="n"/>
      <c r="E53" s="7" t="n"/>
      <c r="F53" s="7" t="n"/>
      <c r="G53" s="9">
        <f>IFERROR(D53*E53/F53,"")</f>
        <v/>
      </c>
      <c r="H53" s="9">
        <f>IFERROR(G53/VLOOKUP(A53,'杂质清单'!$A$4:$F$13,5,FALSE)*100,"")</f>
        <v/>
      </c>
    </row>
    <row r="54" ht="22" customHeight="1">
      <c r="A54" s="6" t="inlineStr">
        <is>
          <t>IMP-06</t>
        </is>
      </c>
      <c r="B54" s="6" t="inlineStr">
        <is>
          <t>INITIAL</t>
        </is>
      </c>
      <c r="C54" s="6" t="inlineStr">
        <is>
          <t>C1</t>
        </is>
      </c>
      <c r="D54" s="7" t="n"/>
      <c r="E54" s="7" t="n"/>
      <c r="F54" s="7" t="n"/>
      <c r="G54" s="9">
        <f>IFERROR(D54*E54/F54,"")</f>
        <v/>
      </c>
      <c r="H54" s="9">
        <f>IFERROR(G54/VLOOKUP(A54,'杂质清单'!$A$4:$F$13,5,FALSE)*100,"")</f>
        <v/>
      </c>
    </row>
    <row r="55" ht="22" customHeight="1">
      <c r="A55" s="6" t="inlineStr">
        <is>
          <t>IMP-06</t>
        </is>
      </c>
      <c r="B55" s="6" t="inlineStr">
        <is>
          <t>INITIAL</t>
        </is>
      </c>
      <c r="C55" s="6" t="inlineStr">
        <is>
          <t>C2</t>
        </is>
      </c>
      <c r="D55" s="7" t="n"/>
      <c r="E55" s="7" t="n"/>
      <c r="F55" s="7" t="n"/>
      <c r="G55" s="9">
        <f>IFERROR(D55*E55/F55,"")</f>
        <v/>
      </c>
      <c r="H55" s="9">
        <f>IFERROR(G55/VLOOKUP(A55,'杂质清单'!$A$4:$F$13,5,FALSE)*100,"")</f>
        <v/>
      </c>
    </row>
    <row r="56" ht="22" customHeight="1">
      <c r="A56" s="6" t="inlineStr">
        <is>
          <t>IMP-06</t>
        </is>
      </c>
      <c r="B56" s="6" t="inlineStr">
        <is>
          <t>INITIAL</t>
        </is>
      </c>
      <c r="C56" s="6" t="inlineStr">
        <is>
          <t>C3</t>
        </is>
      </c>
      <c r="D56" s="7" t="n"/>
      <c r="E56" s="7" t="n"/>
      <c r="F56" s="7" t="n"/>
      <c r="G56" s="9">
        <f>IFERROR(D56*E56/F56,"")</f>
        <v/>
      </c>
      <c r="H56" s="9">
        <f>IFERROR(G56/VLOOKUP(A56,'杂质清单'!$A$4:$F$13,5,FALSE)*100,"")</f>
        <v/>
      </c>
    </row>
    <row r="57" ht="22" customHeight="1">
      <c r="A57" s="6" t="inlineStr">
        <is>
          <t>IMP-06</t>
        </is>
      </c>
      <c r="B57" s="6" t="inlineStr">
        <is>
          <t>INITIAL</t>
        </is>
      </c>
      <c r="C57" s="6" t="inlineStr">
        <is>
          <t>C4</t>
        </is>
      </c>
      <c r="D57" s="7" t="n"/>
      <c r="E57" s="7" t="n"/>
      <c r="F57" s="7" t="n"/>
      <c r="G57" s="9">
        <f>IFERROR(D57*E57/F57,"")</f>
        <v/>
      </c>
      <c r="H57" s="9">
        <f>IFERROR(G57/VLOOKUP(A57,'杂质清单'!$A$4:$F$13,5,FALSE)*100,"")</f>
        <v/>
      </c>
    </row>
    <row r="58" ht="22" customHeight="1">
      <c r="A58" s="6" t="inlineStr">
        <is>
          <t>IMP-06</t>
        </is>
      </c>
      <c r="B58" s="6" t="inlineStr">
        <is>
          <t>INITIAL</t>
        </is>
      </c>
      <c r="C58" s="6" t="inlineStr">
        <is>
          <t>C5</t>
        </is>
      </c>
      <c r="D58" s="7" t="n"/>
      <c r="E58" s="7" t="n"/>
      <c r="F58" s="7" t="n"/>
      <c r="G58" s="9">
        <f>IFERROR(D58*E58/F58,"")</f>
        <v/>
      </c>
      <c r="H58" s="9">
        <f>IFERROR(G58/VLOOKUP(A58,'杂质清单'!$A$4:$F$13,5,FALSE)*100,"")</f>
        <v/>
      </c>
    </row>
    <row r="59" ht="22" customHeight="1">
      <c r="A59" s="6" t="inlineStr">
        <is>
          <t>IMP-06</t>
        </is>
      </c>
      <c r="B59" s="6" t="inlineStr">
        <is>
          <t>INTERMEDIATE</t>
        </is>
      </c>
      <c r="C59" s="6" t="inlineStr">
        <is>
          <t>C1</t>
        </is>
      </c>
      <c r="D59" s="7" t="n"/>
      <c r="E59" s="7" t="n"/>
      <c r="F59" s="7" t="n"/>
      <c r="G59" s="9">
        <f>IFERROR(D59*E59/F59,"")</f>
        <v/>
      </c>
      <c r="H59" s="9">
        <f>IFERROR(G59/VLOOKUP(A59,'杂质清单'!$A$4:$F$13,5,FALSE)*100,"")</f>
        <v/>
      </c>
    </row>
    <row r="60" ht="22" customHeight="1">
      <c r="A60" s="6" t="inlineStr">
        <is>
          <t>IMP-06</t>
        </is>
      </c>
      <c r="B60" s="6" t="inlineStr">
        <is>
          <t>INTERMEDIATE</t>
        </is>
      </c>
      <c r="C60" s="6" t="inlineStr">
        <is>
          <t>C2</t>
        </is>
      </c>
      <c r="D60" s="7" t="n"/>
      <c r="E60" s="7" t="n"/>
      <c r="F60" s="7" t="n"/>
      <c r="G60" s="9">
        <f>IFERROR(D60*E60/F60,"")</f>
        <v/>
      </c>
      <c r="H60" s="9">
        <f>IFERROR(G60/VLOOKUP(A60,'杂质清单'!$A$4:$F$13,5,FALSE)*100,"")</f>
        <v/>
      </c>
    </row>
    <row r="61" ht="22" customHeight="1">
      <c r="A61" s="6" t="inlineStr">
        <is>
          <t>IMP-06</t>
        </is>
      </c>
      <c r="B61" s="6" t="inlineStr">
        <is>
          <t>INTERMEDIATE</t>
        </is>
      </c>
      <c r="C61" s="6" t="inlineStr">
        <is>
          <t>C3</t>
        </is>
      </c>
      <c r="D61" s="7" t="n"/>
      <c r="E61" s="7" t="n"/>
      <c r="F61" s="7" t="n"/>
      <c r="G61" s="9">
        <f>IFERROR(D61*E61/F61,"")</f>
        <v/>
      </c>
      <c r="H61" s="9">
        <f>IFERROR(G61/VLOOKUP(A61,'杂质清单'!$A$4:$F$13,5,FALSE)*100,"")</f>
        <v/>
      </c>
    </row>
    <row r="62" ht="22" customHeight="1">
      <c r="A62" s="6" t="inlineStr">
        <is>
          <t>IMP-06</t>
        </is>
      </c>
      <c r="B62" s="6" t="inlineStr">
        <is>
          <t>INTERMEDIATE</t>
        </is>
      </c>
      <c r="C62" s="6" t="inlineStr">
        <is>
          <t>C4</t>
        </is>
      </c>
      <c r="D62" s="7" t="n"/>
      <c r="E62" s="7" t="n"/>
      <c r="F62" s="7" t="n"/>
      <c r="G62" s="9">
        <f>IFERROR(D62*E62/F62,"")</f>
        <v/>
      </c>
      <c r="H62" s="9">
        <f>IFERROR(G62/VLOOKUP(A62,'杂质清单'!$A$4:$F$13,5,FALSE)*100,"")</f>
        <v/>
      </c>
    </row>
    <row r="63" ht="22" customHeight="1">
      <c r="A63" s="6" t="inlineStr">
        <is>
          <t>IMP-06</t>
        </is>
      </c>
      <c r="B63" s="6" t="inlineStr">
        <is>
          <t>INTERMEDIATE</t>
        </is>
      </c>
      <c r="C63" s="6" t="inlineStr">
        <is>
          <t>C5</t>
        </is>
      </c>
      <c r="D63" s="7" t="n"/>
      <c r="E63" s="7" t="n"/>
      <c r="F63" s="7" t="n"/>
      <c r="G63" s="9">
        <f>IFERROR(D63*E63/F63,"")</f>
        <v/>
      </c>
      <c r="H63" s="9">
        <f>IFERROR(G63/VLOOKUP(A63,'杂质清单'!$A$4:$F$13,5,FALSE)*100,"")</f>
        <v/>
      </c>
    </row>
    <row r="64" ht="22" customHeight="1">
      <c r="A64" s="6" t="inlineStr">
        <is>
          <t>IMP-07</t>
        </is>
      </c>
      <c r="B64" s="6" t="inlineStr">
        <is>
          <t>INITIAL</t>
        </is>
      </c>
      <c r="C64" s="6" t="inlineStr">
        <is>
          <t>C1</t>
        </is>
      </c>
      <c r="D64" s="7" t="n"/>
      <c r="E64" s="7" t="n"/>
      <c r="F64" s="7" t="n"/>
      <c r="G64" s="9">
        <f>IFERROR(D64*E64/F64,"")</f>
        <v/>
      </c>
      <c r="H64" s="9">
        <f>IFERROR(G64/VLOOKUP(A64,'杂质清单'!$A$4:$F$13,5,FALSE)*100,"")</f>
        <v/>
      </c>
    </row>
    <row r="65" ht="22" customHeight="1">
      <c r="A65" s="6" t="inlineStr">
        <is>
          <t>IMP-07</t>
        </is>
      </c>
      <c r="B65" s="6" t="inlineStr">
        <is>
          <t>INITIAL</t>
        </is>
      </c>
      <c r="C65" s="6" t="inlineStr">
        <is>
          <t>C2</t>
        </is>
      </c>
      <c r="D65" s="7" t="n"/>
      <c r="E65" s="7" t="n"/>
      <c r="F65" s="7" t="n"/>
      <c r="G65" s="9">
        <f>IFERROR(D65*E65/F65,"")</f>
        <v/>
      </c>
      <c r="H65" s="9">
        <f>IFERROR(G65/VLOOKUP(A65,'杂质清单'!$A$4:$F$13,5,FALSE)*100,"")</f>
        <v/>
      </c>
    </row>
    <row r="66" ht="22" customHeight="1">
      <c r="A66" s="6" t="inlineStr">
        <is>
          <t>IMP-07</t>
        </is>
      </c>
      <c r="B66" s="6" t="inlineStr">
        <is>
          <t>INITIAL</t>
        </is>
      </c>
      <c r="C66" s="6" t="inlineStr">
        <is>
          <t>C3</t>
        </is>
      </c>
      <c r="D66" s="7" t="n"/>
      <c r="E66" s="7" t="n"/>
      <c r="F66" s="7" t="n"/>
      <c r="G66" s="9">
        <f>IFERROR(D66*E66/F66,"")</f>
        <v/>
      </c>
      <c r="H66" s="9">
        <f>IFERROR(G66/VLOOKUP(A66,'杂质清单'!$A$4:$F$13,5,FALSE)*100,"")</f>
        <v/>
      </c>
    </row>
    <row r="67" ht="22" customHeight="1">
      <c r="A67" s="6" t="inlineStr">
        <is>
          <t>IMP-07</t>
        </is>
      </c>
      <c r="B67" s="6" t="inlineStr">
        <is>
          <t>INITIAL</t>
        </is>
      </c>
      <c r="C67" s="6" t="inlineStr">
        <is>
          <t>C4</t>
        </is>
      </c>
      <c r="D67" s="7" t="n"/>
      <c r="E67" s="7" t="n"/>
      <c r="F67" s="7" t="n"/>
      <c r="G67" s="9">
        <f>IFERROR(D67*E67/F67,"")</f>
        <v/>
      </c>
      <c r="H67" s="9">
        <f>IFERROR(G67/VLOOKUP(A67,'杂质清单'!$A$4:$F$13,5,FALSE)*100,"")</f>
        <v/>
      </c>
    </row>
    <row r="68" ht="22" customHeight="1">
      <c r="A68" s="6" t="inlineStr">
        <is>
          <t>IMP-07</t>
        </is>
      </c>
      <c r="B68" s="6" t="inlineStr">
        <is>
          <t>INITIAL</t>
        </is>
      </c>
      <c r="C68" s="6" t="inlineStr">
        <is>
          <t>C5</t>
        </is>
      </c>
      <c r="D68" s="7" t="n"/>
      <c r="E68" s="7" t="n"/>
      <c r="F68" s="7" t="n"/>
      <c r="G68" s="9">
        <f>IFERROR(D68*E68/F68,"")</f>
        <v/>
      </c>
      <c r="H68" s="9">
        <f>IFERROR(G68/VLOOKUP(A68,'杂质清单'!$A$4:$F$13,5,FALSE)*100,"")</f>
        <v/>
      </c>
    </row>
    <row r="69" ht="22" customHeight="1">
      <c r="A69" s="6" t="inlineStr">
        <is>
          <t>IMP-07</t>
        </is>
      </c>
      <c r="B69" s="6" t="inlineStr">
        <is>
          <t>INTERMEDIATE</t>
        </is>
      </c>
      <c r="C69" s="6" t="inlineStr">
        <is>
          <t>C1</t>
        </is>
      </c>
      <c r="D69" s="7" t="n"/>
      <c r="E69" s="7" t="n"/>
      <c r="F69" s="7" t="n"/>
      <c r="G69" s="9">
        <f>IFERROR(D69*E69/F69,"")</f>
        <v/>
      </c>
      <c r="H69" s="9">
        <f>IFERROR(G69/VLOOKUP(A69,'杂质清单'!$A$4:$F$13,5,FALSE)*100,"")</f>
        <v/>
      </c>
    </row>
    <row r="70" ht="22" customHeight="1">
      <c r="A70" s="6" t="inlineStr">
        <is>
          <t>IMP-07</t>
        </is>
      </c>
      <c r="B70" s="6" t="inlineStr">
        <is>
          <t>INTERMEDIATE</t>
        </is>
      </c>
      <c r="C70" s="6" t="inlineStr">
        <is>
          <t>C2</t>
        </is>
      </c>
      <c r="D70" s="7" t="n"/>
      <c r="E70" s="7" t="n"/>
      <c r="F70" s="7" t="n"/>
      <c r="G70" s="9">
        <f>IFERROR(D70*E70/F70,"")</f>
        <v/>
      </c>
      <c r="H70" s="9">
        <f>IFERROR(G70/VLOOKUP(A70,'杂质清单'!$A$4:$F$13,5,FALSE)*100,"")</f>
        <v/>
      </c>
    </row>
    <row r="71" ht="22" customHeight="1">
      <c r="A71" s="6" t="inlineStr">
        <is>
          <t>IMP-07</t>
        </is>
      </c>
      <c r="B71" s="6" t="inlineStr">
        <is>
          <t>INTERMEDIATE</t>
        </is>
      </c>
      <c r="C71" s="6" t="inlineStr">
        <is>
          <t>C3</t>
        </is>
      </c>
      <c r="D71" s="7" t="n"/>
      <c r="E71" s="7" t="n"/>
      <c r="F71" s="7" t="n"/>
      <c r="G71" s="9">
        <f>IFERROR(D71*E71/F71,"")</f>
        <v/>
      </c>
      <c r="H71" s="9">
        <f>IFERROR(G71/VLOOKUP(A71,'杂质清单'!$A$4:$F$13,5,FALSE)*100,"")</f>
        <v/>
      </c>
    </row>
    <row r="72" ht="22" customHeight="1">
      <c r="A72" s="6" t="inlineStr">
        <is>
          <t>IMP-07</t>
        </is>
      </c>
      <c r="B72" s="6" t="inlineStr">
        <is>
          <t>INTERMEDIATE</t>
        </is>
      </c>
      <c r="C72" s="6" t="inlineStr">
        <is>
          <t>C4</t>
        </is>
      </c>
      <c r="D72" s="7" t="n"/>
      <c r="E72" s="7" t="n"/>
      <c r="F72" s="7" t="n"/>
      <c r="G72" s="9">
        <f>IFERROR(D72*E72/F72,"")</f>
        <v/>
      </c>
      <c r="H72" s="9">
        <f>IFERROR(G72/VLOOKUP(A72,'杂质清单'!$A$4:$F$13,5,FALSE)*100,"")</f>
        <v/>
      </c>
    </row>
    <row r="73" ht="22" customHeight="1">
      <c r="A73" s="6" t="inlineStr">
        <is>
          <t>IMP-07</t>
        </is>
      </c>
      <c r="B73" s="6" t="inlineStr">
        <is>
          <t>INTERMEDIATE</t>
        </is>
      </c>
      <c r="C73" s="6" t="inlineStr">
        <is>
          <t>C5</t>
        </is>
      </c>
      <c r="D73" s="7" t="n"/>
      <c r="E73" s="7" t="n"/>
      <c r="F73" s="7" t="n"/>
      <c r="G73" s="9">
        <f>IFERROR(D73*E73/F73,"")</f>
        <v/>
      </c>
      <c r="H73" s="9">
        <f>IFERROR(G73/VLOOKUP(A73,'杂质清单'!$A$4:$F$13,5,FALSE)*100,"")</f>
        <v/>
      </c>
    </row>
    <row r="74" ht="22" customHeight="1">
      <c r="A74" s="6" t="inlineStr">
        <is>
          <t>IMP-08</t>
        </is>
      </c>
      <c r="B74" s="6" t="inlineStr">
        <is>
          <t>INITIAL</t>
        </is>
      </c>
      <c r="C74" s="6" t="inlineStr">
        <is>
          <t>C1</t>
        </is>
      </c>
      <c r="D74" s="7" t="n"/>
      <c r="E74" s="7" t="n"/>
      <c r="F74" s="7" t="n"/>
      <c r="G74" s="9">
        <f>IFERROR(D74*E74/F74,"")</f>
        <v/>
      </c>
      <c r="H74" s="9">
        <f>IFERROR(G74/VLOOKUP(A74,'杂质清单'!$A$4:$F$13,5,FALSE)*100,"")</f>
        <v/>
      </c>
    </row>
    <row r="75" ht="22" customHeight="1">
      <c r="A75" s="6" t="inlineStr">
        <is>
          <t>IMP-08</t>
        </is>
      </c>
      <c r="B75" s="6" t="inlineStr">
        <is>
          <t>INITIAL</t>
        </is>
      </c>
      <c r="C75" s="6" t="inlineStr">
        <is>
          <t>C2</t>
        </is>
      </c>
      <c r="D75" s="7" t="n"/>
      <c r="E75" s="7" t="n"/>
      <c r="F75" s="7" t="n"/>
      <c r="G75" s="9">
        <f>IFERROR(D75*E75/F75,"")</f>
        <v/>
      </c>
      <c r="H75" s="9">
        <f>IFERROR(G75/VLOOKUP(A75,'杂质清单'!$A$4:$F$13,5,FALSE)*100,"")</f>
        <v/>
      </c>
    </row>
    <row r="76" ht="22" customHeight="1">
      <c r="A76" s="6" t="inlineStr">
        <is>
          <t>IMP-08</t>
        </is>
      </c>
      <c r="B76" s="6" t="inlineStr">
        <is>
          <t>INITIAL</t>
        </is>
      </c>
      <c r="C76" s="6" t="inlineStr">
        <is>
          <t>C3</t>
        </is>
      </c>
      <c r="D76" s="7" t="n"/>
      <c r="E76" s="7" t="n"/>
      <c r="F76" s="7" t="n"/>
      <c r="G76" s="9">
        <f>IFERROR(D76*E76/F76,"")</f>
        <v/>
      </c>
      <c r="H76" s="9">
        <f>IFERROR(G76/VLOOKUP(A76,'杂质清单'!$A$4:$F$13,5,FALSE)*100,"")</f>
        <v/>
      </c>
    </row>
    <row r="77" ht="22" customHeight="1">
      <c r="A77" s="6" t="inlineStr">
        <is>
          <t>IMP-08</t>
        </is>
      </c>
      <c r="B77" s="6" t="inlineStr">
        <is>
          <t>INITIAL</t>
        </is>
      </c>
      <c r="C77" s="6" t="inlineStr">
        <is>
          <t>C4</t>
        </is>
      </c>
      <c r="D77" s="7" t="n"/>
      <c r="E77" s="7" t="n"/>
      <c r="F77" s="7" t="n"/>
      <c r="G77" s="9">
        <f>IFERROR(D77*E77/F77,"")</f>
        <v/>
      </c>
      <c r="H77" s="9">
        <f>IFERROR(G77/VLOOKUP(A77,'杂质清单'!$A$4:$F$13,5,FALSE)*100,"")</f>
        <v/>
      </c>
    </row>
    <row r="78" ht="22" customHeight="1">
      <c r="A78" s="6" t="inlineStr">
        <is>
          <t>IMP-08</t>
        </is>
      </c>
      <c r="B78" s="6" t="inlineStr">
        <is>
          <t>INITIAL</t>
        </is>
      </c>
      <c r="C78" s="6" t="inlineStr">
        <is>
          <t>C5</t>
        </is>
      </c>
      <c r="D78" s="7" t="n"/>
      <c r="E78" s="7" t="n"/>
      <c r="F78" s="7" t="n"/>
      <c r="G78" s="9">
        <f>IFERROR(D78*E78/F78,"")</f>
        <v/>
      </c>
      <c r="H78" s="9">
        <f>IFERROR(G78/VLOOKUP(A78,'杂质清单'!$A$4:$F$13,5,FALSE)*100,"")</f>
        <v/>
      </c>
    </row>
    <row r="79" ht="22" customHeight="1">
      <c r="A79" s="6" t="inlineStr">
        <is>
          <t>IMP-08</t>
        </is>
      </c>
      <c r="B79" s="6" t="inlineStr">
        <is>
          <t>INTERMEDIATE</t>
        </is>
      </c>
      <c r="C79" s="6" t="inlineStr">
        <is>
          <t>C1</t>
        </is>
      </c>
      <c r="D79" s="7" t="n"/>
      <c r="E79" s="7" t="n"/>
      <c r="F79" s="7" t="n"/>
      <c r="G79" s="9">
        <f>IFERROR(D79*E79/F79,"")</f>
        <v/>
      </c>
      <c r="H79" s="9">
        <f>IFERROR(G79/VLOOKUP(A79,'杂质清单'!$A$4:$F$13,5,FALSE)*100,"")</f>
        <v/>
      </c>
    </row>
    <row r="80" ht="22" customHeight="1">
      <c r="A80" s="6" t="inlineStr">
        <is>
          <t>IMP-08</t>
        </is>
      </c>
      <c r="B80" s="6" t="inlineStr">
        <is>
          <t>INTERMEDIATE</t>
        </is>
      </c>
      <c r="C80" s="6" t="inlineStr">
        <is>
          <t>C2</t>
        </is>
      </c>
      <c r="D80" s="7" t="n"/>
      <c r="E80" s="7" t="n"/>
      <c r="F80" s="7" t="n"/>
      <c r="G80" s="9">
        <f>IFERROR(D80*E80/F80,"")</f>
        <v/>
      </c>
      <c r="H80" s="9">
        <f>IFERROR(G80/VLOOKUP(A80,'杂质清单'!$A$4:$F$13,5,FALSE)*100,"")</f>
        <v/>
      </c>
    </row>
    <row r="81" ht="22" customHeight="1">
      <c r="A81" s="6" t="inlineStr">
        <is>
          <t>IMP-08</t>
        </is>
      </c>
      <c r="B81" s="6" t="inlineStr">
        <is>
          <t>INTERMEDIATE</t>
        </is>
      </c>
      <c r="C81" s="6" t="inlineStr">
        <is>
          <t>C3</t>
        </is>
      </c>
      <c r="D81" s="7" t="n"/>
      <c r="E81" s="7" t="n"/>
      <c r="F81" s="7" t="n"/>
      <c r="G81" s="9">
        <f>IFERROR(D81*E81/F81,"")</f>
        <v/>
      </c>
      <c r="H81" s="9">
        <f>IFERROR(G81/VLOOKUP(A81,'杂质清单'!$A$4:$F$13,5,FALSE)*100,"")</f>
        <v/>
      </c>
    </row>
    <row r="82" ht="22" customHeight="1">
      <c r="A82" s="6" t="inlineStr">
        <is>
          <t>IMP-08</t>
        </is>
      </c>
      <c r="B82" s="6" t="inlineStr">
        <is>
          <t>INTERMEDIATE</t>
        </is>
      </c>
      <c r="C82" s="6" t="inlineStr">
        <is>
          <t>C4</t>
        </is>
      </c>
      <c r="D82" s="7" t="n"/>
      <c r="E82" s="7" t="n"/>
      <c r="F82" s="7" t="n"/>
      <c r="G82" s="9">
        <f>IFERROR(D82*E82/F82,"")</f>
        <v/>
      </c>
      <c r="H82" s="9">
        <f>IFERROR(G82/VLOOKUP(A82,'杂质清单'!$A$4:$F$13,5,FALSE)*100,"")</f>
        <v/>
      </c>
    </row>
    <row r="83" ht="22" customHeight="1">
      <c r="A83" s="6" t="inlineStr">
        <is>
          <t>IMP-08</t>
        </is>
      </c>
      <c r="B83" s="6" t="inlineStr">
        <is>
          <t>INTERMEDIATE</t>
        </is>
      </c>
      <c r="C83" s="6" t="inlineStr">
        <is>
          <t>C5</t>
        </is>
      </c>
      <c r="D83" s="7" t="n"/>
      <c r="E83" s="7" t="n"/>
      <c r="F83" s="7" t="n"/>
      <c r="G83" s="9">
        <f>IFERROR(D83*E83/F83,"")</f>
        <v/>
      </c>
      <c r="H83" s="9">
        <f>IFERROR(G83/VLOOKUP(A83,'杂质清单'!$A$4:$F$13,5,FALSE)*100,"")</f>
        <v/>
      </c>
    </row>
    <row r="84" ht="22" customHeight="1">
      <c r="A84" s="6" t="inlineStr">
        <is>
          <t>IMP-09</t>
        </is>
      </c>
      <c r="B84" s="6" t="inlineStr">
        <is>
          <t>INITIAL</t>
        </is>
      </c>
      <c r="C84" s="6" t="inlineStr">
        <is>
          <t>C1</t>
        </is>
      </c>
      <c r="D84" s="7" t="n"/>
      <c r="E84" s="7" t="n"/>
      <c r="F84" s="7" t="n"/>
      <c r="G84" s="9">
        <f>IFERROR(D84*E84/F84,"")</f>
        <v/>
      </c>
      <c r="H84" s="9">
        <f>IFERROR(G84/VLOOKUP(A84,'杂质清单'!$A$4:$F$13,5,FALSE)*100,"")</f>
        <v/>
      </c>
    </row>
    <row r="85" ht="22" customHeight="1">
      <c r="A85" s="6" t="inlineStr">
        <is>
          <t>IMP-09</t>
        </is>
      </c>
      <c r="B85" s="6" t="inlineStr">
        <is>
          <t>INITIAL</t>
        </is>
      </c>
      <c r="C85" s="6" t="inlineStr">
        <is>
          <t>C2</t>
        </is>
      </c>
      <c r="D85" s="7" t="n"/>
      <c r="E85" s="7" t="n"/>
      <c r="F85" s="7" t="n"/>
      <c r="G85" s="9">
        <f>IFERROR(D85*E85/F85,"")</f>
        <v/>
      </c>
      <c r="H85" s="9">
        <f>IFERROR(G85/VLOOKUP(A85,'杂质清单'!$A$4:$F$13,5,FALSE)*100,"")</f>
        <v/>
      </c>
    </row>
    <row r="86" ht="22" customHeight="1">
      <c r="A86" s="6" t="inlineStr">
        <is>
          <t>IMP-09</t>
        </is>
      </c>
      <c r="B86" s="6" t="inlineStr">
        <is>
          <t>INITIAL</t>
        </is>
      </c>
      <c r="C86" s="6" t="inlineStr">
        <is>
          <t>C3</t>
        </is>
      </c>
      <c r="D86" s="7" t="n"/>
      <c r="E86" s="7" t="n"/>
      <c r="F86" s="7" t="n"/>
      <c r="G86" s="9">
        <f>IFERROR(D86*E86/F86,"")</f>
        <v/>
      </c>
      <c r="H86" s="9">
        <f>IFERROR(G86/VLOOKUP(A86,'杂质清单'!$A$4:$F$13,5,FALSE)*100,"")</f>
        <v/>
      </c>
    </row>
    <row r="87" ht="22" customHeight="1">
      <c r="A87" s="6" t="inlineStr">
        <is>
          <t>IMP-09</t>
        </is>
      </c>
      <c r="B87" s="6" t="inlineStr">
        <is>
          <t>INITIAL</t>
        </is>
      </c>
      <c r="C87" s="6" t="inlineStr">
        <is>
          <t>C4</t>
        </is>
      </c>
      <c r="D87" s="7" t="n"/>
      <c r="E87" s="7" t="n"/>
      <c r="F87" s="7" t="n"/>
      <c r="G87" s="9">
        <f>IFERROR(D87*E87/F87,"")</f>
        <v/>
      </c>
      <c r="H87" s="9">
        <f>IFERROR(G87/VLOOKUP(A87,'杂质清单'!$A$4:$F$13,5,FALSE)*100,"")</f>
        <v/>
      </c>
    </row>
    <row r="88" ht="22" customHeight="1">
      <c r="A88" s="6" t="inlineStr">
        <is>
          <t>IMP-09</t>
        </is>
      </c>
      <c r="B88" s="6" t="inlineStr">
        <is>
          <t>INITIAL</t>
        </is>
      </c>
      <c r="C88" s="6" t="inlineStr">
        <is>
          <t>C5</t>
        </is>
      </c>
      <c r="D88" s="7" t="n"/>
      <c r="E88" s="7" t="n"/>
      <c r="F88" s="7" t="n"/>
      <c r="G88" s="9">
        <f>IFERROR(D88*E88/F88,"")</f>
        <v/>
      </c>
      <c r="H88" s="9">
        <f>IFERROR(G88/VLOOKUP(A88,'杂质清单'!$A$4:$F$13,5,FALSE)*100,"")</f>
        <v/>
      </c>
    </row>
    <row r="89" ht="22" customHeight="1">
      <c r="A89" s="6" t="inlineStr">
        <is>
          <t>IMP-09</t>
        </is>
      </c>
      <c r="B89" s="6" t="inlineStr">
        <is>
          <t>INTERMEDIATE</t>
        </is>
      </c>
      <c r="C89" s="6" t="inlineStr">
        <is>
          <t>C1</t>
        </is>
      </c>
      <c r="D89" s="7" t="n"/>
      <c r="E89" s="7" t="n"/>
      <c r="F89" s="7" t="n"/>
      <c r="G89" s="9">
        <f>IFERROR(D89*E89/F89,"")</f>
        <v/>
      </c>
      <c r="H89" s="9">
        <f>IFERROR(G89/VLOOKUP(A89,'杂质清单'!$A$4:$F$13,5,FALSE)*100,"")</f>
        <v/>
      </c>
    </row>
    <row r="90" ht="22" customHeight="1">
      <c r="A90" s="6" t="inlineStr">
        <is>
          <t>IMP-09</t>
        </is>
      </c>
      <c r="B90" s="6" t="inlineStr">
        <is>
          <t>INTERMEDIATE</t>
        </is>
      </c>
      <c r="C90" s="6" t="inlineStr">
        <is>
          <t>C2</t>
        </is>
      </c>
      <c r="D90" s="7" t="n"/>
      <c r="E90" s="7" t="n"/>
      <c r="F90" s="7" t="n"/>
      <c r="G90" s="9">
        <f>IFERROR(D90*E90/F90,"")</f>
        <v/>
      </c>
      <c r="H90" s="9">
        <f>IFERROR(G90/VLOOKUP(A90,'杂质清单'!$A$4:$F$13,5,FALSE)*100,"")</f>
        <v/>
      </c>
    </row>
    <row r="91" ht="22" customHeight="1">
      <c r="A91" s="6" t="inlineStr">
        <is>
          <t>IMP-09</t>
        </is>
      </c>
      <c r="B91" s="6" t="inlineStr">
        <is>
          <t>INTERMEDIATE</t>
        </is>
      </c>
      <c r="C91" s="6" t="inlineStr">
        <is>
          <t>C3</t>
        </is>
      </c>
      <c r="D91" s="7" t="n"/>
      <c r="E91" s="7" t="n"/>
      <c r="F91" s="7" t="n"/>
      <c r="G91" s="9">
        <f>IFERROR(D91*E91/F91,"")</f>
        <v/>
      </c>
      <c r="H91" s="9">
        <f>IFERROR(G91/VLOOKUP(A91,'杂质清单'!$A$4:$F$13,5,FALSE)*100,"")</f>
        <v/>
      </c>
    </row>
    <row r="92" ht="22" customHeight="1">
      <c r="A92" s="6" t="inlineStr">
        <is>
          <t>IMP-09</t>
        </is>
      </c>
      <c r="B92" s="6" t="inlineStr">
        <is>
          <t>INTERMEDIATE</t>
        </is>
      </c>
      <c r="C92" s="6" t="inlineStr">
        <is>
          <t>C4</t>
        </is>
      </c>
      <c r="D92" s="7" t="n"/>
      <c r="E92" s="7" t="n"/>
      <c r="F92" s="7" t="n"/>
      <c r="G92" s="9">
        <f>IFERROR(D92*E92/F92,"")</f>
        <v/>
      </c>
      <c r="H92" s="9">
        <f>IFERROR(G92/VLOOKUP(A92,'杂质清单'!$A$4:$F$13,5,FALSE)*100,"")</f>
        <v/>
      </c>
    </row>
    <row r="93" ht="22" customHeight="1">
      <c r="A93" s="6" t="inlineStr">
        <is>
          <t>IMP-09</t>
        </is>
      </c>
      <c r="B93" s="6" t="inlineStr">
        <is>
          <t>INTERMEDIATE</t>
        </is>
      </c>
      <c r="C93" s="6" t="inlineStr">
        <is>
          <t>C5</t>
        </is>
      </c>
      <c r="D93" s="7" t="n"/>
      <c r="E93" s="7" t="n"/>
      <c r="F93" s="7" t="n"/>
      <c r="G93" s="9">
        <f>IFERROR(D93*E93/F93,"")</f>
        <v/>
      </c>
      <c r="H93" s="9">
        <f>IFERROR(G93/VLOOKUP(A93,'杂质清单'!$A$4:$F$13,5,FALSE)*100,"")</f>
        <v/>
      </c>
    </row>
    <row r="94" ht="22" customHeight="1">
      <c r="A94" s="6" t="inlineStr">
        <is>
          <t>IMP-10</t>
        </is>
      </c>
      <c r="B94" s="6" t="inlineStr">
        <is>
          <t>INITIAL</t>
        </is>
      </c>
      <c r="C94" s="6" t="inlineStr">
        <is>
          <t>C1</t>
        </is>
      </c>
      <c r="D94" s="7" t="n"/>
      <c r="E94" s="7" t="n"/>
      <c r="F94" s="7" t="n"/>
      <c r="G94" s="9">
        <f>IFERROR(D94*E94/F94,"")</f>
        <v/>
      </c>
      <c r="H94" s="9">
        <f>IFERROR(G94/VLOOKUP(A94,'杂质清单'!$A$4:$F$13,5,FALSE)*100,"")</f>
        <v/>
      </c>
    </row>
    <row r="95" ht="22" customHeight="1">
      <c r="A95" s="6" t="inlineStr">
        <is>
          <t>IMP-10</t>
        </is>
      </c>
      <c r="B95" s="6" t="inlineStr">
        <is>
          <t>INITIAL</t>
        </is>
      </c>
      <c r="C95" s="6" t="inlineStr">
        <is>
          <t>C2</t>
        </is>
      </c>
      <c r="D95" s="7" t="n"/>
      <c r="E95" s="7" t="n"/>
      <c r="F95" s="7" t="n"/>
      <c r="G95" s="9">
        <f>IFERROR(D95*E95/F95,"")</f>
        <v/>
      </c>
      <c r="H95" s="9">
        <f>IFERROR(G95/VLOOKUP(A95,'杂质清单'!$A$4:$F$13,5,FALSE)*100,"")</f>
        <v/>
      </c>
    </row>
    <row r="96" ht="22" customHeight="1">
      <c r="A96" s="6" t="inlineStr">
        <is>
          <t>IMP-10</t>
        </is>
      </c>
      <c r="B96" s="6" t="inlineStr">
        <is>
          <t>INITIAL</t>
        </is>
      </c>
      <c r="C96" s="6" t="inlineStr">
        <is>
          <t>C3</t>
        </is>
      </c>
      <c r="D96" s="7" t="n"/>
      <c r="E96" s="7" t="n"/>
      <c r="F96" s="7" t="n"/>
      <c r="G96" s="9">
        <f>IFERROR(D96*E96/F96,"")</f>
        <v/>
      </c>
      <c r="H96" s="9">
        <f>IFERROR(G96/VLOOKUP(A96,'杂质清单'!$A$4:$F$13,5,FALSE)*100,"")</f>
        <v/>
      </c>
    </row>
    <row r="97" ht="22" customHeight="1">
      <c r="A97" s="6" t="inlineStr">
        <is>
          <t>IMP-10</t>
        </is>
      </c>
      <c r="B97" s="6" t="inlineStr">
        <is>
          <t>INITIAL</t>
        </is>
      </c>
      <c r="C97" s="6" t="inlineStr">
        <is>
          <t>C4</t>
        </is>
      </c>
      <c r="D97" s="7" t="n"/>
      <c r="E97" s="7" t="n"/>
      <c r="F97" s="7" t="n"/>
      <c r="G97" s="9">
        <f>IFERROR(D97*E97/F97,"")</f>
        <v/>
      </c>
      <c r="H97" s="9">
        <f>IFERROR(G97/VLOOKUP(A97,'杂质清单'!$A$4:$F$13,5,FALSE)*100,"")</f>
        <v/>
      </c>
    </row>
    <row r="98" ht="22" customHeight="1">
      <c r="A98" s="6" t="inlineStr">
        <is>
          <t>IMP-10</t>
        </is>
      </c>
      <c r="B98" s="6" t="inlineStr">
        <is>
          <t>INITIAL</t>
        </is>
      </c>
      <c r="C98" s="6" t="inlineStr">
        <is>
          <t>C5</t>
        </is>
      </c>
      <c r="D98" s="7" t="n"/>
      <c r="E98" s="7" t="n"/>
      <c r="F98" s="7" t="n"/>
      <c r="G98" s="9">
        <f>IFERROR(D98*E98/F98,"")</f>
        <v/>
      </c>
      <c r="H98" s="9">
        <f>IFERROR(G98/VLOOKUP(A98,'杂质清单'!$A$4:$F$13,5,FALSE)*100,"")</f>
        <v/>
      </c>
    </row>
    <row r="99" ht="22" customHeight="1">
      <c r="A99" s="6" t="inlineStr">
        <is>
          <t>IMP-10</t>
        </is>
      </c>
      <c r="B99" s="6" t="inlineStr">
        <is>
          <t>INTERMEDIATE</t>
        </is>
      </c>
      <c r="C99" s="6" t="inlineStr">
        <is>
          <t>C1</t>
        </is>
      </c>
      <c r="D99" s="7" t="n"/>
      <c r="E99" s="7" t="n"/>
      <c r="F99" s="7" t="n"/>
      <c r="G99" s="9">
        <f>IFERROR(D99*E99/F99,"")</f>
        <v/>
      </c>
      <c r="H99" s="9">
        <f>IFERROR(G99/VLOOKUP(A99,'杂质清单'!$A$4:$F$13,5,FALSE)*100,"")</f>
        <v/>
      </c>
    </row>
    <row r="100" ht="22" customHeight="1">
      <c r="A100" s="6" t="inlineStr">
        <is>
          <t>IMP-10</t>
        </is>
      </c>
      <c r="B100" s="6" t="inlineStr">
        <is>
          <t>INTERMEDIATE</t>
        </is>
      </c>
      <c r="C100" s="6" t="inlineStr">
        <is>
          <t>C2</t>
        </is>
      </c>
      <c r="D100" s="7" t="n"/>
      <c r="E100" s="7" t="n"/>
      <c r="F100" s="7" t="n"/>
      <c r="G100" s="9">
        <f>IFERROR(D100*E100/F100,"")</f>
        <v/>
      </c>
      <c r="H100" s="9">
        <f>IFERROR(G100/VLOOKUP(A100,'杂质清单'!$A$4:$F$13,5,FALSE)*100,"")</f>
        <v/>
      </c>
    </row>
    <row r="101" ht="22" customHeight="1">
      <c r="A101" s="6" t="inlineStr">
        <is>
          <t>IMP-10</t>
        </is>
      </c>
      <c r="B101" s="6" t="inlineStr">
        <is>
          <t>INTERMEDIATE</t>
        </is>
      </c>
      <c r="C101" s="6" t="inlineStr">
        <is>
          <t>C3</t>
        </is>
      </c>
      <c r="D101" s="7" t="n"/>
      <c r="E101" s="7" t="n"/>
      <c r="F101" s="7" t="n"/>
      <c r="G101" s="9">
        <f>IFERROR(D101*E101/F101,"")</f>
        <v/>
      </c>
      <c r="H101" s="9">
        <f>IFERROR(G101/VLOOKUP(A101,'杂质清单'!$A$4:$F$13,5,FALSE)*100,"")</f>
        <v/>
      </c>
    </row>
    <row r="102" ht="22" customHeight="1">
      <c r="A102" s="6" t="inlineStr">
        <is>
          <t>IMP-10</t>
        </is>
      </c>
      <c r="B102" s="6" t="inlineStr">
        <is>
          <t>INTERMEDIATE</t>
        </is>
      </c>
      <c r="C102" s="6" t="inlineStr">
        <is>
          <t>C4</t>
        </is>
      </c>
      <c r="D102" s="7" t="n"/>
      <c r="E102" s="7" t="n"/>
      <c r="F102" s="7" t="n"/>
      <c r="G102" s="9">
        <f>IFERROR(D102*E102/F102,"")</f>
        <v/>
      </c>
      <c r="H102" s="9">
        <f>IFERROR(G102/VLOOKUP(A102,'杂质清单'!$A$4:$F$13,5,FALSE)*100,"")</f>
        <v/>
      </c>
    </row>
    <row r="103" ht="22" customHeight="1">
      <c r="A103" s="6" t="inlineStr">
        <is>
          <t>IMP-10</t>
        </is>
      </c>
      <c r="B103" s="6" t="inlineStr">
        <is>
          <t>INTERMEDIATE</t>
        </is>
      </c>
      <c r="C103" s="6" t="inlineStr">
        <is>
          <t>C5</t>
        </is>
      </c>
      <c r="D103" s="7" t="n"/>
      <c r="E103" s="7" t="n"/>
      <c r="F103" s="7" t="n"/>
      <c r="G103" s="9">
        <f>IFERROR(D103*E103/F103,"")</f>
        <v/>
      </c>
      <c r="H103" s="9">
        <f>IFERROR(G103/VLOOKUP(A103,'杂质清单'!$A$4:$F$13,5,FALSE)*100,"")</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H1"/>
  </mergeCells>
  <conditionalFormatting sqref="A4:A103">
    <cfRule type="expression" priority="1" dxfId="0">
      <formula>AND(A4&lt;&gt;"",COUNTIF($A$4:$A$103,A4)&gt;20)</formula>
    </cfRule>
  </conditionalFormatting>
  <dataValidations count="1">
    <dataValidation sqref="D4 E4 F4 D5 E5 F5 D6 E6 F6 D7 E7 F7 D8 E8 F8 D9 E9 F9 D10 E10 F10 D11 E11 F11 D12 E12 F12 D13 E13 F13 D14 E14 F14 D15 E15 F15 D16 E16 F16 D17 E17 F17 D18 E18 F18 D19 E19 F19 D20 E20 F20 D21 E21 F21 D22 E22 F22 D23 E23 F23 D24 E24 F24 D25 E25 F25 D26 E26 F26 D27 E27 F27 D28 E28 F28 D29 E29 F29 D30 E30 F30 D31 E31 F31 D32 E32 F32 D33 E33 F33 D34 E34 F34 D35 E35 F35 D36 E36 F36 D37 E37 F37 D38 E38 F38 D39 E39 F39 D40 E40 F40 D41 E41 F41 D42 E42 F42 D43 E43 F43 D44 E44 F44 D45 E45 F45 D46 E46 F46 D47 E47 F47 D48 E48 F48 D49 E49 F49 D50 E50 F50 D51 E51 F51 D52 E52 F52 D53 E53 F53 D54 E54 F54 D55 E55 F55 D56 E56 F56 D57 E57 F57 D58 E58 F58 D59 E59 F59 D60 E60 F60 D61 E61 F61 D62 E62 F62 D63 E63 F63 D64 E64 F64 D65 E65 F65 D66 E66 F66 D67 E67 F67 D68 E68 F68 D69 E69 F69 D70 E70 F70 D71 E71 F71 D72 E72 F72 D73 E73 F73 D74 E74 F74 D75 E75 F75 D76 E76 F76 D77 E77 F77 D78 E78 F78 D79 E79 F79 D80 E80 F80 D81 E81 F81 D82 E82 F82 D83 E83 F83 D84 E84 F84 D85 E85 F85 D86 E86 F86 D87 E87 F87 D88 E88 F88 D89 E89 F89 D90 E90 F90 D91 E91 F91 D92 E92 F92 D93 E93 F93 D94 E94 F94 D95 E95 F95 D96 E96 F96 D97 E97 F97 D98 E98 F98 D99 E99 F99 D100 E100 F100 D101 E101 F101 D102 E102 F102 D103 E103 F10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03"/>
  <sheetViews>
    <sheetView workbookViewId="0">
      <selection activeCell="A1" sqref="A1"/>
    </sheetView>
  </sheetViews>
  <sheetFormatPr baseColWidth="8" defaultRowHeight="15"/>
  <cols>
    <col width="14" customWidth="1" min="1" max="1"/>
    <col width="18" customWidth="1" min="2" max="2"/>
    <col width="14" customWidth="1" min="3" max="3"/>
    <col width="22" customWidth="1" min="4" max="4"/>
    <col width="18" customWidth="1" min="5" max="5"/>
    <col width="20" customWidth="1" min="6" max="6"/>
    <col width="16" customWidth="1" min="7" max="7"/>
    <col width="19" customWidth="1" min="8" max="8"/>
    <col width="16" customWidth="1" min="9" max="9"/>
    <col width="16" customWidth="1" min="10" max="10"/>
    <col width="18" customWidth="1" min="11" max="11"/>
    <col width="24" customWidth="1" min="12" max="12"/>
  </cols>
  <sheetData>
    <row r="1" ht="30" customHeight="1">
      <c r="A1" s="1" t="inlineStr">
        <is>
          <t>线性与范围结果</t>
        </is>
      </c>
    </row>
    <row r="2" ht="30" customHeight="1">
      <c r="A2" s="4" t="inlineStr">
        <is>
          <t>impurity_id</t>
        </is>
      </c>
      <c r="B2" s="4" t="inlineStr">
        <is>
          <t>run_type</t>
        </is>
      </c>
      <c r="C2" s="4" t="inlineStr">
        <is>
          <t>level</t>
        </is>
      </c>
      <c r="D2" s="4" t="inlineStr">
        <is>
          <t>actual_concentration</t>
        </is>
      </c>
      <c r="E2" s="4" t="inlineStr">
        <is>
          <t>peak_area</t>
        </is>
      </c>
      <c r="F2" s="4" t="inlineStr">
        <is>
          <t>predicted_peak_area</t>
        </is>
      </c>
      <c r="G2" s="4" t="inlineStr">
        <is>
          <t>residual</t>
        </is>
      </c>
      <c r="H2" s="4" t="inlineStr">
        <is>
          <t>relative_residual</t>
        </is>
      </c>
      <c r="I2" s="4" t="inlineStr">
        <is>
          <t>slope</t>
        </is>
      </c>
      <c r="J2" s="4" t="inlineStr">
        <is>
          <t>intercept</t>
        </is>
      </c>
      <c r="K2" s="4" t="inlineStr">
        <is>
          <t>correlation_coefficient</t>
        </is>
      </c>
      <c r="L2" s="4" t="inlineStr">
        <is>
          <t>intercept_ratio</t>
        </is>
      </c>
    </row>
    <row r="3" ht="30" customHeight="1">
      <c r="A3" s="5" t="inlineStr">
        <is>
          <t>杂质编号</t>
        </is>
      </c>
      <c r="B3" s="5" t="inlineStr">
        <is>
          <t>线性批次</t>
        </is>
      </c>
      <c r="C3" s="5" t="inlineStr">
        <is>
          <t>浓度级别</t>
        </is>
      </c>
      <c r="D3" s="5" t="inlineStr">
        <is>
          <t>实际浓度（ng/ml）</t>
        </is>
      </c>
      <c r="E3" s="5" t="inlineStr">
        <is>
          <t>峰面积</t>
        </is>
      </c>
      <c r="F3" s="5" t="inlineStr">
        <is>
          <t>预测峰面积</t>
        </is>
      </c>
      <c r="G3" s="5" t="inlineStr">
        <is>
          <t>残差</t>
        </is>
      </c>
      <c r="H3" s="5" t="inlineStr">
        <is>
          <t>相对残差（%）</t>
        </is>
      </c>
      <c r="I3" s="5" t="inlineStr">
        <is>
          <t>斜率</t>
        </is>
      </c>
      <c r="J3" s="5" t="inlineStr">
        <is>
          <t>截距</t>
        </is>
      </c>
      <c r="K3" s="5" t="inlineStr">
        <is>
          <t>相关系数r</t>
        </is>
      </c>
      <c r="L3" s="5" t="inlineStr">
        <is>
          <t>截距/100%峰面积（%）</t>
        </is>
      </c>
    </row>
    <row r="4" ht="22" customHeight="1">
      <c r="A4" s="6" t="inlineStr">
        <is>
          <t>IMP-01</t>
        </is>
      </c>
      <c r="B4" s="6" t="inlineStr">
        <is>
          <t>INITIAL</t>
        </is>
      </c>
      <c r="C4" s="6" t="inlineStr">
        <is>
          <t>C1</t>
        </is>
      </c>
      <c r="D4" s="7" t="n"/>
      <c r="E4" s="7" t="n"/>
      <c r="F4" s="10">
        <f>IFERROR(I4*D4+J4,"")</f>
        <v/>
      </c>
      <c r="G4" s="10">
        <f>IFERROR(E4-F4,"")</f>
        <v/>
      </c>
      <c r="H4" s="9">
        <f>IFERROR(ROUND(G4/F4*100,2),"")</f>
        <v/>
      </c>
      <c r="I4" s="9">
        <f>IFERROR(SLOPE(E4:E8,D4:D8),"")</f>
        <v/>
      </c>
      <c r="J4" s="9">
        <f>IFERROR(INTERCEPT(E4:E8,D4:D8),"")</f>
        <v/>
      </c>
      <c r="K4" s="11">
        <f>IFERROR(CORREL(E4:E8,D4:D8),"")</f>
        <v/>
      </c>
      <c r="L4" s="9">
        <f>IFERROR(ROUND(J4/E6*100,2),"")</f>
        <v/>
      </c>
    </row>
    <row r="5" ht="22" customHeight="1">
      <c r="A5" s="6" t="inlineStr">
        <is>
          <t>IMP-01</t>
        </is>
      </c>
      <c r="B5" s="6" t="inlineStr">
        <is>
          <t>INITIAL</t>
        </is>
      </c>
      <c r="C5" s="6" t="inlineStr">
        <is>
          <t>C2</t>
        </is>
      </c>
      <c r="D5" s="7" t="n"/>
      <c r="E5" s="7" t="n"/>
      <c r="F5" s="10">
        <f>IFERROR(I5*D5+J5,"")</f>
        <v/>
      </c>
      <c r="G5" s="10">
        <f>IFERROR(E5-F5,"")</f>
        <v/>
      </c>
      <c r="H5" s="9">
        <f>IFERROR(ROUND(G5/F5*100,2),"")</f>
        <v/>
      </c>
      <c r="I5" s="9">
        <f>IFERROR(SLOPE(E4:E8,D4:D8),"")</f>
        <v/>
      </c>
      <c r="J5" s="9">
        <f>IFERROR(INTERCEPT(E4:E8,D4:D8),"")</f>
        <v/>
      </c>
      <c r="K5" s="11">
        <f>IFERROR(CORREL(E4:E8,D4:D8),"")</f>
        <v/>
      </c>
      <c r="L5" s="9">
        <f>IFERROR(ROUND(J5/E6*100,2),"")</f>
        <v/>
      </c>
    </row>
    <row r="6" ht="22" customHeight="1">
      <c r="A6" s="6" t="inlineStr">
        <is>
          <t>IMP-01</t>
        </is>
      </c>
      <c r="B6" s="6" t="inlineStr">
        <is>
          <t>INITIAL</t>
        </is>
      </c>
      <c r="C6" s="6" t="inlineStr">
        <is>
          <t>C3</t>
        </is>
      </c>
      <c r="D6" s="7" t="n"/>
      <c r="E6" s="7" t="n"/>
      <c r="F6" s="10">
        <f>IFERROR(I6*D6+J6,"")</f>
        <v/>
      </c>
      <c r="G6" s="10">
        <f>IFERROR(E6-F6,"")</f>
        <v/>
      </c>
      <c r="H6" s="9">
        <f>IFERROR(ROUND(G6/F6*100,2),"")</f>
        <v/>
      </c>
      <c r="I6" s="9">
        <f>IFERROR(SLOPE(E4:E8,D4:D8),"")</f>
        <v/>
      </c>
      <c r="J6" s="9">
        <f>IFERROR(INTERCEPT(E4:E8,D4:D8),"")</f>
        <v/>
      </c>
      <c r="K6" s="11">
        <f>IFERROR(CORREL(E4:E8,D4:D8),"")</f>
        <v/>
      </c>
      <c r="L6" s="9">
        <f>IFERROR(ROUND(J6/E6*100,2),"")</f>
        <v/>
      </c>
    </row>
    <row r="7" ht="22" customHeight="1">
      <c r="A7" s="6" t="inlineStr">
        <is>
          <t>IMP-01</t>
        </is>
      </c>
      <c r="B7" s="6" t="inlineStr">
        <is>
          <t>INITIAL</t>
        </is>
      </c>
      <c r="C7" s="6" t="inlineStr">
        <is>
          <t>C4</t>
        </is>
      </c>
      <c r="D7" s="7" t="n"/>
      <c r="E7" s="7" t="n"/>
      <c r="F7" s="10">
        <f>IFERROR(I7*D7+J7,"")</f>
        <v/>
      </c>
      <c r="G7" s="10">
        <f>IFERROR(E7-F7,"")</f>
        <v/>
      </c>
      <c r="H7" s="9">
        <f>IFERROR(ROUND(G7/F7*100,2),"")</f>
        <v/>
      </c>
      <c r="I7" s="9">
        <f>IFERROR(SLOPE(E4:E8,D4:D8),"")</f>
        <v/>
      </c>
      <c r="J7" s="9">
        <f>IFERROR(INTERCEPT(E4:E8,D4:D8),"")</f>
        <v/>
      </c>
      <c r="K7" s="11">
        <f>IFERROR(CORREL(E4:E8,D4:D8),"")</f>
        <v/>
      </c>
      <c r="L7" s="9">
        <f>IFERROR(ROUND(J7/E6*100,2),"")</f>
        <v/>
      </c>
    </row>
    <row r="8" ht="22" customHeight="1">
      <c r="A8" s="6" t="inlineStr">
        <is>
          <t>IMP-01</t>
        </is>
      </c>
      <c r="B8" s="6" t="inlineStr">
        <is>
          <t>INITIAL</t>
        </is>
      </c>
      <c r="C8" s="6" t="inlineStr">
        <is>
          <t>C5</t>
        </is>
      </c>
      <c r="D8" s="7" t="n"/>
      <c r="E8" s="7" t="n"/>
      <c r="F8" s="10">
        <f>IFERROR(I8*D8+J8,"")</f>
        <v/>
      </c>
      <c r="G8" s="10">
        <f>IFERROR(E8-F8,"")</f>
        <v/>
      </c>
      <c r="H8" s="9">
        <f>IFERROR(ROUND(G8/F8*100,2),"")</f>
        <v/>
      </c>
      <c r="I8" s="9">
        <f>IFERROR(SLOPE(E4:E8,D4:D8),"")</f>
        <v/>
      </c>
      <c r="J8" s="9">
        <f>IFERROR(INTERCEPT(E4:E8,D4:D8),"")</f>
        <v/>
      </c>
      <c r="K8" s="11">
        <f>IFERROR(CORREL(E4:E8,D4:D8),"")</f>
        <v/>
      </c>
      <c r="L8" s="9">
        <f>IFERROR(ROUND(J8/E6*100,2),"")</f>
        <v/>
      </c>
    </row>
    <row r="9" ht="22" customHeight="1">
      <c r="A9" s="6" t="inlineStr">
        <is>
          <t>IMP-01</t>
        </is>
      </c>
      <c r="B9" s="6" t="inlineStr">
        <is>
          <t>INTERMEDIATE</t>
        </is>
      </c>
      <c r="C9" s="6" t="inlineStr">
        <is>
          <t>C1</t>
        </is>
      </c>
      <c r="D9" s="7" t="n"/>
      <c r="E9" s="7" t="n"/>
      <c r="F9" s="10">
        <f>IFERROR(I9*D9+J9,"")</f>
        <v/>
      </c>
      <c r="G9" s="10">
        <f>IFERROR(E9-F9,"")</f>
        <v/>
      </c>
      <c r="H9" s="9">
        <f>IFERROR(ROUND(G9/F9*100,2),"")</f>
        <v/>
      </c>
      <c r="I9" s="9">
        <f>IFERROR(SLOPE(E9:E13,D9:D13),"")</f>
        <v/>
      </c>
      <c r="J9" s="9">
        <f>IFERROR(INTERCEPT(E9:E13,D9:D13),"")</f>
        <v/>
      </c>
      <c r="K9" s="11">
        <f>IFERROR(CORREL(E9:E13,D9:D13),"")</f>
        <v/>
      </c>
      <c r="L9" s="9">
        <f>IFERROR(ROUND(J9/E11*100,2),"")</f>
        <v/>
      </c>
    </row>
    <row r="10" ht="22" customHeight="1">
      <c r="A10" s="6" t="inlineStr">
        <is>
          <t>IMP-01</t>
        </is>
      </c>
      <c r="B10" s="6" t="inlineStr">
        <is>
          <t>INTERMEDIATE</t>
        </is>
      </c>
      <c r="C10" s="6" t="inlineStr">
        <is>
          <t>C2</t>
        </is>
      </c>
      <c r="D10" s="7" t="n"/>
      <c r="E10" s="7" t="n"/>
      <c r="F10" s="10">
        <f>IFERROR(I10*D10+J10,"")</f>
        <v/>
      </c>
      <c r="G10" s="10">
        <f>IFERROR(E10-F10,"")</f>
        <v/>
      </c>
      <c r="H10" s="9">
        <f>IFERROR(ROUND(G10/F10*100,2),"")</f>
        <v/>
      </c>
      <c r="I10" s="9">
        <f>IFERROR(SLOPE(E9:E13,D9:D13),"")</f>
        <v/>
      </c>
      <c r="J10" s="9">
        <f>IFERROR(INTERCEPT(E9:E13,D9:D13),"")</f>
        <v/>
      </c>
      <c r="K10" s="11">
        <f>IFERROR(CORREL(E9:E13,D9:D13),"")</f>
        <v/>
      </c>
      <c r="L10" s="9">
        <f>IFERROR(ROUND(J10/E11*100,2),"")</f>
        <v/>
      </c>
    </row>
    <row r="11" ht="22" customHeight="1">
      <c r="A11" s="6" t="inlineStr">
        <is>
          <t>IMP-01</t>
        </is>
      </c>
      <c r="B11" s="6" t="inlineStr">
        <is>
          <t>INTERMEDIATE</t>
        </is>
      </c>
      <c r="C11" s="6" t="inlineStr">
        <is>
          <t>C3</t>
        </is>
      </c>
      <c r="D11" s="7" t="n"/>
      <c r="E11" s="7" t="n"/>
      <c r="F11" s="10">
        <f>IFERROR(I11*D11+J11,"")</f>
        <v/>
      </c>
      <c r="G11" s="10">
        <f>IFERROR(E11-F11,"")</f>
        <v/>
      </c>
      <c r="H11" s="9">
        <f>IFERROR(ROUND(G11/F11*100,2),"")</f>
        <v/>
      </c>
      <c r="I11" s="9">
        <f>IFERROR(SLOPE(E9:E13,D9:D13),"")</f>
        <v/>
      </c>
      <c r="J11" s="9">
        <f>IFERROR(INTERCEPT(E9:E13,D9:D13),"")</f>
        <v/>
      </c>
      <c r="K11" s="11">
        <f>IFERROR(CORREL(E9:E13,D9:D13),"")</f>
        <v/>
      </c>
      <c r="L11" s="9">
        <f>IFERROR(ROUND(J11/E11*100,2),"")</f>
        <v/>
      </c>
    </row>
    <row r="12" ht="22" customHeight="1">
      <c r="A12" s="6" t="inlineStr">
        <is>
          <t>IMP-01</t>
        </is>
      </c>
      <c r="B12" s="6" t="inlineStr">
        <is>
          <t>INTERMEDIATE</t>
        </is>
      </c>
      <c r="C12" s="6" t="inlineStr">
        <is>
          <t>C4</t>
        </is>
      </c>
      <c r="D12" s="7" t="n"/>
      <c r="E12" s="7" t="n"/>
      <c r="F12" s="10">
        <f>IFERROR(I12*D12+J12,"")</f>
        <v/>
      </c>
      <c r="G12" s="10">
        <f>IFERROR(E12-F12,"")</f>
        <v/>
      </c>
      <c r="H12" s="9">
        <f>IFERROR(ROUND(G12/F12*100,2),"")</f>
        <v/>
      </c>
      <c r="I12" s="9">
        <f>IFERROR(SLOPE(E9:E13,D9:D13),"")</f>
        <v/>
      </c>
      <c r="J12" s="9">
        <f>IFERROR(INTERCEPT(E9:E13,D9:D13),"")</f>
        <v/>
      </c>
      <c r="K12" s="11">
        <f>IFERROR(CORREL(E9:E13,D9:D13),"")</f>
        <v/>
      </c>
      <c r="L12" s="9">
        <f>IFERROR(ROUND(J12/E11*100,2),"")</f>
        <v/>
      </c>
    </row>
    <row r="13" ht="22" customHeight="1">
      <c r="A13" s="6" t="inlineStr">
        <is>
          <t>IMP-01</t>
        </is>
      </c>
      <c r="B13" s="6" t="inlineStr">
        <is>
          <t>INTERMEDIATE</t>
        </is>
      </c>
      <c r="C13" s="6" t="inlineStr">
        <is>
          <t>C5</t>
        </is>
      </c>
      <c r="D13" s="7" t="n"/>
      <c r="E13" s="7" t="n"/>
      <c r="F13" s="10">
        <f>IFERROR(I13*D13+J13,"")</f>
        <v/>
      </c>
      <c r="G13" s="10">
        <f>IFERROR(E13-F13,"")</f>
        <v/>
      </c>
      <c r="H13" s="9">
        <f>IFERROR(ROUND(G13/F13*100,2),"")</f>
        <v/>
      </c>
      <c r="I13" s="9">
        <f>IFERROR(SLOPE(E9:E13,D9:D13),"")</f>
        <v/>
      </c>
      <c r="J13" s="9">
        <f>IFERROR(INTERCEPT(E9:E13,D9:D13),"")</f>
        <v/>
      </c>
      <c r="K13" s="11">
        <f>IFERROR(CORREL(E9:E13,D9:D13),"")</f>
        <v/>
      </c>
      <c r="L13" s="9">
        <f>IFERROR(ROUND(J13/E11*100,2),"")</f>
        <v/>
      </c>
    </row>
    <row r="14" ht="22" customHeight="1">
      <c r="A14" s="6" t="inlineStr">
        <is>
          <t>IMP-02</t>
        </is>
      </c>
      <c r="B14" s="6" t="inlineStr">
        <is>
          <t>INITIAL</t>
        </is>
      </c>
      <c r="C14" s="6" t="inlineStr">
        <is>
          <t>C1</t>
        </is>
      </c>
      <c r="D14" s="7" t="n"/>
      <c r="E14" s="7" t="n"/>
      <c r="F14" s="10">
        <f>IFERROR(I14*D14+J14,"")</f>
        <v/>
      </c>
      <c r="G14" s="10">
        <f>IFERROR(E14-F14,"")</f>
        <v/>
      </c>
      <c r="H14" s="9">
        <f>IFERROR(ROUND(G14/F14*100,2),"")</f>
        <v/>
      </c>
      <c r="I14" s="9">
        <f>IFERROR(SLOPE(E14:E18,D14:D18),"")</f>
        <v/>
      </c>
      <c r="J14" s="9">
        <f>IFERROR(INTERCEPT(E14:E18,D14:D18),"")</f>
        <v/>
      </c>
      <c r="K14" s="11">
        <f>IFERROR(CORREL(E14:E18,D14:D18),"")</f>
        <v/>
      </c>
      <c r="L14" s="9">
        <f>IFERROR(ROUND(J14/E16*100,2),"")</f>
        <v/>
      </c>
    </row>
    <row r="15" ht="22" customHeight="1">
      <c r="A15" s="6" t="inlineStr">
        <is>
          <t>IMP-02</t>
        </is>
      </c>
      <c r="B15" s="6" t="inlineStr">
        <is>
          <t>INITIAL</t>
        </is>
      </c>
      <c r="C15" s="6" t="inlineStr">
        <is>
          <t>C2</t>
        </is>
      </c>
      <c r="D15" s="7" t="n"/>
      <c r="E15" s="7" t="n"/>
      <c r="F15" s="10">
        <f>IFERROR(I15*D15+J15,"")</f>
        <v/>
      </c>
      <c r="G15" s="10">
        <f>IFERROR(E15-F15,"")</f>
        <v/>
      </c>
      <c r="H15" s="9">
        <f>IFERROR(ROUND(G15/F15*100,2),"")</f>
        <v/>
      </c>
      <c r="I15" s="9">
        <f>IFERROR(SLOPE(E14:E18,D14:D18),"")</f>
        <v/>
      </c>
      <c r="J15" s="9">
        <f>IFERROR(INTERCEPT(E14:E18,D14:D18),"")</f>
        <v/>
      </c>
      <c r="K15" s="11">
        <f>IFERROR(CORREL(E14:E18,D14:D18),"")</f>
        <v/>
      </c>
      <c r="L15" s="9">
        <f>IFERROR(ROUND(J15/E16*100,2),"")</f>
        <v/>
      </c>
    </row>
    <row r="16" ht="22" customHeight="1">
      <c r="A16" s="6" t="inlineStr">
        <is>
          <t>IMP-02</t>
        </is>
      </c>
      <c r="B16" s="6" t="inlineStr">
        <is>
          <t>INITIAL</t>
        </is>
      </c>
      <c r="C16" s="6" t="inlineStr">
        <is>
          <t>C3</t>
        </is>
      </c>
      <c r="D16" s="7" t="n"/>
      <c r="E16" s="7" t="n"/>
      <c r="F16" s="10">
        <f>IFERROR(I16*D16+J16,"")</f>
        <v/>
      </c>
      <c r="G16" s="10">
        <f>IFERROR(E16-F16,"")</f>
        <v/>
      </c>
      <c r="H16" s="9">
        <f>IFERROR(ROUND(G16/F16*100,2),"")</f>
        <v/>
      </c>
      <c r="I16" s="9">
        <f>IFERROR(SLOPE(E14:E18,D14:D18),"")</f>
        <v/>
      </c>
      <c r="J16" s="9">
        <f>IFERROR(INTERCEPT(E14:E18,D14:D18),"")</f>
        <v/>
      </c>
      <c r="K16" s="11">
        <f>IFERROR(CORREL(E14:E18,D14:D18),"")</f>
        <v/>
      </c>
      <c r="L16" s="9">
        <f>IFERROR(ROUND(J16/E16*100,2),"")</f>
        <v/>
      </c>
    </row>
    <row r="17" ht="22" customHeight="1">
      <c r="A17" s="6" t="inlineStr">
        <is>
          <t>IMP-02</t>
        </is>
      </c>
      <c r="B17" s="6" t="inlineStr">
        <is>
          <t>INITIAL</t>
        </is>
      </c>
      <c r="C17" s="6" t="inlineStr">
        <is>
          <t>C4</t>
        </is>
      </c>
      <c r="D17" s="7" t="n"/>
      <c r="E17" s="7" t="n"/>
      <c r="F17" s="10">
        <f>IFERROR(I17*D17+J17,"")</f>
        <v/>
      </c>
      <c r="G17" s="10">
        <f>IFERROR(E17-F17,"")</f>
        <v/>
      </c>
      <c r="H17" s="9">
        <f>IFERROR(ROUND(G17/F17*100,2),"")</f>
        <v/>
      </c>
      <c r="I17" s="9">
        <f>IFERROR(SLOPE(E14:E18,D14:D18),"")</f>
        <v/>
      </c>
      <c r="J17" s="9">
        <f>IFERROR(INTERCEPT(E14:E18,D14:D18),"")</f>
        <v/>
      </c>
      <c r="K17" s="11">
        <f>IFERROR(CORREL(E14:E18,D14:D18),"")</f>
        <v/>
      </c>
      <c r="L17" s="9">
        <f>IFERROR(ROUND(J17/E16*100,2),"")</f>
        <v/>
      </c>
    </row>
    <row r="18" ht="22" customHeight="1">
      <c r="A18" s="6" t="inlineStr">
        <is>
          <t>IMP-02</t>
        </is>
      </c>
      <c r="B18" s="6" t="inlineStr">
        <is>
          <t>INITIAL</t>
        </is>
      </c>
      <c r="C18" s="6" t="inlineStr">
        <is>
          <t>C5</t>
        </is>
      </c>
      <c r="D18" s="7" t="n"/>
      <c r="E18" s="7" t="n"/>
      <c r="F18" s="10">
        <f>IFERROR(I18*D18+J18,"")</f>
        <v/>
      </c>
      <c r="G18" s="10">
        <f>IFERROR(E18-F18,"")</f>
        <v/>
      </c>
      <c r="H18" s="9">
        <f>IFERROR(ROUND(G18/F18*100,2),"")</f>
        <v/>
      </c>
      <c r="I18" s="9">
        <f>IFERROR(SLOPE(E14:E18,D14:D18),"")</f>
        <v/>
      </c>
      <c r="J18" s="9">
        <f>IFERROR(INTERCEPT(E14:E18,D14:D18),"")</f>
        <v/>
      </c>
      <c r="K18" s="11">
        <f>IFERROR(CORREL(E14:E18,D14:D18),"")</f>
        <v/>
      </c>
      <c r="L18" s="9">
        <f>IFERROR(ROUND(J18/E16*100,2),"")</f>
        <v/>
      </c>
    </row>
    <row r="19" ht="22" customHeight="1">
      <c r="A19" s="6" t="inlineStr">
        <is>
          <t>IMP-02</t>
        </is>
      </c>
      <c r="B19" s="6" t="inlineStr">
        <is>
          <t>INTERMEDIATE</t>
        </is>
      </c>
      <c r="C19" s="6" t="inlineStr">
        <is>
          <t>C1</t>
        </is>
      </c>
      <c r="D19" s="7" t="n"/>
      <c r="E19" s="7" t="n"/>
      <c r="F19" s="10">
        <f>IFERROR(I19*D19+J19,"")</f>
        <v/>
      </c>
      <c r="G19" s="10">
        <f>IFERROR(E19-F19,"")</f>
        <v/>
      </c>
      <c r="H19" s="9">
        <f>IFERROR(ROUND(G19/F19*100,2),"")</f>
        <v/>
      </c>
      <c r="I19" s="9">
        <f>IFERROR(SLOPE(E19:E23,D19:D23),"")</f>
        <v/>
      </c>
      <c r="J19" s="9">
        <f>IFERROR(INTERCEPT(E19:E23,D19:D23),"")</f>
        <v/>
      </c>
      <c r="K19" s="11">
        <f>IFERROR(CORREL(E19:E23,D19:D23),"")</f>
        <v/>
      </c>
      <c r="L19" s="9">
        <f>IFERROR(ROUND(J19/E21*100,2),"")</f>
        <v/>
      </c>
    </row>
    <row r="20" ht="22" customHeight="1">
      <c r="A20" s="6" t="inlineStr">
        <is>
          <t>IMP-02</t>
        </is>
      </c>
      <c r="B20" s="6" t="inlineStr">
        <is>
          <t>INTERMEDIATE</t>
        </is>
      </c>
      <c r="C20" s="6" t="inlineStr">
        <is>
          <t>C2</t>
        </is>
      </c>
      <c r="D20" s="7" t="n"/>
      <c r="E20" s="7" t="n"/>
      <c r="F20" s="10">
        <f>IFERROR(I20*D20+J20,"")</f>
        <v/>
      </c>
      <c r="G20" s="10">
        <f>IFERROR(E20-F20,"")</f>
        <v/>
      </c>
      <c r="H20" s="9">
        <f>IFERROR(ROUND(G20/F20*100,2),"")</f>
        <v/>
      </c>
      <c r="I20" s="9">
        <f>IFERROR(SLOPE(E19:E23,D19:D23),"")</f>
        <v/>
      </c>
      <c r="J20" s="9">
        <f>IFERROR(INTERCEPT(E19:E23,D19:D23),"")</f>
        <v/>
      </c>
      <c r="K20" s="11">
        <f>IFERROR(CORREL(E19:E23,D19:D23),"")</f>
        <v/>
      </c>
      <c r="L20" s="9">
        <f>IFERROR(ROUND(J20/E21*100,2),"")</f>
        <v/>
      </c>
    </row>
    <row r="21" ht="22" customHeight="1">
      <c r="A21" s="6" t="inlineStr">
        <is>
          <t>IMP-02</t>
        </is>
      </c>
      <c r="B21" s="6" t="inlineStr">
        <is>
          <t>INTERMEDIATE</t>
        </is>
      </c>
      <c r="C21" s="6" t="inlineStr">
        <is>
          <t>C3</t>
        </is>
      </c>
      <c r="D21" s="7" t="n"/>
      <c r="E21" s="7" t="n"/>
      <c r="F21" s="10">
        <f>IFERROR(I21*D21+J21,"")</f>
        <v/>
      </c>
      <c r="G21" s="10">
        <f>IFERROR(E21-F21,"")</f>
        <v/>
      </c>
      <c r="H21" s="9">
        <f>IFERROR(ROUND(G21/F21*100,2),"")</f>
        <v/>
      </c>
      <c r="I21" s="9">
        <f>IFERROR(SLOPE(E19:E23,D19:D23),"")</f>
        <v/>
      </c>
      <c r="J21" s="9">
        <f>IFERROR(INTERCEPT(E19:E23,D19:D23),"")</f>
        <v/>
      </c>
      <c r="K21" s="11">
        <f>IFERROR(CORREL(E19:E23,D19:D23),"")</f>
        <v/>
      </c>
      <c r="L21" s="9">
        <f>IFERROR(ROUND(J21/E21*100,2),"")</f>
        <v/>
      </c>
    </row>
    <row r="22" ht="22" customHeight="1">
      <c r="A22" s="6" t="inlineStr">
        <is>
          <t>IMP-02</t>
        </is>
      </c>
      <c r="B22" s="6" t="inlineStr">
        <is>
          <t>INTERMEDIATE</t>
        </is>
      </c>
      <c r="C22" s="6" t="inlineStr">
        <is>
          <t>C4</t>
        </is>
      </c>
      <c r="D22" s="7" t="n"/>
      <c r="E22" s="7" t="n"/>
      <c r="F22" s="10">
        <f>IFERROR(I22*D22+J22,"")</f>
        <v/>
      </c>
      <c r="G22" s="10">
        <f>IFERROR(E22-F22,"")</f>
        <v/>
      </c>
      <c r="H22" s="9">
        <f>IFERROR(ROUND(G22/F22*100,2),"")</f>
        <v/>
      </c>
      <c r="I22" s="9">
        <f>IFERROR(SLOPE(E19:E23,D19:D23),"")</f>
        <v/>
      </c>
      <c r="J22" s="9">
        <f>IFERROR(INTERCEPT(E19:E23,D19:D23),"")</f>
        <v/>
      </c>
      <c r="K22" s="11">
        <f>IFERROR(CORREL(E19:E23,D19:D23),"")</f>
        <v/>
      </c>
      <c r="L22" s="9">
        <f>IFERROR(ROUND(J22/E21*100,2),"")</f>
        <v/>
      </c>
    </row>
    <row r="23" ht="22" customHeight="1">
      <c r="A23" s="6" t="inlineStr">
        <is>
          <t>IMP-02</t>
        </is>
      </c>
      <c r="B23" s="6" t="inlineStr">
        <is>
          <t>INTERMEDIATE</t>
        </is>
      </c>
      <c r="C23" s="6" t="inlineStr">
        <is>
          <t>C5</t>
        </is>
      </c>
      <c r="D23" s="7" t="n"/>
      <c r="E23" s="7" t="n"/>
      <c r="F23" s="10">
        <f>IFERROR(I23*D23+J23,"")</f>
        <v/>
      </c>
      <c r="G23" s="10">
        <f>IFERROR(E23-F23,"")</f>
        <v/>
      </c>
      <c r="H23" s="9">
        <f>IFERROR(ROUND(G23/F23*100,2),"")</f>
        <v/>
      </c>
      <c r="I23" s="9">
        <f>IFERROR(SLOPE(E19:E23,D19:D23),"")</f>
        <v/>
      </c>
      <c r="J23" s="9">
        <f>IFERROR(INTERCEPT(E19:E23,D19:D23),"")</f>
        <v/>
      </c>
      <c r="K23" s="11">
        <f>IFERROR(CORREL(E19:E23,D19:D23),"")</f>
        <v/>
      </c>
      <c r="L23" s="9">
        <f>IFERROR(ROUND(J23/E21*100,2),"")</f>
        <v/>
      </c>
    </row>
    <row r="24" ht="22" customHeight="1">
      <c r="A24" s="6" t="inlineStr">
        <is>
          <t>IMP-03</t>
        </is>
      </c>
      <c r="B24" s="6" t="inlineStr">
        <is>
          <t>INITIAL</t>
        </is>
      </c>
      <c r="C24" s="6" t="inlineStr">
        <is>
          <t>C1</t>
        </is>
      </c>
      <c r="D24" s="7" t="n"/>
      <c r="E24" s="7" t="n"/>
      <c r="F24" s="10">
        <f>IFERROR(I24*D24+J24,"")</f>
        <v/>
      </c>
      <c r="G24" s="10">
        <f>IFERROR(E24-F24,"")</f>
        <v/>
      </c>
      <c r="H24" s="9">
        <f>IFERROR(ROUND(G24/F24*100,2),"")</f>
        <v/>
      </c>
      <c r="I24" s="9">
        <f>IFERROR(SLOPE(E24:E28,D24:D28),"")</f>
        <v/>
      </c>
      <c r="J24" s="9">
        <f>IFERROR(INTERCEPT(E24:E28,D24:D28),"")</f>
        <v/>
      </c>
      <c r="K24" s="11">
        <f>IFERROR(CORREL(E24:E28,D24:D28),"")</f>
        <v/>
      </c>
      <c r="L24" s="9">
        <f>IFERROR(ROUND(J24/E26*100,2),"")</f>
        <v/>
      </c>
    </row>
    <row r="25" ht="22" customHeight="1">
      <c r="A25" s="6" t="inlineStr">
        <is>
          <t>IMP-03</t>
        </is>
      </c>
      <c r="B25" s="6" t="inlineStr">
        <is>
          <t>INITIAL</t>
        </is>
      </c>
      <c r="C25" s="6" t="inlineStr">
        <is>
          <t>C2</t>
        </is>
      </c>
      <c r="D25" s="7" t="n"/>
      <c r="E25" s="7" t="n"/>
      <c r="F25" s="10">
        <f>IFERROR(I25*D25+J25,"")</f>
        <v/>
      </c>
      <c r="G25" s="10">
        <f>IFERROR(E25-F25,"")</f>
        <v/>
      </c>
      <c r="H25" s="9">
        <f>IFERROR(ROUND(G25/F25*100,2),"")</f>
        <v/>
      </c>
      <c r="I25" s="9">
        <f>IFERROR(SLOPE(E24:E28,D24:D28),"")</f>
        <v/>
      </c>
      <c r="J25" s="9">
        <f>IFERROR(INTERCEPT(E24:E28,D24:D28),"")</f>
        <v/>
      </c>
      <c r="K25" s="11">
        <f>IFERROR(CORREL(E24:E28,D24:D28),"")</f>
        <v/>
      </c>
      <c r="L25" s="9">
        <f>IFERROR(ROUND(J25/E26*100,2),"")</f>
        <v/>
      </c>
    </row>
    <row r="26" ht="22" customHeight="1">
      <c r="A26" s="6" t="inlineStr">
        <is>
          <t>IMP-03</t>
        </is>
      </c>
      <c r="B26" s="6" t="inlineStr">
        <is>
          <t>INITIAL</t>
        </is>
      </c>
      <c r="C26" s="6" t="inlineStr">
        <is>
          <t>C3</t>
        </is>
      </c>
      <c r="D26" s="7" t="n"/>
      <c r="E26" s="7" t="n"/>
      <c r="F26" s="10">
        <f>IFERROR(I26*D26+J26,"")</f>
        <v/>
      </c>
      <c r="G26" s="10">
        <f>IFERROR(E26-F26,"")</f>
        <v/>
      </c>
      <c r="H26" s="9">
        <f>IFERROR(ROUND(G26/F26*100,2),"")</f>
        <v/>
      </c>
      <c r="I26" s="9">
        <f>IFERROR(SLOPE(E24:E28,D24:D28),"")</f>
        <v/>
      </c>
      <c r="J26" s="9">
        <f>IFERROR(INTERCEPT(E24:E28,D24:D28),"")</f>
        <v/>
      </c>
      <c r="K26" s="11">
        <f>IFERROR(CORREL(E24:E28,D24:D28),"")</f>
        <v/>
      </c>
      <c r="L26" s="9">
        <f>IFERROR(ROUND(J26/E26*100,2),"")</f>
        <v/>
      </c>
    </row>
    <row r="27" ht="22" customHeight="1">
      <c r="A27" s="6" t="inlineStr">
        <is>
          <t>IMP-03</t>
        </is>
      </c>
      <c r="B27" s="6" t="inlineStr">
        <is>
          <t>INITIAL</t>
        </is>
      </c>
      <c r="C27" s="6" t="inlineStr">
        <is>
          <t>C4</t>
        </is>
      </c>
      <c r="D27" s="7" t="n"/>
      <c r="E27" s="7" t="n"/>
      <c r="F27" s="10">
        <f>IFERROR(I27*D27+J27,"")</f>
        <v/>
      </c>
      <c r="G27" s="10">
        <f>IFERROR(E27-F27,"")</f>
        <v/>
      </c>
      <c r="H27" s="9">
        <f>IFERROR(ROUND(G27/F27*100,2),"")</f>
        <v/>
      </c>
      <c r="I27" s="9">
        <f>IFERROR(SLOPE(E24:E28,D24:D28),"")</f>
        <v/>
      </c>
      <c r="J27" s="9">
        <f>IFERROR(INTERCEPT(E24:E28,D24:D28),"")</f>
        <v/>
      </c>
      <c r="K27" s="11">
        <f>IFERROR(CORREL(E24:E28,D24:D28),"")</f>
        <v/>
      </c>
      <c r="L27" s="9">
        <f>IFERROR(ROUND(J27/E26*100,2),"")</f>
        <v/>
      </c>
    </row>
    <row r="28" ht="22" customHeight="1">
      <c r="A28" s="6" t="inlineStr">
        <is>
          <t>IMP-03</t>
        </is>
      </c>
      <c r="B28" s="6" t="inlineStr">
        <is>
          <t>INITIAL</t>
        </is>
      </c>
      <c r="C28" s="6" t="inlineStr">
        <is>
          <t>C5</t>
        </is>
      </c>
      <c r="D28" s="7" t="n"/>
      <c r="E28" s="7" t="n"/>
      <c r="F28" s="10">
        <f>IFERROR(I28*D28+J28,"")</f>
        <v/>
      </c>
      <c r="G28" s="10">
        <f>IFERROR(E28-F28,"")</f>
        <v/>
      </c>
      <c r="H28" s="9">
        <f>IFERROR(ROUND(G28/F28*100,2),"")</f>
        <v/>
      </c>
      <c r="I28" s="9">
        <f>IFERROR(SLOPE(E24:E28,D24:D28),"")</f>
        <v/>
      </c>
      <c r="J28" s="9">
        <f>IFERROR(INTERCEPT(E24:E28,D24:D28),"")</f>
        <v/>
      </c>
      <c r="K28" s="11">
        <f>IFERROR(CORREL(E24:E28,D24:D28),"")</f>
        <v/>
      </c>
      <c r="L28" s="9">
        <f>IFERROR(ROUND(J28/E26*100,2),"")</f>
        <v/>
      </c>
    </row>
    <row r="29" ht="22" customHeight="1">
      <c r="A29" s="6" t="inlineStr">
        <is>
          <t>IMP-03</t>
        </is>
      </c>
      <c r="B29" s="6" t="inlineStr">
        <is>
          <t>INTERMEDIATE</t>
        </is>
      </c>
      <c r="C29" s="6" t="inlineStr">
        <is>
          <t>C1</t>
        </is>
      </c>
      <c r="D29" s="7" t="n"/>
      <c r="E29" s="7" t="n"/>
      <c r="F29" s="10">
        <f>IFERROR(I29*D29+J29,"")</f>
        <v/>
      </c>
      <c r="G29" s="10">
        <f>IFERROR(E29-F29,"")</f>
        <v/>
      </c>
      <c r="H29" s="9">
        <f>IFERROR(ROUND(G29/F29*100,2),"")</f>
        <v/>
      </c>
      <c r="I29" s="9">
        <f>IFERROR(SLOPE(E29:E33,D29:D33),"")</f>
        <v/>
      </c>
      <c r="J29" s="9">
        <f>IFERROR(INTERCEPT(E29:E33,D29:D33),"")</f>
        <v/>
      </c>
      <c r="K29" s="11">
        <f>IFERROR(CORREL(E29:E33,D29:D33),"")</f>
        <v/>
      </c>
      <c r="L29" s="9">
        <f>IFERROR(ROUND(J29/E31*100,2),"")</f>
        <v/>
      </c>
    </row>
    <row r="30" ht="22" customHeight="1">
      <c r="A30" s="6" t="inlineStr">
        <is>
          <t>IMP-03</t>
        </is>
      </c>
      <c r="B30" s="6" t="inlineStr">
        <is>
          <t>INTERMEDIATE</t>
        </is>
      </c>
      <c r="C30" s="6" t="inlineStr">
        <is>
          <t>C2</t>
        </is>
      </c>
      <c r="D30" s="7" t="n"/>
      <c r="E30" s="7" t="n"/>
      <c r="F30" s="10">
        <f>IFERROR(I30*D30+J30,"")</f>
        <v/>
      </c>
      <c r="G30" s="10">
        <f>IFERROR(E30-F30,"")</f>
        <v/>
      </c>
      <c r="H30" s="9">
        <f>IFERROR(ROUND(G30/F30*100,2),"")</f>
        <v/>
      </c>
      <c r="I30" s="9">
        <f>IFERROR(SLOPE(E29:E33,D29:D33),"")</f>
        <v/>
      </c>
      <c r="J30" s="9">
        <f>IFERROR(INTERCEPT(E29:E33,D29:D33),"")</f>
        <v/>
      </c>
      <c r="K30" s="11">
        <f>IFERROR(CORREL(E29:E33,D29:D33),"")</f>
        <v/>
      </c>
      <c r="L30" s="9">
        <f>IFERROR(ROUND(J30/E31*100,2),"")</f>
        <v/>
      </c>
    </row>
    <row r="31" ht="22" customHeight="1">
      <c r="A31" s="6" t="inlineStr">
        <is>
          <t>IMP-03</t>
        </is>
      </c>
      <c r="B31" s="6" t="inlineStr">
        <is>
          <t>INTERMEDIATE</t>
        </is>
      </c>
      <c r="C31" s="6" t="inlineStr">
        <is>
          <t>C3</t>
        </is>
      </c>
      <c r="D31" s="7" t="n"/>
      <c r="E31" s="7" t="n"/>
      <c r="F31" s="10">
        <f>IFERROR(I31*D31+J31,"")</f>
        <v/>
      </c>
      <c r="G31" s="10">
        <f>IFERROR(E31-F31,"")</f>
        <v/>
      </c>
      <c r="H31" s="9">
        <f>IFERROR(ROUND(G31/F31*100,2),"")</f>
        <v/>
      </c>
      <c r="I31" s="9">
        <f>IFERROR(SLOPE(E29:E33,D29:D33),"")</f>
        <v/>
      </c>
      <c r="J31" s="9">
        <f>IFERROR(INTERCEPT(E29:E33,D29:D33),"")</f>
        <v/>
      </c>
      <c r="K31" s="11">
        <f>IFERROR(CORREL(E29:E33,D29:D33),"")</f>
        <v/>
      </c>
      <c r="L31" s="9">
        <f>IFERROR(ROUND(J31/E31*100,2),"")</f>
        <v/>
      </c>
    </row>
    <row r="32" ht="22" customHeight="1">
      <c r="A32" s="6" t="inlineStr">
        <is>
          <t>IMP-03</t>
        </is>
      </c>
      <c r="B32" s="6" t="inlineStr">
        <is>
          <t>INTERMEDIATE</t>
        </is>
      </c>
      <c r="C32" s="6" t="inlineStr">
        <is>
          <t>C4</t>
        </is>
      </c>
      <c r="D32" s="7" t="n"/>
      <c r="E32" s="7" t="n"/>
      <c r="F32" s="10">
        <f>IFERROR(I32*D32+J32,"")</f>
        <v/>
      </c>
      <c r="G32" s="10">
        <f>IFERROR(E32-F32,"")</f>
        <v/>
      </c>
      <c r="H32" s="9">
        <f>IFERROR(ROUND(G32/F32*100,2),"")</f>
        <v/>
      </c>
      <c r="I32" s="9">
        <f>IFERROR(SLOPE(E29:E33,D29:D33),"")</f>
        <v/>
      </c>
      <c r="J32" s="9">
        <f>IFERROR(INTERCEPT(E29:E33,D29:D33),"")</f>
        <v/>
      </c>
      <c r="K32" s="11">
        <f>IFERROR(CORREL(E29:E33,D29:D33),"")</f>
        <v/>
      </c>
      <c r="L32" s="9">
        <f>IFERROR(ROUND(J32/E31*100,2),"")</f>
        <v/>
      </c>
    </row>
    <row r="33" ht="22" customHeight="1">
      <c r="A33" s="6" t="inlineStr">
        <is>
          <t>IMP-03</t>
        </is>
      </c>
      <c r="B33" s="6" t="inlineStr">
        <is>
          <t>INTERMEDIATE</t>
        </is>
      </c>
      <c r="C33" s="6" t="inlineStr">
        <is>
          <t>C5</t>
        </is>
      </c>
      <c r="D33" s="7" t="n"/>
      <c r="E33" s="7" t="n"/>
      <c r="F33" s="10">
        <f>IFERROR(I33*D33+J33,"")</f>
        <v/>
      </c>
      <c r="G33" s="10">
        <f>IFERROR(E33-F33,"")</f>
        <v/>
      </c>
      <c r="H33" s="9">
        <f>IFERROR(ROUND(G33/F33*100,2),"")</f>
        <v/>
      </c>
      <c r="I33" s="9">
        <f>IFERROR(SLOPE(E29:E33,D29:D33),"")</f>
        <v/>
      </c>
      <c r="J33" s="9">
        <f>IFERROR(INTERCEPT(E29:E33,D29:D33),"")</f>
        <v/>
      </c>
      <c r="K33" s="11">
        <f>IFERROR(CORREL(E29:E33,D29:D33),"")</f>
        <v/>
      </c>
      <c r="L33" s="9">
        <f>IFERROR(ROUND(J33/E31*100,2),"")</f>
        <v/>
      </c>
    </row>
    <row r="34" ht="22" customHeight="1">
      <c r="A34" s="6" t="inlineStr">
        <is>
          <t>IMP-04</t>
        </is>
      </c>
      <c r="B34" s="6" t="inlineStr">
        <is>
          <t>INITIAL</t>
        </is>
      </c>
      <c r="C34" s="6" t="inlineStr">
        <is>
          <t>C1</t>
        </is>
      </c>
      <c r="D34" s="7" t="n"/>
      <c r="E34" s="7" t="n"/>
      <c r="F34" s="10">
        <f>IFERROR(I34*D34+J34,"")</f>
        <v/>
      </c>
      <c r="G34" s="10">
        <f>IFERROR(E34-F34,"")</f>
        <v/>
      </c>
      <c r="H34" s="9">
        <f>IFERROR(ROUND(G34/F34*100,2),"")</f>
        <v/>
      </c>
      <c r="I34" s="9">
        <f>IFERROR(SLOPE(E34:E38,D34:D38),"")</f>
        <v/>
      </c>
      <c r="J34" s="9">
        <f>IFERROR(INTERCEPT(E34:E38,D34:D38),"")</f>
        <v/>
      </c>
      <c r="K34" s="11">
        <f>IFERROR(CORREL(E34:E38,D34:D38),"")</f>
        <v/>
      </c>
      <c r="L34" s="9">
        <f>IFERROR(ROUND(J34/E36*100,2),"")</f>
        <v/>
      </c>
    </row>
    <row r="35" ht="22" customHeight="1">
      <c r="A35" s="6" t="inlineStr">
        <is>
          <t>IMP-04</t>
        </is>
      </c>
      <c r="B35" s="6" t="inlineStr">
        <is>
          <t>INITIAL</t>
        </is>
      </c>
      <c r="C35" s="6" t="inlineStr">
        <is>
          <t>C2</t>
        </is>
      </c>
      <c r="D35" s="7" t="n"/>
      <c r="E35" s="7" t="n"/>
      <c r="F35" s="10">
        <f>IFERROR(I35*D35+J35,"")</f>
        <v/>
      </c>
      <c r="G35" s="10">
        <f>IFERROR(E35-F35,"")</f>
        <v/>
      </c>
      <c r="H35" s="9">
        <f>IFERROR(ROUND(G35/F35*100,2),"")</f>
        <v/>
      </c>
      <c r="I35" s="9">
        <f>IFERROR(SLOPE(E34:E38,D34:D38),"")</f>
        <v/>
      </c>
      <c r="J35" s="9">
        <f>IFERROR(INTERCEPT(E34:E38,D34:D38),"")</f>
        <v/>
      </c>
      <c r="K35" s="11">
        <f>IFERROR(CORREL(E34:E38,D34:D38),"")</f>
        <v/>
      </c>
      <c r="L35" s="9">
        <f>IFERROR(ROUND(J35/E36*100,2),"")</f>
        <v/>
      </c>
    </row>
    <row r="36" ht="22" customHeight="1">
      <c r="A36" s="6" t="inlineStr">
        <is>
          <t>IMP-04</t>
        </is>
      </c>
      <c r="B36" s="6" t="inlineStr">
        <is>
          <t>INITIAL</t>
        </is>
      </c>
      <c r="C36" s="6" t="inlineStr">
        <is>
          <t>C3</t>
        </is>
      </c>
      <c r="D36" s="7" t="n"/>
      <c r="E36" s="7" t="n"/>
      <c r="F36" s="10">
        <f>IFERROR(I36*D36+J36,"")</f>
        <v/>
      </c>
      <c r="G36" s="10">
        <f>IFERROR(E36-F36,"")</f>
        <v/>
      </c>
      <c r="H36" s="9">
        <f>IFERROR(ROUND(G36/F36*100,2),"")</f>
        <v/>
      </c>
      <c r="I36" s="9">
        <f>IFERROR(SLOPE(E34:E38,D34:D38),"")</f>
        <v/>
      </c>
      <c r="J36" s="9">
        <f>IFERROR(INTERCEPT(E34:E38,D34:D38),"")</f>
        <v/>
      </c>
      <c r="K36" s="11">
        <f>IFERROR(CORREL(E34:E38,D34:D38),"")</f>
        <v/>
      </c>
      <c r="L36" s="9">
        <f>IFERROR(ROUND(J36/E36*100,2),"")</f>
        <v/>
      </c>
    </row>
    <row r="37" ht="22" customHeight="1">
      <c r="A37" s="6" t="inlineStr">
        <is>
          <t>IMP-04</t>
        </is>
      </c>
      <c r="B37" s="6" t="inlineStr">
        <is>
          <t>INITIAL</t>
        </is>
      </c>
      <c r="C37" s="6" t="inlineStr">
        <is>
          <t>C4</t>
        </is>
      </c>
      <c r="D37" s="7" t="n"/>
      <c r="E37" s="7" t="n"/>
      <c r="F37" s="10">
        <f>IFERROR(I37*D37+J37,"")</f>
        <v/>
      </c>
      <c r="G37" s="10">
        <f>IFERROR(E37-F37,"")</f>
        <v/>
      </c>
      <c r="H37" s="9">
        <f>IFERROR(ROUND(G37/F37*100,2),"")</f>
        <v/>
      </c>
      <c r="I37" s="9">
        <f>IFERROR(SLOPE(E34:E38,D34:D38),"")</f>
        <v/>
      </c>
      <c r="J37" s="9">
        <f>IFERROR(INTERCEPT(E34:E38,D34:D38),"")</f>
        <v/>
      </c>
      <c r="K37" s="11">
        <f>IFERROR(CORREL(E34:E38,D34:D38),"")</f>
        <v/>
      </c>
      <c r="L37" s="9">
        <f>IFERROR(ROUND(J37/E36*100,2),"")</f>
        <v/>
      </c>
    </row>
    <row r="38" ht="22" customHeight="1">
      <c r="A38" s="6" t="inlineStr">
        <is>
          <t>IMP-04</t>
        </is>
      </c>
      <c r="B38" s="6" t="inlineStr">
        <is>
          <t>INITIAL</t>
        </is>
      </c>
      <c r="C38" s="6" t="inlineStr">
        <is>
          <t>C5</t>
        </is>
      </c>
      <c r="D38" s="7" t="n"/>
      <c r="E38" s="7" t="n"/>
      <c r="F38" s="10">
        <f>IFERROR(I38*D38+J38,"")</f>
        <v/>
      </c>
      <c r="G38" s="10">
        <f>IFERROR(E38-F38,"")</f>
        <v/>
      </c>
      <c r="H38" s="9">
        <f>IFERROR(ROUND(G38/F38*100,2),"")</f>
        <v/>
      </c>
      <c r="I38" s="9">
        <f>IFERROR(SLOPE(E34:E38,D34:D38),"")</f>
        <v/>
      </c>
      <c r="J38" s="9">
        <f>IFERROR(INTERCEPT(E34:E38,D34:D38),"")</f>
        <v/>
      </c>
      <c r="K38" s="11">
        <f>IFERROR(CORREL(E34:E38,D34:D38),"")</f>
        <v/>
      </c>
      <c r="L38" s="9">
        <f>IFERROR(ROUND(J38/E36*100,2),"")</f>
        <v/>
      </c>
    </row>
    <row r="39" ht="22" customHeight="1">
      <c r="A39" s="6" t="inlineStr">
        <is>
          <t>IMP-04</t>
        </is>
      </c>
      <c r="B39" s="6" t="inlineStr">
        <is>
          <t>INTERMEDIATE</t>
        </is>
      </c>
      <c r="C39" s="6" t="inlineStr">
        <is>
          <t>C1</t>
        </is>
      </c>
      <c r="D39" s="7" t="n"/>
      <c r="E39" s="7" t="n"/>
      <c r="F39" s="10">
        <f>IFERROR(I39*D39+J39,"")</f>
        <v/>
      </c>
      <c r="G39" s="10">
        <f>IFERROR(E39-F39,"")</f>
        <v/>
      </c>
      <c r="H39" s="9">
        <f>IFERROR(ROUND(G39/F39*100,2),"")</f>
        <v/>
      </c>
      <c r="I39" s="9">
        <f>IFERROR(SLOPE(E39:E43,D39:D43),"")</f>
        <v/>
      </c>
      <c r="J39" s="9">
        <f>IFERROR(INTERCEPT(E39:E43,D39:D43),"")</f>
        <v/>
      </c>
      <c r="K39" s="11">
        <f>IFERROR(CORREL(E39:E43,D39:D43),"")</f>
        <v/>
      </c>
      <c r="L39" s="9">
        <f>IFERROR(ROUND(J39/E41*100,2),"")</f>
        <v/>
      </c>
    </row>
    <row r="40" ht="22" customHeight="1">
      <c r="A40" s="6" t="inlineStr">
        <is>
          <t>IMP-04</t>
        </is>
      </c>
      <c r="B40" s="6" t="inlineStr">
        <is>
          <t>INTERMEDIATE</t>
        </is>
      </c>
      <c r="C40" s="6" t="inlineStr">
        <is>
          <t>C2</t>
        </is>
      </c>
      <c r="D40" s="7" t="n"/>
      <c r="E40" s="7" t="n"/>
      <c r="F40" s="10">
        <f>IFERROR(I40*D40+J40,"")</f>
        <v/>
      </c>
      <c r="G40" s="10">
        <f>IFERROR(E40-F40,"")</f>
        <v/>
      </c>
      <c r="H40" s="9">
        <f>IFERROR(ROUND(G40/F40*100,2),"")</f>
        <v/>
      </c>
      <c r="I40" s="9">
        <f>IFERROR(SLOPE(E39:E43,D39:D43),"")</f>
        <v/>
      </c>
      <c r="J40" s="9">
        <f>IFERROR(INTERCEPT(E39:E43,D39:D43),"")</f>
        <v/>
      </c>
      <c r="K40" s="11">
        <f>IFERROR(CORREL(E39:E43,D39:D43),"")</f>
        <v/>
      </c>
      <c r="L40" s="9">
        <f>IFERROR(ROUND(J40/E41*100,2),"")</f>
        <v/>
      </c>
    </row>
    <row r="41" ht="22" customHeight="1">
      <c r="A41" s="6" t="inlineStr">
        <is>
          <t>IMP-04</t>
        </is>
      </c>
      <c r="B41" s="6" t="inlineStr">
        <is>
          <t>INTERMEDIATE</t>
        </is>
      </c>
      <c r="C41" s="6" t="inlineStr">
        <is>
          <t>C3</t>
        </is>
      </c>
      <c r="D41" s="7" t="n"/>
      <c r="E41" s="7" t="n"/>
      <c r="F41" s="10">
        <f>IFERROR(I41*D41+J41,"")</f>
        <v/>
      </c>
      <c r="G41" s="10">
        <f>IFERROR(E41-F41,"")</f>
        <v/>
      </c>
      <c r="H41" s="9">
        <f>IFERROR(ROUND(G41/F41*100,2),"")</f>
        <v/>
      </c>
      <c r="I41" s="9">
        <f>IFERROR(SLOPE(E39:E43,D39:D43),"")</f>
        <v/>
      </c>
      <c r="J41" s="9">
        <f>IFERROR(INTERCEPT(E39:E43,D39:D43),"")</f>
        <v/>
      </c>
      <c r="K41" s="11">
        <f>IFERROR(CORREL(E39:E43,D39:D43),"")</f>
        <v/>
      </c>
      <c r="L41" s="9">
        <f>IFERROR(ROUND(J41/E41*100,2),"")</f>
        <v/>
      </c>
    </row>
    <row r="42" ht="22" customHeight="1">
      <c r="A42" s="6" t="inlineStr">
        <is>
          <t>IMP-04</t>
        </is>
      </c>
      <c r="B42" s="6" t="inlineStr">
        <is>
          <t>INTERMEDIATE</t>
        </is>
      </c>
      <c r="C42" s="6" t="inlineStr">
        <is>
          <t>C4</t>
        </is>
      </c>
      <c r="D42" s="7" t="n"/>
      <c r="E42" s="7" t="n"/>
      <c r="F42" s="10">
        <f>IFERROR(I42*D42+J42,"")</f>
        <v/>
      </c>
      <c r="G42" s="10">
        <f>IFERROR(E42-F42,"")</f>
        <v/>
      </c>
      <c r="H42" s="9">
        <f>IFERROR(ROUND(G42/F42*100,2),"")</f>
        <v/>
      </c>
      <c r="I42" s="9">
        <f>IFERROR(SLOPE(E39:E43,D39:D43),"")</f>
        <v/>
      </c>
      <c r="J42" s="9">
        <f>IFERROR(INTERCEPT(E39:E43,D39:D43),"")</f>
        <v/>
      </c>
      <c r="K42" s="11">
        <f>IFERROR(CORREL(E39:E43,D39:D43),"")</f>
        <v/>
      </c>
      <c r="L42" s="9">
        <f>IFERROR(ROUND(J42/E41*100,2),"")</f>
        <v/>
      </c>
    </row>
    <row r="43" ht="22" customHeight="1">
      <c r="A43" s="6" t="inlineStr">
        <is>
          <t>IMP-04</t>
        </is>
      </c>
      <c r="B43" s="6" t="inlineStr">
        <is>
          <t>INTERMEDIATE</t>
        </is>
      </c>
      <c r="C43" s="6" t="inlineStr">
        <is>
          <t>C5</t>
        </is>
      </c>
      <c r="D43" s="7" t="n"/>
      <c r="E43" s="7" t="n"/>
      <c r="F43" s="10">
        <f>IFERROR(I43*D43+J43,"")</f>
        <v/>
      </c>
      <c r="G43" s="10">
        <f>IFERROR(E43-F43,"")</f>
        <v/>
      </c>
      <c r="H43" s="9">
        <f>IFERROR(ROUND(G43/F43*100,2),"")</f>
        <v/>
      </c>
      <c r="I43" s="9">
        <f>IFERROR(SLOPE(E39:E43,D39:D43),"")</f>
        <v/>
      </c>
      <c r="J43" s="9">
        <f>IFERROR(INTERCEPT(E39:E43,D39:D43),"")</f>
        <v/>
      </c>
      <c r="K43" s="11">
        <f>IFERROR(CORREL(E39:E43,D39:D43),"")</f>
        <v/>
      </c>
      <c r="L43" s="9">
        <f>IFERROR(ROUND(J43/E41*100,2),"")</f>
        <v/>
      </c>
    </row>
    <row r="44" ht="22" customHeight="1">
      <c r="A44" s="6" t="inlineStr">
        <is>
          <t>IMP-05</t>
        </is>
      </c>
      <c r="B44" s="6" t="inlineStr">
        <is>
          <t>INITIAL</t>
        </is>
      </c>
      <c r="C44" s="6" t="inlineStr">
        <is>
          <t>C1</t>
        </is>
      </c>
      <c r="D44" s="7" t="n"/>
      <c r="E44" s="7" t="n"/>
      <c r="F44" s="10">
        <f>IFERROR(I44*D44+J44,"")</f>
        <v/>
      </c>
      <c r="G44" s="10">
        <f>IFERROR(E44-F44,"")</f>
        <v/>
      </c>
      <c r="H44" s="9">
        <f>IFERROR(ROUND(G44/F44*100,2),"")</f>
        <v/>
      </c>
      <c r="I44" s="9">
        <f>IFERROR(SLOPE(E44:E48,D44:D48),"")</f>
        <v/>
      </c>
      <c r="J44" s="9">
        <f>IFERROR(INTERCEPT(E44:E48,D44:D48),"")</f>
        <v/>
      </c>
      <c r="K44" s="11">
        <f>IFERROR(CORREL(E44:E48,D44:D48),"")</f>
        <v/>
      </c>
      <c r="L44" s="9">
        <f>IFERROR(ROUND(J44/E46*100,2),"")</f>
        <v/>
      </c>
    </row>
    <row r="45" ht="22" customHeight="1">
      <c r="A45" s="6" t="inlineStr">
        <is>
          <t>IMP-05</t>
        </is>
      </c>
      <c r="B45" s="6" t="inlineStr">
        <is>
          <t>INITIAL</t>
        </is>
      </c>
      <c r="C45" s="6" t="inlineStr">
        <is>
          <t>C2</t>
        </is>
      </c>
      <c r="D45" s="7" t="n"/>
      <c r="E45" s="7" t="n"/>
      <c r="F45" s="10">
        <f>IFERROR(I45*D45+J45,"")</f>
        <v/>
      </c>
      <c r="G45" s="10">
        <f>IFERROR(E45-F45,"")</f>
        <v/>
      </c>
      <c r="H45" s="9">
        <f>IFERROR(ROUND(G45/F45*100,2),"")</f>
        <v/>
      </c>
      <c r="I45" s="9">
        <f>IFERROR(SLOPE(E44:E48,D44:D48),"")</f>
        <v/>
      </c>
      <c r="J45" s="9">
        <f>IFERROR(INTERCEPT(E44:E48,D44:D48),"")</f>
        <v/>
      </c>
      <c r="K45" s="11">
        <f>IFERROR(CORREL(E44:E48,D44:D48),"")</f>
        <v/>
      </c>
      <c r="L45" s="9">
        <f>IFERROR(ROUND(J45/E46*100,2),"")</f>
        <v/>
      </c>
    </row>
    <row r="46" ht="22" customHeight="1">
      <c r="A46" s="6" t="inlineStr">
        <is>
          <t>IMP-05</t>
        </is>
      </c>
      <c r="B46" s="6" t="inlineStr">
        <is>
          <t>INITIAL</t>
        </is>
      </c>
      <c r="C46" s="6" t="inlineStr">
        <is>
          <t>C3</t>
        </is>
      </c>
      <c r="D46" s="7" t="n"/>
      <c r="E46" s="7" t="n"/>
      <c r="F46" s="10">
        <f>IFERROR(I46*D46+J46,"")</f>
        <v/>
      </c>
      <c r="G46" s="10">
        <f>IFERROR(E46-F46,"")</f>
        <v/>
      </c>
      <c r="H46" s="9">
        <f>IFERROR(ROUND(G46/F46*100,2),"")</f>
        <v/>
      </c>
      <c r="I46" s="9">
        <f>IFERROR(SLOPE(E44:E48,D44:D48),"")</f>
        <v/>
      </c>
      <c r="J46" s="9">
        <f>IFERROR(INTERCEPT(E44:E48,D44:D48),"")</f>
        <v/>
      </c>
      <c r="K46" s="11">
        <f>IFERROR(CORREL(E44:E48,D44:D48),"")</f>
        <v/>
      </c>
      <c r="L46" s="9">
        <f>IFERROR(ROUND(J46/E46*100,2),"")</f>
        <v/>
      </c>
    </row>
    <row r="47" ht="22" customHeight="1">
      <c r="A47" s="6" t="inlineStr">
        <is>
          <t>IMP-05</t>
        </is>
      </c>
      <c r="B47" s="6" t="inlineStr">
        <is>
          <t>INITIAL</t>
        </is>
      </c>
      <c r="C47" s="6" t="inlineStr">
        <is>
          <t>C4</t>
        </is>
      </c>
      <c r="D47" s="7" t="n"/>
      <c r="E47" s="7" t="n"/>
      <c r="F47" s="10">
        <f>IFERROR(I47*D47+J47,"")</f>
        <v/>
      </c>
      <c r="G47" s="10">
        <f>IFERROR(E47-F47,"")</f>
        <v/>
      </c>
      <c r="H47" s="9">
        <f>IFERROR(ROUND(G47/F47*100,2),"")</f>
        <v/>
      </c>
      <c r="I47" s="9">
        <f>IFERROR(SLOPE(E44:E48,D44:D48),"")</f>
        <v/>
      </c>
      <c r="J47" s="9">
        <f>IFERROR(INTERCEPT(E44:E48,D44:D48),"")</f>
        <v/>
      </c>
      <c r="K47" s="11">
        <f>IFERROR(CORREL(E44:E48,D44:D48),"")</f>
        <v/>
      </c>
      <c r="L47" s="9">
        <f>IFERROR(ROUND(J47/E46*100,2),"")</f>
        <v/>
      </c>
    </row>
    <row r="48" ht="22" customHeight="1">
      <c r="A48" s="6" t="inlineStr">
        <is>
          <t>IMP-05</t>
        </is>
      </c>
      <c r="B48" s="6" t="inlineStr">
        <is>
          <t>INITIAL</t>
        </is>
      </c>
      <c r="C48" s="6" t="inlineStr">
        <is>
          <t>C5</t>
        </is>
      </c>
      <c r="D48" s="7" t="n"/>
      <c r="E48" s="7" t="n"/>
      <c r="F48" s="10">
        <f>IFERROR(I48*D48+J48,"")</f>
        <v/>
      </c>
      <c r="G48" s="10">
        <f>IFERROR(E48-F48,"")</f>
        <v/>
      </c>
      <c r="H48" s="9">
        <f>IFERROR(ROUND(G48/F48*100,2),"")</f>
        <v/>
      </c>
      <c r="I48" s="9">
        <f>IFERROR(SLOPE(E44:E48,D44:D48),"")</f>
        <v/>
      </c>
      <c r="J48" s="9">
        <f>IFERROR(INTERCEPT(E44:E48,D44:D48),"")</f>
        <v/>
      </c>
      <c r="K48" s="11">
        <f>IFERROR(CORREL(E44:E48,D44:D48),"")</f>
        <v/>
      </c>
      <c r="L48" s="9">
        <f>IFERROR(ROUND(J48/E46*100,2),"")</f>
        <v/>
      </c>
    </row>
    <row r="49" ht="22" customHeight="1">
      <c r="A49" s="6" t="inlineStr">
        <is>
          <t>IMP-05</t>
        </is>
      </c>
      <c r="B49" s="6" t="inlineStr">
        <is>
          <t>INTERMEDIATE</t>
        </is>
      </c>
      <c r="C49" s="6" t="inlineStr">
        <is>
          <t>C1</t>
        </is>
      </c>
      <c r="D49" s="7" t="n"/>
      <c r="E49" s="7" t="n"/>
      <c r="F49" s="10">
        <f>IFERROR(I49*D49+J49,"")</f>
        <v/>
      </c>
      <c r="G49" s="10">
        <f>IFERROR(E49-F49,"")</f>
        <v/>
      </c>
      <c r="H49" s="9">
        <f>IFERROR(ROUND(G49/F49*100,2),"")</f>
        <v/>
      </c>
      <c r="I49" s="9">
        <f>IFERROR(SLOPE(E49:E53,D49:D53),"")</f>
        <v/>
      </c>
      <c r="J49" s="9">
        <f>IFERROR(INTERCEPT(E49:E53,D49:D53),"")</f>
        <v/>
      </c>
      <c r="K49" s="11">
        <f>IFERROR(CORREL(E49:E53,D49:D53),"")</f>
        <v/>
      </c>
      <c r="L49" s="9">
        <f>IFERROR(ROUND(J49/E51*100,2),"")</f>
        <v/>
      </c>
    </row>
    <row r="50" ht="22" customHeight="1">
      <c r="A50" s="6" t="inlineStr">
        <is>
          <t>IMP-05</t>
        </is>
      </c>
      <c r="B50" s="6" t="inlineStr">
        <is>
          <t>INTERMEDIATE</t>
        </is>
      </c>
      <c r="C50" s="6" t="inlineStr">
        <is>
          <t>C2</t>
        </is>
      </c>
      <c r="D50" s="7" t="n"/>
      <c r="E50" s="7" t="n"/>
      <c r="F50" s="10">
        <f>IFERROR(I50*D50+J50,"")</f>
        <v/>
      </c>
      <c r="G50" s="10">
        <f>IFERROR(E50-F50,"")</f>
        <v/>
      </c>
      <c r="H50" s="9">
        <f>IFERROR(ROUND(G50/F50*100,2),"")</f>
        <v/>
      </c>
      <c r="I50" s="9">
        <f>IFERROR(SLOPE(E49:E53,D49:D53),"")</f>
        <v/>
      </c>
      <c r="J50" s="9">
        <f>IFERROR(INTERCEPT(E49:E53,D49:D53),"")</f>
        <v/>
      </c>
      <c r="K50" s="11">
        <f>IFERROR(CORREL(E49:E53,D49:D53),"")</f>
        <v/>
      </c>
      <c r="L50" s="9">
        <f>IFERROR(ROUND(J50/E51*100,2),"")</f>
        <v/>
      </c>
    </row>
    <row r="51" ht="22" customHeight="1">
      <c r="A51" s="6" t="inlineStr">
        <is>
          <t>IMP-05</t>
        </is>
      </c>
      <c r="B51" s="6" t="inlineStr">
        <is>
          <t>INTERMEDIATE</t>
        </is>
      </c>
      <c r="C51" s="6" t="inlineStr">
        <is>
          <t>C3</t>
        </is>
      </c>
      <c r="D51" s="7" t="n"/>
      <c r="E51" s="7" t="n"/>
      <c r="F51" s="10">
        <f>IFERROR(I51*D51+J51,"")</f>
        <v/>
      </c>
      <c r="G51" s="10">
        <f>IFERROR(E51-F51,"")</f>
        <v/>
      </c>
      <c r="H51" s="9">
        <f>IFERROR(ROUND(G51/F51*100,2),"")</f>
        <v/>
      </c>
      <c r="I51" s="9">
        <f>IFERROR(SLOPE(E49:E53,D49:D53),"")</f>
        <v/>
      </c>
      <c r="J51" s="9">
        <f>IFERROR(INTERCEPT(E49:E53,D49:D53),"")</f>
        <v/>
      </c>
      <c r="K51" s="11">
        <f>IFERROR(CORREL(E49:E53,D49:D53),"")</f>
        <v/>
      </c>
      <c r="L51" s="9">
        <f>IFERROR(ROUND(J51/E51*100,2),"")</f>
        <v/>
      </c>
    </row>
    <row r="52" ht="22" customHeight="1">
      <c r="A52" s="6" t="inlineStr">
        <is>
          <t>IMP-05</t>
        </is>
      </c>
      <c r="B52" s="6" t="inlineStr">
        <is>
          <t>INTERMEDIATE</t>
        </is>
      </c>
      <c r="C52" s="6" t="inlineStr">
        <is>
          <t>C4</t>
        </is>
      </c>
      <c r="D52" s="7" t="n"/>
      <c r="E52" s="7" t="n"/>
      <c r="F52" s="10">
        <f>IFERROR(I52*D52+J52,"")</f>
        <v/>
      </c>
      <c r="G52" s="10">
        <f>IFERROR(E52-F52,"")</f>
        <v/>
      </c>
      <c r="H52" s="9">
        <f>IFERROR(ROUND(G52/F52*100,2),"")</f>
        <v/>
      </c>
      <c r="I52" s="9">
        <f>IFERROR(SLOPE(E49:E53,D49:D53),"")</f>
        <v/>
      </c>
      <c r="J52" s="9">
        <f>IFERROR(INTERCEPT(E49:E53,D49:D53),"")</f>
        <v/>
      </c>
      <c r="K52" s="11">
        <f>IFERROR(CORREL(E49:E53,D49:D53),"")</f>
        <v/>
      </c>
      <c r="L52" s="9">
        <f>IFERROR(ROUND(J52/E51*100,2),"")</f>
        <v/>
      </c>
    </row>
    <row r="53" ht="22" customHeight="1">
      <c r="A53" s="6" t="inlineStr">
        <is>
          <t>IMP-05</t>
        </is>
      </c>
      <c r="B53" s="6" t="inlineStr">
        <is>
          <t>INTERMEDIATE</t>
        </is>
      </c>
      <c r="C53" s="6" t="inlineStr">
        <is>
          <t>C5</t>
        </is>
      </c>
      <c r="D53" s="7" t="n"/>
      <c r="E53" s="7" t="n"/>
      <c r="F53" s="10">
        <f>IFERROR(I53*D53+J53,"")</f>
        <v/>
      </c>
      <c r="G53" s="10">
        <f>IFERROR(E53-F53,"")</f>
        <v/>
      </c>
      <c r="H53" s="9">
        <f>IFERROR(ROUND(G53/F53*100,2),"")</f>
        <v/>
      </c>
      <c r="I53" s="9">
        <f>IFERROR(SLOPE(E49:E53,D49:D53),"")</f>
        <v/>
      </c>
      <c r="J53" s="9">
        <f>IFERROR(INTERCEPT(E49:E53,D49:D53),"")</f>
        <v/>
      </c>
      <c r="K53" s="11">
        <f>IFERROR(CORREL(E49:E53,D49:D53),"")</f>
        <v/>
      </c>
      <c r="L53" s="9">
        <f>IFERROR(ROUND(J53/E51*100,2),"")</f>
        <v/>
      </c>
    </row>
    <row r="54" ht="22" customHeight="1">
      <c r="A54" s="6" t="inlineStr">
        <is>
          <t>IMP-06</t>
        </is>
      </c>
      <c r="B54" s="6" t="inlineStr">
        <is>
          <t>INITIAL</t>
        </is>
      </c>
      <c r="C54" s="6" t="inlineStr">
        <is>
          <t>C1</t>
        </is>
      </c>
      <c r="D54" s="7" t="n"/>
      <c r="E54" s="7" t="n"/>
      <c r="F54" s="10">
        <f>IFERROR(I54*D54+J54,"")</f>
        <v/>
      </c>
      <c r="G54" s="10">
        <f>IFERROR(E54-F54,"")</f>
        <v/>
      </c>
      <c r="H54" s="9">
        <f>IFERROR(ROUND(G54/F54*100,2),"")</f>
        <v/>
      </c>
      <c r="I54" s="9">
        <f>IFERROR(SLOPE(E54:E58,D54:D58),"")</f>
        <v/>
      </c>
      <c r="J54" s="9">
        <f>IFERROR(INTERCEPT(E54:E58,D54:D58),"")</f>
        <v/>
      </c>
      <c r="K54" s="11">
        <f>IFERROR(CORREL(E54:E58,D54:D58),"")</f>
        <v/>
      </c>
      <c r="L54" s="9">
        <f>IFERROR(ROUND(J54/E56*100,2),"")</f>
        <v/>
      </c>
    </row>
    <row r="55" ht="22" customHeight="1">
      <c r="A55" s="6" t="inlineStr">
        <is>
          <t>IMP-06</t>
        </is>
      </c>
      <c r="B55" s="6" t="inlineStr">
        <is>
          <t>INITIAL</t>
        </is>
      </c>
      <c r="C55" s="6" t="inlineStr">
        <is>
          <t>C2</t>
        </is>
      </c>
      <c r="D55" s="7" t="n"/>
      <c r="E55" s="7" t="n"/>
      <c r="F55" s="10">
        <f>IFERROR(I55*D55+J55,"")</f>
        <v/>
      </c>
      <c r="G55" s="10">
        <f>IFERROR(E55-F55,"")</f>
        <v/>
      </c>
      <c r="H55" s="9">
        <f>IFERROR(ROUND(G55/F55*100,2),"")</f>
        <v/>
      </c>
      <c r="I55" s="9">
        <f>IFERROR(SLOPE(E54:E58,D54:D58),"")</f>
        <v/>
      </c>
      <c r="J55" s="9">
        <f>IFERROR(INTERCEPT(E54:E58,D54:D58),"")</f>
        <v/>
      </c>
      <c r="K55" s="11">
        <f>IFERROR(CORREL(E54:E58,D54:D58),"")</f>
        <v/>
      </c>
      <c r="L55" s="9">
        <f>IFERROR(ROUND(J55/E56*100,2),"")</f>
        <v/>
      </c>
    </row>
    <row r="56" ht="22" customHeight="1">
      <c r="A56" s="6" t="inlineStr">
        <is>
          <t>IMP-06</t>
        </is>
      </c>
      <c r="B56" s="6" t="inlineStr">
        <is>
          <t>INITIAL</t>
        </is>
      </c>
      <c r="C56" s="6" t="inlineStr">
        <is>
          <t>C3</t>
        </is>
      </c>
      <c r="D56" s="7" t="n"/>
      <c r="E56" s="7" t="n"/>
      <c r="F56" s="10">
        <f>IFERROR(I56*D56+J56,"")</f>
        <v/>
      </c>
      <c r="G56" s="10">
        <f>IFERROR(E56-F56,"")</f>
        <v/>
      </c>
      <c r="H56" s="9">
        <f>IFERROR(ROUND(G56/F56*100,2),"")</f>
        <v/>
      </c>
      <c r="I56" s="9">
        <f>IFERROR(SLOPE(E54:E58,D54:D58),"")</f>
        <v/>
      </c>
      <c r="J56" s="9">
        <f>IFERROR(INTERCEPT(E54:E58,D54:D58),"")</f>
        <v/>
      </c>
      <c r="K56" s="11">
        <f>IFERROR(CORREL(E54:E58,D54:D58),"")</f>
        <v/>
      </c>
      <c r="L56" s="9">
        <f>IFERROR(ROUND(J56/E56*100,2),"")</f>
        <v/>
      </c>
    </row>
    <row r="57" ht="22" customHeight="1">
      <c r="A57" s="6" t="inlineStr">
        <is>
          <t>IMP-06</t>
        </is>
      </c>
      <c r="B57" s="6" t="inlineStr">
        <is>
          <t>INITIAL</t>
        </is>
      </c>
      <c r="C57" s="6" t="inlineStr">
        <is>
          <t>C4</t>
        </is>
      </c>
      <c r="D57" s="7" t="n"/>
      <c r="E57" s="7" t="n"/>
      <c r="F57" s="10">
        <f>IFERROR(I57*D57+J57,"")</f>
        <v/>
      </c>
      <c r="G57" s="10">
        <f>IFERROR(E57-F57,"")</f>
        <v/>
      </c>
      <c r="H57" s="9">
        <f>IFERROR(ROUND(G57/F57*100,2),"")</f>
        <v/>
      </c>
      <c r="I57" s="9">
        <f>IFERROR(SLOPE(E54:E58,D54:D58),"")</f>
        <v/>
      </c>
      <c r="J57" s="9">
        <f>IFERROR(INTERCEPT(E54:E58,D54:D58),"")</f>
        <v/>
      </c>
      <c r="K57" s="11">
        <f>IFERROR(CORREL(E54:E58,D54:D58),"")</f>
        <v/>
      </c>
      <c r="L57" s="9">
        <f>IFERROR(ROUND(J57/E56*100,2),"")</f>
        <v/>
      </c>
    </row>
    <row r="58" ht="22" customHeight="1">
      <c r="A58" s="6" t="inlineStr">
        <is>
          <t>IMP-06</t>
        </is>
      </c>
      <c r="B58" s="6" t="inlineStr">
        <is>
          <t>INITIAL</t>
        </is>
      </c>
      <c r="C58" s="6" t="inlineStr">
        <is>
          <t>C5</t>
        </is>
      </c>
      <c r="D58" s="7" t="n"/>
      <c r="E58" s="7" t="n"/>
      <c r="F58" s="10">
        <f>IFERROR(I58*D58+J58,"")</f>
        <v/>
      </c>
      <c r="G58" s="10">
        <f>IFERROR(E58-F58,"")</f>
        <v/>
      </c>
      <c r="H58" s="9">
        <f>IFERROR(ROUND(G58/F58*100,2),"")</f>
        <v/>
      </c>
      <c r="I58" s="9">
        <f>IFERROR(SLOPE(E54:E58,D54:D58),"")</f>
        <v/>
      </c>
      <c r="J58" s="9">
        <f>IFERROR(INTERCEPT(E54:E58,D54:D58),"")</f>
        <v/>
      </c>
      <c r="K58" s="11">
        <f>IFERROR(CORREL(E54:E58,D54:D58),"")</f>
        <v/>
      </c>
      <c r="L58" s="9">
        <f>IFERROR(ROUND(J58/E56*100,2),"")</f>
        <v/>
      </c>
    </row>
    <row r="59" ht="22" customHeight="1">
      <c r="A59" s="6" t="inlineStr">
        <is>
          <t>IMP-06</t>
        </is>
      </c>
      <c r="B59" s="6" t="inlineStr">
        <is>
          <t>INTERMEDIATE</t>
        </is>
      </c>
      <c r="C59" s="6" t="inlineStr">
        <is>
          <t>C1</t>
        </is>
      </c>
      <c r="D59" s="7" t="n"/>
      <c r="E59" s="7" t="n"/>
      <c r="F59" s="10">
        <f>IFERROR(I59*D59+J59,"")</f>
        <v/>
      </c>
      <c r="G59" s="10">
        <f>IFERROR(E59-F59,"")</f>
        <v/>
      </c>
      <c r="H59" s="9">
        <f>IFERROR(ROUND(G59/F59*100,2),"")</f>
        <v/>
      </c>
      <c r="I59" s="9">
        <f>IFERROR(SLOPE(E59:E63,D59:D63),"")</f>
        <v/>
      </c>
      <c r="J59" s="9">
        <f>IFERROR(INTERCEPT(E59:E63,D59:D63),"")</f>
        <v/>
      </c>
      <c r="K59" s="11">
        <f>IFERROR(CORREL(E59:E63,D59:D63),"")</f>
        <v/>
      </c>
      <c r="L59" s="9">
        <f>IFERROR(ROUND(J59/E61*100,2),"")</f>
        <v/>
      </c>
    </row>
    <row r="60" ht="22" customHeight="1">
      <c r="A60" s="6" t="inlineStr">
        <is>
          <t>IMP-06</t>
        </is>
      </c>
      <c r="B60" s="6" t="inlineStr">
        <is>
          <t>INTERMEDIATE</t>
        </is>
      </c>
      <c r="C60" s="6" t="inlineStr">
        <is>
          <t>C2</t>
        </is>
      </c>
      <c r="D60" s="7" t="n"/>
      <c r="E60" s="7" t="n"/>
      <c r="F60" s="10">
        <f>IFERROR(I60*D60+J60,"")</f>
        <v/>
      </c>
      <c r="G60" s="10">
        <f>IFERROR(E60-F60,"")</f>
        <v/>
      </c>
      <c r="H60" s="9">
        <f>IFERROR(ROUND(G60/F60*100,2),"")</f>
        <v/>
      </c>
      <c r="I60" s="9">
        <f>IFERROR(SLOPE(E59:E63,D59:D63),"")</f>
        <v/>
      </c>
      <c r="J60" s="9">
        <f>IFERROR(INTERCEPT(E59:E63,D59:D63),"")</f>
        <v/>
      </c>
      <c r="K60" s="11">
        <f>IFERROR(CORREL(E59:E63,D59:D63),"")</f>
        <v/>
      </c>
      <c r="L60" s="9">
        <f>IFERROR(ROUND(J60/E61*100,2),"")</f>
        <v/>
      </c>
    </row>
    <row r="61" ht="22" customHeight="1">
      <c r="A61" s="6" t="inlineStr">
        <is>
          <t>IMP-06</t>
        </is>
      </c>
      <c r="B61" s="6" t="inlineStr">
        <is>
          <t>INTERMEDIATE</t>
        </is>
      </c>
      <c r="C61" s="6" t="inlineStr">
        <is>
          <t>C3</t>
        </is>
      </c>
      <c r="D61" s="7" t="n"/>
      <c r="E61" s="7" t="n"/>
      <c r="F61" s="10">
        <f>IFERROR(I61*D61+J61,"")</f>
        <v/>
      </c>
      <c r="G61" s="10">
        <f>IFERROR(E61-F61,"")</f>
        <v/>
      </c>
      <c r="H61" s="9">
        <f>IFERROR(ROUND(G61/F61*100,2),"")</f>
        <v/>
      </c>
      <c r="I61" s="9">
        <f>IFERROR(SLOPE(E59:E63,D59:D63),"")</f>
        <v/>
      </c>
      <c r="J61" s="9">
        <f>IFERROR(INTERCEPT(E59:E63,D59:D63),"")</f>
        <v/>
      </c>
      <c r="K61" s="11">
        <f>IFERROR(CORREL(E59:E63,D59:D63),"")</f>
        <v/>
      </c>
      <c r="L61" s="9">
        <f>IFERROR(ROUND(J61/E61*100,2),"")</f>
        <v/>
      </c>
    </row>
    <row r="62" ht="22" customHeight="1">
      <c r="A62" s="6" t="inlineStr">
        <is>
          <t>IMP-06</t>
        </is>
      </c>
      <c r="B62" s="6" t="inlineStr">
        <is>
          <t>INTERMEDIATE</t>
        </is>
      </c>
      <c r="C62" s="6" t="inlineStr">
        <is>
          <t>C4</t>
        </is>
      </c>
      <c r="D62" s="7" t="n"/>
      <c r="E62" s="7" t="n"/>
      <c r="F62" s="10">
        <f>IFERROR(I62*D62+J62,"")</f>
        <v/>
      </c>
      <c r="G62" s="10">
        <f>IFERROR(E62-F62,"")</f>
        <v/>
      </c>
      <c r="H62" s="9">
        <f>IFERROR(ROUND(G62/F62*100,2),"")</f>
        <v/>
      </c>
      <c r="I62" s="9">
        <f>IFERROR(SLOPE(E59:E63,D59:D63),"")</f>
        <v/>
      </c>
      <c r="J62" s="9">
        <f>IFERROR(INTERCEPT(E59:E63,D59:D63),"")</f>
        <v/>
      </c>
      <c r="K62" s="11">
        <f>IFERROR(CORREL(E59:E63,D59:D63),"")</f>
        <v/>
      </c>
      <c r="L62" s="9">
        <f>IFERROR(ROUND(J62/E61*100,2),"")</f>
        <v/>
      </c>
    </row>
    <row r="63" ht="22" customHeight="1">
      <c r="A63" s="6" t="inlineStr">
        <is>
          <t>IMP-06</t>
        </is>
      </c>
      <c r="B63" s="6" t="inlineStr">
        <is>
          <t>INTERMEDIATE</t>
        </is>
      </c>
      <c r="C63" s="6" t="inlineStr">
        <is>
          <t>C5</t>
        </is>
      </c>
      <c r="D63" s="7" t="n"/>
      <c r="E63" s="7" t="n"/>
      <c r="F63" s="10">
        <f>IFERROR(I63*D63+J63,"")</f>
        <v/>
      </c>
      <c r="G63" s="10">
        <f>IFERROR(E63-F63,"")</f>
        <v/>
      </c>
      <c r="H63" s="9">
        <f>IFERROR(ROUND(G63/F63*100,2),"")</f>
        <v/>
      </c>
      <c r="I63" s="9">
        <f>IFERROR(SLOPE(E59:E63,D59:D63),"")</f>
        <v/>
      </c>
      <c r="J63" s="9">
        <f>IFERROR(INTERCEPT(E59:E63,D59:D63),"")</f>
        <v/>
      </c>
      <c r="K63" s="11">
        <f>IFERROR(CORREL(E59:E63,D59:D63),"")</f>
        <v/>
      </c>
      <c r="L63" s="9">
        <f>IFERROR(ROUND(J63/E61*100,2),"")</f>
        <v/>
      </c>
    </row>
    <row r="64" ht="22" customHeight="1">
      <c r="A64" s="6" t="inlineStr">
        <is>
          <t>IMP-07</t>
        </is>
      </c>
      <c r="B64" s="6" t="inlineStr">
        <is>
          <t>INITIAL</t>
        </is>
      </c>
      <c r="C64" s="6" t="inlineStr">
        <is>
          <t>C1</t>
        </is>
      </c>
      <c r="D64" s="7" t="n"/>
      <c r="E64" s="7" t="n"/>
      <c r="F64" s="10">
        <f>IFERROR(I64*D64+J64,"")</f>
        <v/>
      </c>
      <c r="G64" s="10">
        <f>IFERROR(E64-F64,"")</f>
        <v/>
      </c>
      <c r="H64" s="9">
        <f>IFERROR(ROUND(G64/F64*100,2),"")</f>
        <v/>
      </c>
      <c r="I64" s="9">
        <f>IFERROR(SLOPE(E64:E68,D64:D68),"")</f>
        <v/>
      </c>
      <c r="J64" s="9">
        <f>IFERROR(INTERCEPT(E64:E68,D64:D68),"")</f>
        <v/>
      </c>
      <c r="K64" s="11">
        <f>IFERROR(CORREL(E64:E68,D64:D68),"")</f>
        <v/>
      </c>
      <c r="L64" s="9">
        <f>IFERROR(ROUND(J64/E66*100,2),"")</f>
        <v/>
      </c>
    </row>
    <row r="65" ht="22" customHeight="1">
      <c r="A65" s="6" t="inlineStr">
        <is>
          <t>IMP-07</t>
        </is>
      </c>
      <c r="B65" s="6" t="inlineStr">
        <is>
          <t>INITIAL</t>
        </is>
      </c>
      <c r="C65" s="6" t="inlineStr">
        <is>
          <t>C2</t>
        </is>
      </c>
      <c r="D65" s="7" t="n"/>
      <c r="E65" s="7" t="n"/>
      <c r="F65" s="10">
        <f>IFERROR(I65*D65+J65,"")</f>
        <v/>
      </c>
      <c r="G65" s="10">
        <f>IFERROR(E65-F65,"")</f>
        <v/>
      </c>
      <c r="H65" s="9">
        <f>IFERROR(ROUND(G65/F65*100,2),"")</f>
        <v/>
      </c>
      <c r="I65" s="9">
        <f>IFERROR(SLOPE(E64:E68,D64:D68),"")</f>
        <v/>
      </c>
      <c r="J65" s="9">
        <f>IFERROR(INTERCEPT(E64:E68,D64:D68),"")</f>
        <v/>
      </c>
      <c r="K65" s="11">
        <f>IFERROR(CORREL(E64:E68,D64:D68),"")</f>
        <v/>
      </c>
      <c r="L65" s="9">
        <f>IFERROR(ROUND(J65/E66*100,2),"")</f>
        <v/>
      </c>
    </row>
    <row r="66" ht="22" customHeight="1">
      <c r="A66" s="6" t="inlineStr">
        <is>
          <t>IMP-07</t>
        </is>
      </c>
      <c r="B66" s="6" t="inlineStr">
        <is>
          <t>INITIAL</t>
        </is>
      </c>
      <c r="C66" s="6" t="inlineStr">
        <is>
          <t>C3</t>
        </is>
      </c>
      <c r="D66" s="7" t="n"/>
      <c r="E66" s="7" t="n"/>
      <c r="F66" s="10">
        <f>IFERROR(I66*D66+J66,"")</f>
        <v/>
      </c>
      <c r="G66" s="10">
        <f>IFERROR(E66-F66,"")</f>
        <v/>
      </c>
      <c r="H66" s="9">
        <f>IFERROR(ROUND(G66/F66*100,2),"")</f>
        <v/>
      </c>
      <c r="I66" s="9">
        <f>IFERROR(SLOPE(E64:E68,D64:D68),"")</f>
        <v/>
      </c>
      <c r="J66" s="9">
        <f>IFERROR(INTERCEPT(E64:E68,D64:D68),"")</f>
        <v/>
      </c>
      <c r="K66" s="11">
        <f>IFERROR(CORREL(E64:E68,D64:D68),"")</f>
        <v/>
      </c>
      <c r="L66" s="9">
        <f>IFERROR(ROUND(J66/E66*100,2),"")</f>
        <v/>
      </c>
    </row>
    <row r="67" ht="22" customHeight="1">
      <c r="A67" s="6" t="inlineStr">
        <is>
          <t>IMP-07</t>
        </is>
      </c>
      <c r="B67" s="6" t="inlineStr">
        <is>
          <t>INITIAL</t>
        </is>
      </c>
      <c r="C67" s="6" t="inlineStr">
        <is>
          <t>C4</t>
        </is>
      </c>
      <c r="D67" s="7" t="n"/>
      <c r="E67" s="7" t="n"/>
      <c r="F67" s="10">
        <f>IFERROR(I67*D67+J67,"")</f>
        <v/>
      </c>
      <c r="G67" s="10">
        <f>IFERROR(E67-F67,"")</f>
        <v/>
      </c>
      <c r="H67" s="9">
        <f>IFERROR(ROUND(G67/F67*100,2),"")</f>
        <v/>
      </c>
      <c r="I67" s="9">
        <f>IFERROR(SLOPE(E64:E68,D64:D68),"")</f>
        <v/>
      </c>
      <c r="J67" s="9">
        <f>IFERROR(INTERCEPT(E64:E68,D64:D68),"")</f>
        <v/>
      </c>
      <c r="K67" s="11">
        <f>IFERROR(CORREL(E64:E68,D64:D68),"")</f>
        <v/>
      </c>
      <c r="L67" s="9">
        <f>IFERROR(ROUND(J67/E66*100,2),"")</f>
        <v/>
      </c>
    </row>
    <row r="68" ht="22" customHeight="1">
      <c r="A68" s="6" t="inlineStr">
        <is>
          <t>IMP-07</t>
        </is>
      </c>
      <c r="B68" s="6" t="inlineStr">
        <is>
          <t>INITIAL</t>
        </is>
      </c>
      <c r="C68" s="6" t="inlineStr">
        <is>
          <t>C5</t>
        </is>
      </c>
      <c r="D68" s="7" t="n"/>
      <c r="E68" s="7" t="n"/>
      <c r="F68" s="10">
        <f>IFERROR(I68*D68+J68,"")</f>
        <v/>
      </c>
      <c r="G68" s="10">
        <f>IFERROR(E68-F68,"")</f>
        <v/>
      </c>
      <c r="H68" s="9">
        <f>IFERROR(ROUND(G68/F68*100,2),"")</f>
        <v/>
      </c>
      <c r="I68" s="9">
        <f>IFERROR(SLOPE(E64:E68,D64:D68),"")</f>
        <v/>
      </c>
      <c r="J68" s="9">
        <f>IFERROR(INTERCEPT(E64:E68,D64:D68),"")</f>
        <v/>
      </c>
      <c r="K68" s="11">
        <f>IFERROR(CORREL(E64:E68,D64:D68),"")</f>
        <v/>
      </c>
      <c r="L68" s="9">
        <f>IFERROR(ROUND(J68/E66*100,2),"")</f>
        <v/>
      </c>
    </row>
    <row r="69" ht="22" customHeight="1">
      <c r="A69" s="6" t="inlineStr">
        <is>
          <t>IMP-07</t>
        </is>
      </c>
      <c r="B69" s="6" t="inlineStr">
        <is>
          <t>INTERMEDIATE</t>
        </is>
      </c>
      <c r="C69" s="6" t="inlineStr">
        <is>
          <t>C1</t>
        </is>
      </c>
      <c r="D69" s="7" t="n"/>
      <c r="E69" s="7" t="n"/>
      <c r="F69" s="10">
        <f>IFERROR(I69*D69+J69,"")</f>
        <v/>
      </c>
      <c r="G69" s="10">
        <f>IFERROR(E69-F69,"")</f>
        <v/>
      </c>
      <c r="H69" s="9">
        <f>IFERROR(ROUND(G69/F69*100,2),"")</f>
        <v/>
      </c>
      <c r="I69" s="9">
        <f>IFERROR(SLOPE(E69:E73,D69:D73),"")</f>
        <v/>
      </c>
      <c r="J69" s="9">
        <f>IFERROR(INTERCEPT(E69:E73,D69:D73),"")</f>
        <v/>
      </c>
      <c r="K69" s="11">
        <f>IFERROR(CORREL(E69:E73,D69:D73),"")</f>
        <v/>
      </c>
      <c r="L69" s="9">
        <f>IFERROR(ROUND(J69/E71*100,2),"")</f>
        <v/>
      </c>
    </row>
    <row r="70" ht="22" customHeight="1">
      <c r="A70" s="6" t="inlineStr">
        <is>
          <t>IMP-07</t>
        </is>
      </c>
      <c r="B70" s="6" t="inlineStr">
        <is>
          <t>INTERMEDIATE</t>
        </is>
      </c>
      <c r="C70" s="6" t="inlineStr">
        <is>
          <t>C2</t>
        </is>
      </c>
      <c r="D70" s="7" t="n"/>
      <c r="E70" s="7" t="n"/>
      <c r="F70" s="10">
        <f>IFERROR(I70*D70+J70,"")</f>
        <v/>
      </c>
      <c r="G70" s="10">
        <f>IFERROR(E70-F70,"")</f>
        <v/>
      </c>
      <c r="H70" s="9">
        <f>IFERROR(ROUND(G70/F70*100,2),"")</f>
        <v/>
      </c>
      <c r="I70" s="9">
        <f>IFERROR(SLOPE(E69:E73,D69:D73),"")</f>
        <v/>
      </c>
      <c r="J70" s="9">
        <f>IFERROR(INTERCEPT(E69:E73,D69:D73),"")</f>
        <v/>
      </c>
      <c r="K70" s="11">
        <f>IFERROR(CORREL(E69:E73,D69:D73),"")</f>
        <v/>
      </c>
      <c r="L70" s="9">
        <f>IFERROR(ROUND(J70/E71*100,2),"")</f>
        <v/>
      </c>
    </row>
    <row r="71" ht="22" customHeight="1">
      <c r="A71" s="6" t="inlineStr">
        <is>
          <t>IMP-07</t>
        </is>
      </c>
      <c r="B71" s="6" t="inlineStr">
        <is>
          <t>INTERMEDIATE</t>
        </is>
      </c>
      <c r="C71" s="6" t="inlineStr">
        <is>
          <t>C3</t>
        </is>
      </c>
      <c r="D71" s="7" t="n"/>
      <c r="E71" s="7" t="n"/>
      <c r="F71" s="10">
        <f>IFERROR(I71*D71+J71,"")</f>
        <v/>
      </c>
      <c r="G71" s="10">
        <f>IFERROR(E71-F71,"")</f>
        <v/>
      </c>
      <c r="H71" s="9">
        <f>IFERROR(ROUND(G71/F71*100,2),"")</f>
        <v/>
      </c>
      <c r="I71" s="9">
        <f>IFERROR(SLOPE(E69:E73,D69:D73),"")</f>
        <v/>
      </c>
      <c r="J71" s="9">
        <f>IFERROR(INTERCEPT(E69:E73,D69:D73),"")</f>
        <v/>
      </c>
      <c r="K71" s="11">
        <f>IFERROR(CORREL(E69:E73,D69:D73),"")</f>
        <v/>
      </c>
      <c r="L71" s="9">
        <f>IFERROR(ROUND(J71/E71*100,2),"")</f>
        <v/>
      </c>
    </row>
    <row r="72" ht="22" customHeight="1">
      <c r="A72" s="6" t="inlineStr">
        <is>
          <t>IMP-07</t>
        </is>
      </c>
      <c r="B72" s="6" t="inlineStr">
        <is>
          <t>INTERMEDIATE</t>
        </is>
      </c>
      <c r="C72" s="6" t="inlineStr">
        <is>
          <t>C4</t>
        </is>
      </c>
      <c r="D72" s="7" t="n"/>
      <c r="E72" s="7" t="n"/>
      <c r="F72" s="10">
        <f>IFERROR(I72*D72+J72,"")</f>
        <v/>
      </c>
      <c r="G72" s="10">
        <f>IFERROR(E72-F72,"")</f>
        <v/>
      </c>
      <c r="H72" s="9">
        <f>IFERROR(ROUND(G72/F72*100,2),"")</f>
        <v/>
      </c>
      <c r="I72" s="9">
        <f>IFERROR(SLOPE(E69:E73,D69:D73),"")</f>
        <v/>
      </c>
      <c r="J72" s="9">
        <f>IFERROR(INTERCEPT(E69:E73,D69:D73),"")</f>
        <v/>
      </c>
      <c r="K72" s="11">
        <f>IFERROR(CORREL(E69:E73,D69:D73),"")</f>
        <v/>
      </c>
      <c r="L72" s="9">
        <f>IFERROR(ROUND(J72/E71*100,2),"")</f>
        <v/>
      </c>
    </row>
    <row r="73" ht="22" customHeight="1">
      <c r="A73" s="6" t="inlineStr">
        <is>
          <t>IMP-07</t>
        </is>
      </c>
      <c r="B73" s="6" t="inlineStr">
        <is>
          <t>INTERMEDIATE</t>
        </is>
      </c>
      <c r="C73" s="6" t="inlineStr">
        <is>
          <t>C5</t>
        </is>
      </c>
      <c r="D73" s="7" t="n"/>
      <c r="E73" s="7" t="n"/>
      <c r="F73" s="10">
        <f>IFERROR(I73*D73+J73,"")</f>
        <v/>
      </c>
      <c r="G73" s="10">
        <f>IFERROR(E73-F73,"")</f>
        <v/>
      </c>
      <c r="H73" s="9">
        <f>IFERROR(ROUND(G73/F73*100,2),"")</f>
        <v/>
      </c>
      <c r="I73" s="9">
        <f>IFERROR(SLOPE(E69:E73,D69:D73),"")</f>
        <v/>
      </c>
      <c r="J73" s="9">
        <f>IFERROR(INTERCEPT(E69:E73,D69:D73),"")</f>
        <v/>
      </c>
      <c r="K73" s="11">
        <f>IFERROR(CORREL(E69:E73,D69:D73),"")</f>
        <v/>
      </c>
      <c r="L73" s="9">
        <f>IFERROR(ROUND(J73/E71*100,2),"")</f>
        <v/>
      </c>
    </row>
    <row r="74" ht="22" customHeight="1">
      <c r="A74" s="6" t="inlineStr">
        <is>
          <t>IMP-08</t>
        </is>
      </c>
      <c r="B74" s="6" t="inlineStr">
        <is>
          <t>INITIAL</t>
        </is>
      </c>
      <c r="C74" s="6" t="inlineStr">
        <is>
          <t>C1</t>
        </is>
      </c>
      <c r="D74" s="7" t="n"/>
      <c r="E74" s="7" t="n"/>
      <c r="F74" s="10">
        <f>IFERROR(I74*D74+J74,"")</f>
        <v/>
      </c>
      <c r="G74" s="10">
        <f>IFERROR(E74-F74,"")</f>
        <v/>
      </c>
      <c r="H74" s="9">
        <f>IFERROR(ROUND(G74/F74*100,2),"")</f>
        <v/>
      </c>
      <c r="I74" s="9">
        <f>IFERROR(SLOPE(E74:E78,D74:D78),"")</f>
        <v/>
      </c>
      <c r="J74" s="9">
        <f>IFERROR(INTERCEPT(E74:E78,D74:D78),"")</f>
        <v/>
      </c>
      <c r="K74" s="11">
        <f>IFERROR(CORREL(E74:E78,D74:D78),"")</f>
        <v/>
      </c>
      <c r="L74" s="9">
        <f>IFERROR(ROUND(J74/E76*100,2),"")</f>
        <v/>
      </c>
    </row>
    <row r="75" ht="22" customHeight="1">
      <c r="A75" s="6" t="inlineStr">
        <is>
          <t>IMP-08</t>
        </is>
      </c>
      <c r="B75" s="6" t="inlineStr">
        <is>
          <t>INITIAL</t>
        </is>
      </c>
      <c r="C75" s="6" t="inlineStr">
        <is>
          <t>C2</t>
        </is>
      </c>
      <c r="D75" s="7" t="n"/>
      <c r="E75" s="7" t="n"/>
      <c r="F75" s="10">
        <f>IFERROR(I75*D75+J75,"")</f>
        <v/>
      </c>
      <c r="G75" s="10">
        <f>IFERROR(E75-F75,"")</f>
        <v/>
      </c>
      <c r="H75" s="9">
        <f>IFERROR(ROUND(G75/F75*100,2),"")</f>
        <v/>
      </c>
      <c r="I75" s="9">
        <f>IFERROR(SLOPE(E74:E78,D74:D78),"")</f>
        <v/>
      </c>
      <c r="J75" s="9">
        <f>IFERROR(INTERCEPT(E74:E78,D74:D78),"")</f>
        <v/>
      </c>
      <c r="K75" s="11">
        <f>IFERROR(CORREL(E74:E78,D74:D78),"")</f>
        <v/>
      </c>
      <c r="L75" s="9">
        <f>IFERROR(ROUND(J75/E76*100,2),"")</f>
        <v/>
      </c>
    </row>
    <row r="76" ht="22" customHeight="1">
      <c r="A76" s="6" t="inlineStr">
        <is>
          <t>IMP-08</t>
        </is>
      </c>
      <c r="B76" s="6" t="inlineStr">
        <is>
          <t>INITIAL</t>
        </is>
      </c>
      <c r="C76" s="6" t="inlineStr">
        <is>
          <t>C3</t>
        </is>
      </c>
      <c r="D76" s="7" t="n"/>
      <c r="E76" s="7" t="n"/>
      <c r="F76" s="10">
        <f>IFERROR(I76*D76+J76,"")</f>
        <v/>
      </c>
      <c r="G76" s="10">
        <f>IFERROR(E76-F76,"")</f>
        <v/>
      </c>
      <c r="H76" s="9">
        <f>IFERROR(ROUND(G76/F76*100,2),"")</f>
        <v/>
      </c>
      <c r="I76" s="9">
        <f>IFERROR(SLOPE(E74:E78,D74:D78),"")</f>
        <v/>
      </c>
      <c r="J76" s="9">
        <f>IFERROR(INTERCEPT(E74:E78,D74:D78),"")</f>
        <v/>
      </c>
      <c r="K76" s="11">
        <f>IFERROR(CORREL(E74:E78,D74:D78),"")</f>
        <v/>
      </c>
      <c r="L76" s="9">
        <f>IFERROR(ROUND(J76/E76*100,2),"")</f>
        <v/>
      </c>
    </row>
    <row r="77" ht="22" customHeight="1">
      <c r="A77" s="6" t="inlineStr">
        <is>
          <t>IMP-08</t>
        </is>
      </c>
      <c r="B77" s="6" t="inlineStr">
        <is>
          <t>INITIAL</t>
        </is>
      </c>
      <c r="C77" s="6" t="inlineStr">
        <is>
          <t>C4</t>
        </is>
      </c>
      <c r="D77" s="7" t="n"/>
      <c r="E77" s="7" t="n"/>
      <c r="F77" s="10">
        <f>IFERROR(I77*D77+J77,"")</f>
        <v/>
      </c>
      <c r="G77" s="10">
        <f>IFERROR(E77-F77,"")</f>
        <v/>
      </c>
      <c r="H77" s="9">
        <f>IFERROR(ROUND(G77/F77*100,2),"")</f>
        <v/>
      </c>
      <c r="I77" s="9">
        <f>IFERROR(SLOPE(E74:E78,D74:D78),"")</f>
        <v/>
      </c>
      <c r="J77" s="9">
        <f>IFERROR(INTERCEPT(E74:E78,D74:D78),"")</f>
        <v/>
      </c>
      <c r="K77" s="11">
        <f>IFERROR(CORREL(E74:E78,D74:D78),"")</f>
        <v/>
      </c>
      <c r="L77" s="9">
        <f>IFERROR(ROUND(J77/E76*100,2),"")</f>
        <v/>
      </c>
    </row>
    <row r="78" ht="22" customHeight="1">
      <c r="A78" s="6" t="inlineStr">
        <is>
          <t>IMP-08</t>
        </is>
      </c>
      <c r="B78" s="6" t="inlineStr">
        <is>
          <t>INITIAL</t>
        </is>
      </c>
      <c r="C78" s="6" t="inlineStr">
        <is>
          <t>C5</t>
        </is>
      </c>
      <c r="D78" s="7" t="n"/>
      <c r="E78" s="7" t="n"/>
      <c r="F78" s="10">
        <f>IFERROR(I78*D78+J78,"")</f>
        <v/>
      </c>
      <c r="G78" s="10">
        <f>IFERROR(E78-F78,"")</f>
        <v/>
      </c>
      <c r="H78" s="9">
        <f>IFERROR(ROUND(G78/F78*100,2),"")</f>
        <v/>
      </c>
      <c r="I78" s="9">
        <f>IFERROR(SLOPE(E74:E78,D74:D78),"")</f>
        <v/>
      </c>
      <c r="J78" s="9">
        <f>IFERROR(INTERCEPT(E74:E78,D74:D78),"")</f>
        <v/>
      </c>
      <c r="K78" s="11">
        <f>IFERROR(CORREL(E74:E78,D74:D78),"")</f>
        <v/>
      </c>
      <c r="L78" s="9">
        <f>IFERROR(ROUND(J78/E76*100,2),"")</f>
        <v/>
      </c>
    </row>
    <row r="79" ht="22" customHeight="1">
      <c r="A79" s="6" t="inlineStr">
        <is>
          <t>IMP-08</t>
        </is>
      </c>
      <c r="B79" s="6" t="inlineStr">
        <is>
          <t>INTERMEDIATE</t>
        </is>
      </c>
      <c r="C79" s="6" t="inlineStr">
        <is>
          <t>C1</t>
        </is>
      </c>
      <c r="D79" s="7" t="n"/>
      <c r="E79" s="7" t="n"/>
      <c r="F79" s="10">
        <f>IFERROR(I79*D79+J79,"")</f>
        <v/>
      </c>
      <c r="G79" s="10">
        <f>IFERROR(E79-F79,"")</f>
        <v/>
      </c>
      <c r="H79" s="9">
        <f>IFERROR(ROUND(G79/F79*100,2),"")</f>
        <v/>
      </c>
      <c r="I79" s="9">
        <f>IFERROR(SLOPE(E79:E83,D79:D83),"")</f>
        <v/>
      </c>
      <c r="J79" s="9">
        <f>IFERROR(INTERCEPT(E79:E83,D79:D83),"")</f>
        <v/>
      </c>
      <c r="K79" s="11">
        <f>IFERROR(CORREL(E79:E83,D79:D83),"")</f>
        <v/>
      </c>
      <c r="L79" s="9">
        <f>IFERROR(ROUND(J79/E81*100,2),"")</f>
        <v/>
      </c>
    </row>
    <row r="80" ht="22" customHeight="1">
      <c r="A80" s="6" t="inlineStr">
        <is>
          <t>IMP-08</t>
        </is>
      </c>
      <c r="B80" s="6" t="inlineStr">
        <is>
          <t>INTERMEDIATE</t>
        </is>
      </c>
      <c r="C80" s="6" t="inlineStr">
        <is>
          <t>C2</t>
        </is>
      </c>
      <c r="D80" s="7" t="n"/>
      <c r="E80" s="7" t="n"/>
      <c r="F80" s="10">
        <f>IFERROR(I80*D80+J80,"")</f>
        <v/>
      </c>
      <c r="G80" s="10">
        <f>IFERROR(E80-F80,"")</f>
        <v/>
      </c>
      <c r="H80" s="9">
        <f>IFERROR(ROUND(G80/F80*100,2),"")</f>
        <v/>
      </c>
      <c r="I80" s="9">
        <f>IFERROR(SLOPE(E79:E83,D79:D83),"")</f>
        <v/>
      </c>
      <c r="J80" s="9">
        <f>IFERROR(INTERCEPT(E79:E83,D79:D83),"")</f>
        <v/>
      </c>
      <c r="K80" s="11">
        <f>IFERROR(CORREL(E79:E83,D79:D83),"")</f>
        <v/>
      </c>
      <c r="L80" s="9">
        <f>IFERROR(ROUND(J80/E81*100,2),"")</f>
        <v/>
      </c>
    </row>
    <row r="81" ht="22" customHeight="1">
      <c r="A81" s="6" t="inlineStr">
        <is>
          <t>IMP-08</t>
        </is>
      </c>
      <c r="B81" s="6" t="inlineStr">
        <is>
          <t>INTERMEDIATE</t>
        </is>
      </c>
      <c r="C81" s="6" t="inlineStr">
        <is>
          <t>C3</t>
        </is>
      </c>
      <c r="D81" s="7" t="n"/>
      <c r="E81" s="7" t="n"/>
      <c r="F81" s="10">
        <f>IFERROR(I81*D81+J81,"")</f>
        <v/>
      </c>
      <c r="G81" s="10">
        <f>IFERROR(E81-F81,"")</f>
        <v/>
      </c>
      <c r="H81" s="9">
        <f>IFERROR(ROUND(G81/F81*100,2),"")</f>
        <v/>
      </c>
      <c r="I81" s="9">
        <f>IFERROR(SLOPE(E79:E83,D79:D83),"")</f>
        <v/>
      </c>
      <c r="J81" s="9">
        <f>IFERROR(INTERCEPT(E79:E83,D79:D83),"")</f>
        <v/>
      </c>
      <c r="K81" s="11">
        <f>IFERROR(CORREL(E79:E83,D79:D83),"")</f>
        <v/>
      </c>
      <c r="L81" s="9">
        <f>IFERROR(ROUND(J81/E81*100,2),"")</f>
        <v/>
      </c>
    </row>
    <row r="82" ht="22" customHeight="1">
      <c r="A82" s="6" t="inlineStr">
        <is>
          <t>IMP-08</t>
        </is>
      </c>
      <c r="B82" s="6" t="inlineStr">
        <is>
          <t>INTERMEDIATE</t>
        </is>
      </c>
      <c r="C82" s="6" t="inlineStr">
        <is>
          <t>C4</t>
        </is>
      </c>
      <c r="D82" s="7" t="n"/>
      <c r="E82" s="7" t="n"/>
      <c r="F82" s="10">
        <f>IFERROR(I82*D82+J82,"")</f>
        <v/>
      </c>
      <c r="G82" s="10">
        <f>IFERROR(E82-F82,"")</f>
        <v/>
      </c>
      <c r="H82" s="9">
        <f>IFERROR(ROUND(G82/F82*100,2),"")</f>
        <v/>
      </c>
      <c r="I82" s="9">
        <f>IFERROR(SLOPE(E79:E83,D79:D83),"")</f>
        <v/>
      </c>
      <c r="J82" s="9">
        <f>IFERROR(INTERCEPT(E79:E83,D79:D83),"")</f>
        <v/>
      </c>
      <c r="K82" s="11">
        <f>IFERROR(CORREL(E79:E83,D79:D83),"")</f>
        <v/>
      </c>
      <c r="L82" s="9">
        <f>IFERROR(ROUND(J82/E81*100,2),"")</f>
        <v/>
      </c>
    </row>
    <row r="83" ht="22" customHeight="1">
      <c r="A83" s="6" t="inlineStr">
        <is>
          <t>IMP-08</t>
        </is>
      </c>
      <c r="B83" s="6" t="inlineStr">
        <is>
          <t>INTERMEDIATE</t>
        </is>
      </c>
      <c r="C83" s="6" t="inlineStr">
        <is>
          <t>C5</t>
        </is>
      </c>
      <c r="D83" s="7" t="n"/>
      <c r="E83" s="7" t="n"/>
      <c r="F83" s="10">
        <f>IFERROR(I83*D83+J83,"")</f>
        <v/>
      </c>
      <c r="G83" s="10">
        <f>IFERROR(E83-F83,"")</f>
        <v/>
      </c>
      <c r="H83" s="9">
        <f>IFERROR(ROUND(G83/F83*100,2),"")</f>
        <v/>
      </c>
      <c r="I83" s="9">
        <f>IFERROR(SLOPE(E79:E83,D79:D83),"")</f>
        <v/>
      </c>
      <c r="J83" s="9">
        <f>IFERROR(INTERCEPT(E79:E83,D79:D83),"")</f>
        <v/>
      </c>
      <c r="K83" s="11">
        <f>IFERROR(CORREL(E79:E83,D79:D83),"")</f>
        <v/>
      </c>
      <c r="L83" s="9">
        <f>IFERROR(ROUND(J83/E81*100,2),"")</f>
        <v/>
      </c>
    </row>
    <row r="84" ht="22" customHeight="1">
      <c r="A84" s="6" t="inlineStr">
        <is>
          <t>IMP-09</t>
        </is>
      </c>
      <c r="B84" s="6" t="inlineStr">
        <is>
          <t>INITIAL</t>
        </is>
      </c>
      <c r="C84" s="6" t="inlineStr">
        <is>
          <t>C1</t>
        </is>
      </c>
      <c r="D84" s="7" t="n"/>
      <c r="E84" s="7" t="n"/>
      <c r="F84" s="10">
        <f>IFERROR(I84*D84+J84,"")</f>
        <v/>
      </c>
      <c r="G84" s="10">
        <f>IFERROR(E84-F84,"")</f>
        <v/>
      </c>
      <c r="H84" s="9">
        <f>IFERROR(ROUND(G84/F84*100,2),"")</f>
        <v/>
      </c>
      <c r="I84" s="9">
        <f>IFERROR(SLOPE(E84:E88,D84:D88),"")</f>
        <v/>
      </c>
      <c r="J84" s="9">
        <f>IFERROR(INTERCEPT(E84:E88,D84:D88),"")</f>
        <v/>
      </c>
      <c r="K84" s="11">
        <f>IFERROR(CORREL(E84:E88,D84:D88),"")</f>
        <v/>
      </c>
      <c r="L84" s="9">
        <f>IFERROR(ROUND(J84/E86*100,2),"")</f>
        <v/>
      </c>
    </row>
    <row r="85" ht="22" customHeight="1">
      <c r="A85" s="6" t="inlineStr">
        <is>
          <t>IMP-09</t>
        </is>
      </c>
      <c r="B85" s="6" t="inlineStr">
        <is>
          <t>INITIAL</t>
        </is>
      </c>
      <c r="C85" s="6" t="inlineStr">
        <is>
          <t>C2</t>
        </is>
      </c>
      <c r="D85" s="7" t="n"/>
      <c r="E85" s="7" t="n"/>
      <c r="F85" s="10">
        <f>IFERROR(I85*D85+J85,"")</f>
        <v/>
      </c>
      <c r="G85" s="10">
        <f>IFERROR(E85-F85,"")</f>
        <v/>
      </c>
      <c r="H85" s="9">
        <f>IFERROR(ROUND(G85/F85*100,2),"")</f>
        <v/>
      </c>
      <c r="I85" s="9">
        <f>IFERROR(SLOPE(E84:E88,D84:D88),"")</f>
        <v/>
      </c>
      <c r="J85" s="9">
        <f>IFERROR(INTERCEPT(E84:E88,D84:D88),"")</f>
        <v/>
      </c>
      <c r="K85" s="11">
        <f>IFERROR(CORREL(E84:E88,D84:D88),"")</f>
        <v/>
      </c>
      <c r="L85" s="9">
        <f>IFERROR(ROUND(J85/E86*100,2),"")</f>
        <v/>
      </c>
    </row>
    <row r="86" ht="22" customHeight="1">
      <c r="A86" s="6" t="inlineStr">
        <is>
          <t>IMP-09</t>
        </is>
      </c>
      <c r="B86" s="6" t="inlineStr">
        <is>
          <t>INITIAL</t>
        </is>
      </c>
      <c r="C86" s="6" t="inlineStr">
        <is>
          <t>C3</t>
        </is>
      </c>
      <c r="D86" s="7" t="n"/>
      <c r="E86" s="7" t="n"/>
      <c r="F86" s="10">
        <f>IFERROR(I86*D86+J86,"")</f>
        <v/>
      </c>
      <c r="G86" s="10">
        <f>IFERROR(E86-F86,"")</f>
        <v/>
      </c>
      <c r="H86" s="9">
        <f>IFERROR(ROUND(G86/F86*100,2),"")</f>
        <v/>
      </c>
      <c r="I86" s="9">
        <f>IFERROR(SLOPE(E84:E88,D84:D88),"")</f>
        <v/>
      </c>
      <c r="J86" s="9">
        <f>IFERROR(INTERCEPT(E84:E88,D84:D88),"")</f>
        <v/>
      </c>
      <c r="K86" s="11">
        <f>IFERROR(CORREL(E84:E88,D84:D88),"")</f>
        <v/>
      </c>
      <c r="L86" s="9">
        <f>IFERROR(ROUND(J86/E86*100,2),"")</f>
        <v/>
      </c>
    </row>
    <row r="87" ht="22" customHeight="1">
      <c r="A87" s="6" t="inlineStr">
        <is>
          <t>IMP-09</t>
        </is>
      </c>
      <c r="B87" s="6" t="inlineStr">
        <is>
          <t>INITIAL</t>
        </is>
      </c>
      <c r="C87" s="6" t="inlineStr">
        <is>
          <t>C4</t>
        </is>
      </c>
      <c r="D87" s="7" t="n"/>
      <c r="E87" s="7" t="n"/>
      <c r="F87" s="10">
        <f>IFERROR(I87*D87+J87,"")</f>
        <v/>
      </c>
      <c r="G87" s="10">
        <f>IFERROR(E87-F87,"")</f>
        <v/>
      </c>
      <c r="H87" s="9">
        <f>IFERROR(ROUND(G87/F87*100,2),"")</f>
        <v/>
      </c>
      <c r="I87" s="9">
        <f>IFERROR(SLOPE(E84:E88,D84:D88),"")</f>
        <v/>
      </c>
      <c r="J87" s="9">
        <f>IFERROR(INTERCEPT(E84:E88,D84:D88),"")</f>
        <v/>
      </c>
      <c r="K87" s="11">
        <f>IFERROR(CORREL(E84:E88,D84:D88),"")</f>
        <v/>
      </c>
      <c r="L87" s="9">
        <f>IFERROR(ROUND(J87/E86*100,2),"")</f>
        <v/>
      </c>
    </row>
    <row r="88" ht="22" customHeight="1">
      <c r="A88" s="6" t="inlineStr">
        <is>
          <t>IMP-09</t>
        </is>
      </c>
      <c r="B88" s="6" t="inlineStr">
        <is>
          <t>INITIAL</t>
        </is>
      </c>
      <c r="C88" s="6" t="inlineStr">
        <is>
          <t>C5</t>
        </is>
      </c>
      <c r="D88" s="7" t="n"/>
      <c r="E88" s="7" t="n"/>
      <c r="F88" s="10">
        <f>IFERROR(I88*D88+J88,"")</f>
        <v/>
      </c>
      <c r="G88" s="10">
        <f>IFERROR(E88-F88,"")</f>
        <v/>
      </c>
      <c r="H88" s="9">
        <f>IFERROR(ROUND(G88/F88*100,2),"")</f>
        <v/>
      </c>
      <c r="I88" s="9">
        <f>IFERROR(SLOPE(E84:E88,D84:D88),"")</f>
        <v/>
      </c>
      <c r="J88" s="9">
        <f>IFERROR(INTERCEPT(E84:E88,D84:D88),"")</f>
        <v/>
      </c>
      <c r="K88" s="11">
        <f>IFERROR(CORREL(E84:E88,D84:D88),"")</f>
        <v/>
      </c>
      <c r="L88" s="9">
        <f>IFERROR(ROUND(J88/E86*100,2),"")</f>
        <v/>
      </c>
    </row>
    <row r="89" ht="22" customHeight="1">
      <c r="A89" s="6" t="inlineStr">
        <is>
          <t>IMP-09</t>
        </is>
      </c>
      <c r="B89" s="6" t="inlineStr">
        <is>
          <t>INTERMEDIATE</t>
        </is>
      </c>
      <c r="C89" s="6" t="inlineStr">
        <is>
          <t>C1</t>
        </is>
      </c>
      <c r="D89" s="7" t="n"/>
      <c r="E89" s="7" t="n"/>
      <c r="F89" s="10">
        <f>IFERROR(I89*D89+J89,"")</f>
        <v/>
      </c>
      <c r="G89" s="10">
        <f>IFERROR(E89-F89,"")</f>
        <v/>
      </c>
      <c r="H89" s="9">
        <f>IFERROR(ROUND(G89/F89*100,2),"")</f>
        <v/>
      </c>
      <c r="I89" s="9">
        <f>IFERROR(SLOPE(E89:E93,D89:D93),"")</f>
        <v/>
      </c>
      <c r="J89" s="9">
        <f>IFERROR(INTERCEPT(E89:E93,D89:D93),"")</f>
        <v/>
      </c>
      <c r="K89" s="11">
        <f>IFERROR(CORREL(E89:E93,D89:D93),"")</f>
        <v/>
      </c>
      <c r="L89" s="9">
        <f>IFERROR(ROUND(J89/E91*100,2),"")</f>
        <v/>
      </c>
    </row>
    <row r="90" ht="22" customHeight="1">
      <c r="A90" s="6" t="inlineStr">
        <is>
          <t>IMP-09</t>
        </is>
      </c>
      <c r="B90" s="6" t="inlineStr">
        <is>
          <t>INTERMEDIATE</t>
        </is>
      </c>
      <c r="C90" s="6" t="inlineStr">
        <is>
          <t>C2</t>
        </is>
      </c>
      <c r="D90" s="7" t="n"/>
      <c r="E90" s="7" t="n"/>
      <c r="F90" s="10">
        <f>IFERROR(I90*D90+J90,"")</f>
        <v/>
      </c>
      <c r="G90" s="10">
        <f>IFERROR(E90-F90,"")</f>
        <v/>
      </c>
      <c r="H90" s="9">
        <f>IFERROR(ROUND(G90/F90*100,2),"")</f>
        <v/>
      </c>
      <c r="I90" s="9">
        <f>IFERROR(SLOPE(E89:E93,D89:D93),"")</f>
        <v/>
      </c>
      <c r="J90" s="9">
        <f>IFERROR(INTERCEPT(E89:E93,D89:D93),"")</f>
        <v/>
      </c>
      <c r="K90" s="11">
        <f>IFERROR(CORREL(E89:E93,D89:D93),"")</f>
        <v/>
      </c>
      <c r="L90" s="9">
        <f>IFERROR(ROUND(J90/E91*100,2),"")</f>
        <v/>
      </c>
    </row>
    <row r="91" ht="22" customHeight="1">
      <c r="A91" s="6" t="inlineStr">
        <is>
          <t>IMP-09</t>
        </is>
      </c>
      <c r="B91" s="6" t="inlineStr">
        <is>
          <t>INTERMEDIATE</t>
        </is>
      </c>
      <c r="C91" s="6" t="inlineStr">
        <is>
          <t>C3</t>
        </is>
      </c>
      <c r="D91" s="7" t="n"/>
      <c r="E91" s="7" t="n"/>
      <c r="F91" s="10">
        <f>IFERROR(I91*D91+J91,"")</f>
        <v/>
      </c>
      <c r="G91" s="10">
        <f>IFERROR(E91-F91,"")</f>
        <v/>
      </c>
      <c r="H91" s="9">
        <f>IFERROR(ROUND(G91/F91*100,2),"")</f>
        <v/>
      </c>
      <c r="I91" s="9">
        <f>IFERROR(SLOPE(E89:E93,D89:D93),"")</f>
        <v/>
      </c>
      <c r="J91" s="9">
        <f>IFERROR(INTERCEPT(E89:E93,D89:D93),"")</f>
        <v/>
      </c>
      <c r="K91" s="11">
        <f>IFERROR(CORREL(E89:E93,D89:D93),"")</f>
        <v/>
      </c>
      <c r="L91" s="9">
        <f>IFERROR(ROUND(J91/E91*100,2),"")</f>
        <v/>
      </c>
    </row>
    <row r="92" ht="22" customHeight="1">
      <c r="A92" s="6" t="inlineStr">
        <is>
          <t>IMP-09</t>
        </is>
      </c>
      <c r="B92" s="6" t="inlineStr">
        <is>
          <t>INTERMEDIATE</t>
        </is>
      </c>
      <c r="C92" s="6" t="inlineStr">
        <is>
          <t>C4</t>
        </is>
      </c>
      <c r="D92" s="7" t="n"/>
      <c r="E92" s="7" t="n"/>
      <c r="F92" s="10">
        <f>IFERROR(I92*D92+J92,"")</f>
        <v/>
      </c>
      <c r="G92" s="10">
        <f>IFERROR(E92-F92,"")</f>
        <v/>
      </c>
      <c r="H92" s="9">
        <f>IFERROR(ROUND(G92/F92*100,2),"")</f>
        <v/>
      </c>
      <c r="I92" s="9">
        <f>IFERROR(SLOPE(E89:E93,D89:D93),"")</f>
        <v/>
      </c>
      <c r="J92" s="9">
        <f>IFERROR(INTERCEPT(E89:E93,D89:D93),"")</f>
        <v/>
      </c>
      <c r="K92" s="11">
        <f>IFERROR(CORREL(E89:E93,D89:D93),"")</f>
        <v/>
      </c>
      <c r="L92" s="9">
        <f>IFERROR(ROUND(J92/E91*100,2),"")</f>
        <v/>
      </c>
    </row>
    <row r="93" ht="22" customHeight="1">
      <c r="A93" s="6" t="inlineStr">
        <is>
          <t>IMP-09</t>
        </is>
      </c>
      <c r="B93" s="6" t="inlineStr">
        <is>
          <t>INTERMEDIATE</t>
        </is>
      </c>
      <c r="C93" s="6" t="inlineStr">
        <is>
          <t>C5</t>
        </is>
      </c>
      <c r="D93" s="7" t="n"/>
      <c r="E93" s="7" t="n"/>
      <c r="F93" s="10">
        <f>IFERROR(I93*D93+J93,"")</f>
        <v/>
      </c>
      <c r="G93" s="10">
        <f>IFERROR(E93-F93,"")</f>
        <v/>
      </c>
      <c r="H93" s="9">
        <f>IFERROR(ROUND(G93/F93*100,2),"")</f>
        <v/>
      </c>
      <c r="I93" s="9">
        <f>IFERROR(SLOPE(E89:E93,D89:D93),"")</f>
        <v/>
      </c>
      <c r="J93" s="9">
        <f>IFERROR(INTERCEPT(E89:E93,D89:D93),"")</f>
        <v/>
      </c>
      <c r="K93" s="11">
        <f>IFERROR(CORREL(E89:E93,D89:D93),"")</f>
        <v/>
      </c>
      <c r="L93" s="9">
        <f>IFERROR(ROUND(J93/E91*100,2),"")</f>
        <v/>
      </c>
    </row>
    <row r="94" ht="22" customHeight="1">
      <c r="A94" s="6" t="inlineStr">
        <is>
          <t>IMP-10</t>
        </is>
      </c>
      <c r="B94" s="6" t="inlineStr">
        <is>
          <t>INITIAL</t>
        </is>
      </c>
      <c r="C94" s="6" t="inlineStr">
        <is>
          <t>C1</t>
        </is>
      </c>
      <c r="D94" s="7" t="n"/>
      <c r="E94" s="7" t="n"/>
      <c r="F94" s="10">
        <f>IFERROR(I94*D94+J94,"")</f>
        <v/>
      </c>
      <c r="G94" s="10">
        <f>IFERROR(E94-F94,"")</f>
        <v/>
      </c>
      <c r="H94" s="9">
        <f>IFERROR(ROUND(G94/F94*100,2),"")</f>
        <v/>
      </c>
      <c r="I94" s="9">
        <f>IFERROR(SLOPE(E94:E98,D94:D98),"")</f>
        <v/>
      </c>
      <c r="J94" s="9">
        <f>IFERROR(INTERCEPT(E94:E98,D94:D98),"")</f>
        <v/>
      </c>
      <c r="K94" s="11">
        <f>IFERROR(CORREL(E94:E98,D94:D98),"")</f>
        <v/>
      </c>
      <c r="L94" s="9">
        <f>IFERROR(ROUND(J94/E96*100,2),"")</f>
        <v/>
      </c>
    </row>
    <row r="95" ht="22" customHeight="1">
      <c r="A95" s="6" t="inlineStr">
        <is>
          <t>IMP-10</t>
        </is>
      </c>
      <c r="B95" s="6" t="inlineStr">
        <is>
          <t>INITIAL</t>
        </is>
      </c>
      <c r="C95" s="6" t="inlineStr">
        <is>
          <t>C2</t>
        </is>
      </c>
      <c r="D95" s="7" t="n"/>
      <c r="E95" s="7" t="n"/>
      <c r="F95" s="10">
        <f>IFERROR(I95*D95+J95,"")</f>
        <v/>
      </c>
      <c r="G95" s="10">
        <f>IFERROR(E95-F95,"")</f>
        <v/>
      </c>
      <c r="H95" s="9">
        <f>IFERROR(ROUND(G95/F95*100,2),"")</f>
        <v/>
      </c>
      <c r="I95" s="9">
        <f>IFERROR(SLOPE(E94:E98,D94:D98),"")</f>
        <v/>
      </c>
      <c r="J95" s="9">
        <f>IFERROR(INTERCEPT(E94:E98,D94:D98),"")</f>
        <v/>
      </c>
      <c r="K95" s="11">
        <f>IFERROR(CORREL(E94:E98,D94:D98),"")</f>
        <v/>
      </c>
      <c r="L95" s="9">
        <f>IFERROR(ROUND(J95/E96*100,2),"")</f>
        <v/>
      </c>
    </row>
    <row r="96" ht="22" customHeight="1">
      <c r="A96" s="6" t="inlineStr">
        <is>
          <t>IMP-10</t>
        </is>
      </c>
      <c r="B96" s="6" t="inlineStr">
        <is>
          <t>INITIAL</t>
        </is>
      </c>
      <c r="C96" s="6" t="inlineStr">
        <is>
          <t>C3</t>
        </is>
      </c>
      <c r="D96" s="7" t="n"/>
      <c r="E96" s="7" t="n"/>
      <c r="F96" s="10">
        <f>IFERROR(I96*D96+J96,"")</f>
        <v/>
      </c>
      <c r="G96" s="10">
        <f>IFERROR(E96-F96,"")</f>
        <v/>
      </c>
      <c r="H96" s="9">
        <f>IFERROR(ROUND(G96/F96*100,2),"")</f>
        <v/>
      </c>
      <c r="I96" s="9">
        <f>IFERROR(SLOPE(E94:E98,D94:D98),"")</f>
        <v/>
      </c>
      <c r="J96" s="9">
        <f>IFERROR(INTERCEPT(E94:E98,D94:D98),"")</f>
        <v/>
      </c>
      <c r="K96" s="11">
        <f>IFERROR(CORREL(E94:E98,D94:D98),"")</f>
        <v/>
      </c>
      <c r="L96" s="9">
        <f>IFERROR(ROUND(J96/E96*100,2),"")</f>
        <v/>
      </c>
    </row>
    <row r="97" ht="22" customHeight="1">
      <c r="A97" s="6" t="inlineStr">
        <is>
          <t>IMP-10</t>
        </is>
      </c>
      <c r="B97" s="6" t="inlineStr">
        <is>
          <t>INITIAL</t>
        </is>
      </c>
      <c r="C97" s="6" t="inlineStr">
        <is>
          <t>C4</t>
        </is>
      </c>
      <c r="D97" s="7" t="n"/>
      <c r="E97" s="7" t="n"/>
      <c r="F97" s="10">
        <f>IFERROR(I97*D97+J97,"")</f>
        <v/>
      </c>
      <c r="G97" s="10">
        <f>IFERROR(E97-F97,"")</f>
        <v/>
      </c>
      <c r="H97" s="9">
        <f>IFERROR(ROUND(G97/F97*100,2),"")</f>
        <v/>
      </c>
      <c r="I97" s="9">
        <f>IFERROR(SLOPE(E94:E98,D94:D98),"")</f>
        <v/>
      </c>
      <c r="J97" s="9">
        <f>IFERROR(INTERCEPT(E94:E98,D94:D98),"")</f>
        <v/>
      </c>
      <c r="K97" s="11">
        <f>IFERROR(CORREL(E94:E98,D94:D98),"")</f>
        <v/>
      </c>
      <c r="L97" s="9">
        <f>IFERROR(ROUND(J97/E96*100,2),"")</f>
        <v/>
      </c>
    </row>
    <row r="98" ht="22" customHeight="1">
      <c r="A98" s="6" t="inlineStr">
        <is>
          <t>IMP-10</t>
        </is>
      </c>
      <c r="B98" s="6" t="inlineStr">
        <is>
          <t>INITIAL</t>
        </is>
      </c>
      <c r="C98" s="6" t="inlineStr">
        <is>
          <t>C5</t>
        </is>
      </c>
      <c r="D98" s="7" t="n"/>
      <c r="E98" s="7" t="n"/>
      <c r="F98" s="10">
        <f>IFERROR(I98*D98+J98,"")</f>
        <v/>
      </c>
      <c r="G98" s="10">
        <f>IFERROR(E98-F98,"")</f>
        <v/>
      </c>
      <c r="H98" s="9">
        <f>IFERROR(ROUND(G98/F98*100,2),"")</f>
        <v/>
      </c>
      <c r="I98" s="9">
        <f>IFERROR(SLOPE(E94:E98,D94:D98),"")</f>
        <v/>
      </c>
      <c r="J98" s="9">
        <f>IFERROR(INTERCEPT(E94:E98,D94:D98),"")</f>
        <v/>
      </c>
      <c r="K98" s="11">
        <f>IFERROR(CORREL(E94:E98,D94:D98),"")</f>
        <v/>
      </c>
      <c r="L98" s="9">
        <f>IFERROR(ROUND(J98/E96*100,2),"")</f>
        <v/>
      </c>
    </row>
    <row r="99" ht="22" customHeight="1">
      <c r="A99" s="6" t="inlineStr">
        <is>
          <t>IMP-10</t>
        </is>
      </c>
      <c r="B99" s="6" t="inlineStr">
        <is>
          <t>INTERMEDIATE</t>
        </is>
      </c>
      <c r="C99" s="6" t="inlineStr">
        <is>
          <t>C1</t>
        </is>
      </c>
      <c r="D99" s="7" t="n"/>
      <c r="E99" s="7" t="n"/>
      <c r="F99" s="10">
        <f>IFERROR(I99*D99+J99,"")</f>
        <v/>
      </c>
      <c r="G99" s="10">
        <f>IFERROR(E99-F99,"")</f>
        <v/>
      </c>
      <c r="H99" s="9">
        <f>IFERROR(ROUND(G99/F99*100,2),"")</f>
        <v/>
      </c>
      <c r="I99" s="9">
        <f>IFERROR(SLOPE(E99:E103,D99:D103),"")</f>
        <v/>
      </c>
      <c r="J99" s="9">
        <f>IFERROR(INTERCEPT(E99:E103,D99:D103),"")</f>
        <v/>
      </c>
      <c r="K99" s="11">
        <f>IFERROR(CORREL(E99:E103,D99:D103),"")</f>
        <v/>
      </c>
      <c r="L99" s="9">
        <f>IFERROR(ROUND(J99/E101*100,2),"")</f>
        <v/>
      </c>
    </row>
    <row r="100" ht="22" customHeight="1">
      <c r="A100" s="6" t="inlineStr">
        <is>
          <t>IMP-10</t>
        </is>
      </c>
      <c r="B100" s="6" t="inlineStr">
        <is>
          <t>INTERMEDIATE</t>
        </is>
      </c>
      <c r="C100" s="6" t="inlineStr">
        <is>
          <t>C2</t>
        </is>
      </c>
      <c r="D100" s="7" t="n"/>
      <c r="E100" s="7" t="n"/>
      <c r="F100" s="10">
        <f>IFERROR(I100*D100+J100,"")</f>
        <v/>
      </c>
      <c r="G100" s="10">
        <f>IFERROR(E100-F100,"")</f>
        <v/>
      </c>
      <c r="H100" s="9">
        <f>IFERROR(ROUND(G100/F100*100,2),"")</f>
        <v/>
      </c>
      <c r="I100" s="9">
        <f>IFERROR(SLOPE(E99:E103,D99:D103),"")</f>
        <v/>
      </c>
      <c r="J100" s="9">
        <f>IFERROR(INTERCEPT(E99:E103,D99:D103),"")</f>
        <v/>
      </c>
      <c r="K100" s="11">
        <f>IFERROR(CORREL(E99:E103,D99:D103),"")</f>
        <v/>
      </c>
      <c r="L100" s="9">
        <f>IFERROR(ROUND(J100/E101*100,2),"")</f>
        <v/>
      </c>
    </row>
    <row r="101" ht="22" customHeight="1">
      <c r="A101" s="6" t="inlineStr">
        <is>
          <t>IMP-10</t>
        </is>
      </c>
      <c r="B101" s="6" t="inlineStr">
        <is>
          <t>INTERMEDIATE</t>
        </is>
      </c>
      <c r="C101" s="6" t="inlineStr">
        <is>
          <t>C3</t>
        </is>
      </c>
      <c r="D101" s="7" t="n"/>
      <c r="E101" s="7" t="n"/>
      <c r="F101" s="10">
        <f>IFERROR(I101*D101+J101,"")</f>
        <v/>
      </c>
      <c r="G101" s="10">
        <f>IFERROR(E101-F101,"")</f>
        <v/>
      </c>
      <c r="H101" s="9">
        <f>IFERROR(ROUND(G101/F101*100,2),"")</f>
        <v/>
      </c>
      <c r="I101" s="9">
        <f>IFERROR(SLOPE(E99:E103,D99:D103),"")</f>
        <v/>
      </c>
      <c r="J101" s="9">
        <f>IFERROR(INTERCEPT(E99:E103,D99:D103),"")</f>
        <v/>
      </c>
      <c r="K101" s="11">
        <f>IFERROR(CORREL(E99:E103,D99:D103),"")</f>
        <v/>
      </c>
      <c r="L101" s="9">
        <f>IFERROR(ROUND(J101/E101*100,2),"")</f>
        <v/>
      </c>
    </row>
    <row r="102" ht="22" customHeight="1">
      <c r="A102" s="6" t="inlineStr">
        <is>
          <t>IMP-10</t>
        </is>
      </c>
      <c r="B102" s="6" t="inlineStr">
        <is>
          <t>INTERMEDIATE</t>
        </is>
      </c>
      <c r="C102" s="6" t="inlineStr">
        <is>
          <t>C4</t>
        </is>
      </c>
      <c r="D102" s="7" t="n"/>
      <c r="E102" s="7" t="n"/>
      <c r="F102" s="10">
        <f>IFERROR(I102*D102+J102,"")</f>
        <v/>
      </c>
      <c r="G102" s="10">
        <f>IFERROR(E102-F102,"")</f>
        <v/>
      </c>
      <c r="H102" s="9">
        <f>IFERROR(ROUND(G102/F102*100,2),"")</f>
        <v/>
      </c>
      <c r="I102" s="9">
        <f>IFERROR(SLOPE(E99:E103,D99:D103),"")</f>
        <v/>
      </c>
      <c r="J102" s="9">
        <f>IFERROR(INTERCEPT(E99:E103,D99:D103),"")</f>
        <v/>
      </c>
      <c r="K102" s="11">
        <f>IFERROR(CORREL(E99:E103,D99:D103),"")</f>
        <v/>
      </c>
      <c r="L102" s="9">
        <f>IFERROR(ROUND(J102/E101*100,2),"")</f>
        <v/>
      </c>
    </row>
    <row r="103" ht="22" customHeight="1">
      <c r="A103" s="6" t="inlineStr">
        <is>
          <t>IMP-10</t>
        </is>
      </c>
      <c r="B103" s="6" t="inlineStr">
        <is>
          <t>INTERMEDIATE</t>
        </is>
      </c>
      <c r="C103" s="6" t="inlineStr">
        <is>
          <t>C5</t>
        </is>
      </c>
      <c r="D103" s="7" t="n"/>
      <c r="E103" s="7" t="n"/>
      <c r="F103" s="10">
        <f>IFERROR(I103*D103+J103,"")</f>
        <v/>
      </c>
      <c r="G103" s="10">
        <f>IFERROR(E103-F103,"")</f>
        <v/>
      </c>
      <c r="H103" s="9">
        <f>IFERROR(ROUND(G103/F103*100,2),"")</f>
        <v/>
      </c>
      <c r="I103" s="9">
        <f>IFERROR(SLOPE(E99:E103,D99:D103),"")</f>
        <v/>
      </c>
      <c r="J103" s="9">
        <f>IFERROR(INTERCEPT(E99:E103,D99:D103),"")</f>
        <v/>
      </c>
      <c r="K103" s="11">
        <f>IFERROR(CORREL(E99:E103,D99:D103),"")</f>
        <v/>
      </c>
      <c r="L103" s="9">
        <f>IFERROR(ROUND(J103/E101*100,2),"")</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L1"/>
  </mergeCells>
  <conditionalFormatting sqref="A4:A103">
    <cfRule type="expression" priority="1" dxfId="0">
      <formula>AND(A4&lt;&gt;"",COUNTIF($A$4:$A$103,A4)&gt;20)</formula>
    </cfRule>
  </conditionalFormatting>
  <dataValidations count="1">
    <dataValidation sqref="D4 E4 D5 E5 D6 E6 D7 E7 D8 E8 D9 E9 D10 E10 D11 E11 D12 E12 D13 E13 D14 E14 D15 E15 D16 E16 D17 E17 D18 E18 D19 E19 D20 E20 D21 E21 D22 E22 D23 E23 D24 E24 D25 E25 D26 E26 D27 E27 D28 E28 D29 E29 D30 E30 D31 E31 D32 E32 D33 E33 D34 E34 D35 E35 D36 E36 D37 E37 D38 E38 D39 E39 D40 E40 D41 E41 D42 E42 D43 E43 D44 E44 D45 E45 D46 E46 D47 E47 D48 E48 D49 E49 D50 E50 D51 E51 D52 E52 D53 E53 D54 E54 D55 E55 D56 E56 D57 E57 D58 E58 D59 E59 D60 E60 D61 E61 D62 E62 D63 E63 D64 E64 D65 E65 D66 E66 D67 E67 D68 E68 D69 E69 D70 E70 D71 E71 D72 E72 D73 E73 D74 E74 D75 E75 D76 E76 D77 E77 D78 E78 D79 E79 D80 E80 D81 E81 D82 E82 D83 E83 D84 E84 D85 E85 D86 E86 D87 E87 D88 E88 D89 E89 D90 E90 D91 E91 D92 E92 D93 E93 D94 E94 D95 E95 D96 E96 D97 E97 D98 E98 D99 E99 D100 E100 D101 E101 D102 E102 D103 E10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3"/>
  <sheetViews>
    <sheetView workbookViewId="0">
      <selection activeCell="A1" sqref="A1"/>
    </sheetView>
  </sheetViews>
  <sheetFormatPr baseColWidth="8" defaultRowHeight="15"/>
  <cols>
    <col width="14" customWidth="1" min="1" max="1"/>
    <col width="10" customWidth="1" min="2" max="2"/>
    <col width="16" customWidth="1" min="3" max="3"/>
    <col width="15" customWidth="1" min="4" max="4"/>
    <col width="18" customWidth="1" min="5" max="5"/>
    <col width="20" customWidth="1" min="6" max="6"/>
    <col width="18" customWidth="1" min="7" max="7"/>
    <col width="23" customWidth="1" min="8" max="8"/>
    <col width="24" customWidth="1" min="9" max="9"/>
    <col width="21" customWidth="1" min="10" max="10"/>
    <col width="18" customWidth="1" min="11" max="11"/>
    <col width="21" customWidth="1" min="12" max="12"/>
    <col width="21" customWidth="1" min="13" max="13"/>
  </cols>
  <sheetData>
    <row r="1" ht="30" customHeight="1">
      <c r="A1" s="1" t="inlineStr">
        <is>
          <t>重复性结果</t>
        </is>
      </c>
    </row>
    <row r="2" ht="30" customHeight="1">
      <c r="A2" s="4" t="inlineStr">
        <is>
          <t>impurity_id</t>
        </is>
      </c>
      <c r="B2" s="4" t="inlineStr">
        <is>
          <t>sequence</t>
        </is>
      </c>
      <c r="C2" s="4" t="inlineStr">
        <is>
          <t>gross_weight</t>
        </is>
      </c>
      <c r="D2" s="4" t="inlineStr">
        <is>
          <t>tare_weight</t>
        </is>
      </c>
      <c r="E2" s="4" t="inlineStr">
        <is>
          <t>api_weight</t>
        </is>
      </c>
      <c r="F2" s="4" t="inlineStr">
        <is>
          <t>retention_time</t>
        </is>
      </c>
      <c r="G2" s="4" t="inlineStr">
        <is>
          <t>peak_area</t>
        </is>
      </c>
      <c r="H2" s="4" t="inlineStr">
        <is>
          <t>measured_concentration</t>
        </is>
      </c>
      <c r="I2" s="4" t="inlineStr">
        <is>
          <t>sample_content</t>
        </is>
      </c>
      <c r="J2" s="4" t="inlineStr">
        <is>
          <t>retention_time_rsd</t>
        </is>
      </c>
      <c r="K2" s="4" t="inlineStr">
        <is>
          <t>content_rsd</t>
        </is>
      </c>
      <c r="L2" s="4" t="inlineStr">
        <is>
          <t>content_ci_low</t>
        </is>
      </c>
      <c r="M2" s="4" t="inlineStr">
        <is>
          <t>content_ci_high</t>
        </is>
      </c>
    </row>
    <row r="3" ht="30" customHeight="1">
      <c r="A3" s="5" t="inlineStr">
        <is>
          <t>杂质编号</t>
        </is>
      </c>
      <c r="B3" s="5" t="inlineStr">
        <is>
          <t>No.</t>
        </is>
      </c>
      <c r="C3" s="5" t="inlineStr">
        <is>
          <t>毛重（mg）</t>
        </is>
      </c>
      <c r="D3" s="5" t="inlineStr">
        <is>
          <t>扣重（mg）</t>
        </is>
      </c>
      <c r="E3" s="5" t="inlineStr">
        <is>
          <t>API质量（mg）</t>
        </is>
      </c>
      <c r="F3" s="5" t="inlineStr">
        <is>
          <t>保留时间（min）</t>
        </is>
      </c>
      <c r="G3" s="5" t="inlineStr">
        <is>
          <t>峰面积</t>
        </is>
      </c>
      <c r="H3" s="5" t="inlineStr">
        <is>
          <t>测得浓度（ng/ml）</t>
        </is>
      </c>
      <c r="I3" s="5" t="inlineStr">
        <is>
          <t>相当于供试品中含量（ppm）</t>
        </is>
      </c>
      <c r="J3" s="5" t="inlineStr">
        <is>
          <t>保留时间RSD（%）</t>
        </is>
      </c>
      <c r="K3" s="5" t="inlineStr">
        <is>
          <t>含量RSD（%）</t>
        </is>
      </c>
      <c r="L3" s="5" t="inlineStr">
        <is>
          <t>含量95%置信下限</t>
        </is>
      </c>
      <c r="M3" s="5" t="inlineStr">
        <is>
          <t>含量95%置信上限</t>
        </is>
      </c>
    </row>
    <row r="4" ht="22" customHeight="1">
      <c r="A4" s="6" t="inlineStr">
        <is>
          <t>IMP-01</t>
        </is>
      </c>
      <c r="B4" s="6" t="n">
        <v>1</v>
      </c>
      <c r="C4" s="7" t="n"/>
      <c r="D4" s="7" t="n"/>
      <c r="E4" s="9">
        <f>IFERROR(C4-D4,"")</f>
        <v/>
      </c>
      <c r="F4" s="7" t="n"/>
      <c r="G4" s="7" t="n"/>
      <c r="H4" s="7" t="n"/>
      <c r="I4" s="9">
        <f>IFERROR(ROUND(H4*20/E4,2),"")</f>
        <v/>
      </c>
      <c r="J4" s="9">
        <f>IFERROR(ROUND(STDEV(F4:F9)/AVERAGE(F4:F9)*100,2),"")</f>
        <v/>
      </c>
      <c r="K4" s="9">
        <f>IFERROR(ROUND(STDEV(I4:I9)/AVERAGE(I4:I9)*100,2),"")</f>
        <v/>
      </c>
      <c r="L4" s="9">
        <f>IFERROR(AVERAGE(I4:I9)-TINV(0.05,COUNT(I4:I9)-1)*STDEV(I4:I9)/SQRT(COUNT(I4:I9)),"")</f>
        <v/>
      </c>
      <c r="M4" s="9">
        <f>IFERROR(AVERAGE(I4:I9)+TINV(0.05,COUNT(I4:I9)-1)*STDEV(I4:I9)/SQRT(COUNT(I4:I9)),"")</f>
        <v/>
      </c>
    </row>
    <row r="5" ht="22" customHeight="1">
      <c r="A5" s="6" t="inlineStr">
        <is>
          <t>IMP-01</t>
        </is>
      </c>
      <c r="B5" s="6" t="n">
        <v>2</v>
      </c>
      <c r="C5" s="7" t="n"/>
      <c r="D5" s="7" t="n"/>
      <c r="E5" s="9">
        <f>IFERROR(C5-D5,"")</f>
        <v/>
      </c>
      <c r="F5" s="7" t="n"/>
      <c r="G5" s="7" t="n"/>
      <c r="H5" s="7" t="n"/>
      <c r="I5" s="9">
        <f>IFERROR(ROUND(H5*20/E5,2),"")</f>
        <v/>
      </c>
      <c r="J5" s="9">
        <f>IFERROR(ROUND(STDEV(F4:F9)/AVERAGE(F4:F9)*100,2),"")</f>
        <v/>
      </c>
      <c r="K5" s="9">
        <f>IFERROR(ROUND(STDEV(I4:I9)/AVERAGE(I4:I9)*100,2),"")</f>
        <v/>
      </c>
      <c r="L5" s="9">
        <f>IFERROR(AVERAGE(I4:I9)-TINV(0.05,COUNT(I4:I9)-1)*STDEV(I4:I9)/SQRT(COUNT(I4:I9)),"")</f>
        <v/>
      </c>
      <c r="M5" s="9">
        <f>IFERROR(AVERAGE(I4:I9)+TINV(0.05,COUNT(I4:I9)-1)*STDEV(I4:I9)/SQRT(COUNT(I4:I9)),"")</f>
        <v/>
      </c>
    </row>
    <row r="6" ht="22" customHeight="1">
      <c r="A6" s="6" t="inlineStr">
        <is>
          <t>IMP-01</t>
        </is>
      </c>
      <c r="B6" s="6" t="n">
        <v>3</v>
      </c>
      <c r="C6" s="7" t="n"/>
      <c r="D6" s="7" t="n"/>
      <c r="E6" s="9">
        <f>IFERROR(C6-D6,"")</f>
        <v/>
      </c>
      <c r="F6" s="7" t="n"/>
      <c r="G6" s="7" t="n"/>
      <c r="H6" s="7" t="n"/>
      <c r="I6" s="9">
        <f>IFERROR(ROUND(H6*20/E6,2),"")</f>
        <v/>
      </c>
      <c r="J6" s="9">
        <f>IFERROR(ROUND(STDEV(F4:F9)/AVERAGE(F4:F9)*100,2),"")</f>
        <v/>
      </c>
      <c r="K6" s="9">
        <f>IFERROR(ROUND(STDEV(I4:I9)/AVERAGE(I4:I9)*100,2),"")</f>
        <v/>
      </c>
      <c r="L6" s="9">
        <f>IFERROR(AVERAGE(I4:I9)-TINV(0.05,COUNT(I4:I9)-1)*STDEV(I4:I9)/SQRT(COUNT(I4:I9)),"")</f>
        <v/>
      </c>
      <c r="M6" s="9">
        <f>IFERROR(AVERAGE(I4:I9)+TINV(0.05,COUNT(I4:I9)-1)*STDEV(I4:I9)/SQRT(COUNT(I4:I9)),"")</f>
        <v/>
      </c>
    </row>
    <row r="7" ht="22" customHeight="1">
      <c r="A7" s="6" t="inlineStr">
        <is>
          <t>IMP-01</t>
        </is>
      </c>
      <c r="B7" s="6" t="n">
        <v>4</v>
      </c>
      <c r="C7" s="7" t="n"/>
      <c r="D7" s="7" t="n"/>
      <c r="E7" s="9">
        <f>IFERROR(C7-D7,"")</f>
        <v/>
      </c>
      <c r="F7" s="7" t="n"/>
      <c r="G7" s="7" t="n"/>
      <c r="H7" s="7" t="n"/>
      <c r="I7" s="9">
        <f>IFERROR(ROUND(H7*20/E7,2),"")</f>
        <v/>
      </c>
      <c r="J7" s="9">
        <f>IFERROR(ROUND(STDEV(F4:F9)/AVERAGE(F4:F9)*100,2),"")</f>
        <v/>
      </c>
      <c r="K7" s="9">
        <f>IFERROR(ROUND(STDEV(I4:I9)/AVERAGE(I4:I9)*100,2),"")</f>
        <v/>
      </c>
      <c r="L7" s="9">
        <f>IFERROR(AVERAGE(I4:I9)-TINV(0.05,COUNT(I4:I9)-1)*STDEV(I4:I9)/SQRT(COUNT(I4:I9)),"")</f>
        <v/>
      </c>
      <c r="M7" s="9">
        <f>IFERROR(AVERAGE(I4:I9)+TINV(0.05,COUNT(I4:I9)-1)*STDEV(I4:I9)/SQRT(COUNT(I4:I9)),"")</f>
        <v/>
      </c>
    </row>
    <row r="8" ht="22" customHeight="1">
      <c r="A8" s="6" t="inlineStr">
        <is>
          <t>IMP-01</t>
        </is>
      </c>
      <c r="B8" s="6" t="n">
        <v>5</v>
      </c>
      <c r="C8" s="7" t="n"/>
      <c r="D8" s="7" t="n"/>
      <c r="E8" s="9">
        <f>IFERROR(C8-D8,"")</f>
        <v/>
      </c>
      <c r="F8" s="7" t="n"/>
      <c r="G8" s="7" t="n"/>
      <c r="H8" s="7" t="n"/>
      <c r="I8" s="9">
        <f>IFERROR(ROUND(H8*20/E8,2),"")</f>
        <v/>
      </c>
      <c r="J8" s="9">
        <f>IFERROR(ROUND(STDEV(F4:F9)/AVERAGE(F4:F9)*100,2),"")</f>
        <v/>
      </c>
      <c r="K8" s="9">
        <f>IFERROR(ROUND(STDEV(I4:I9)/AVERAGE(I4:I9)*100,2),"")</f>
        <v/>
      </c>
      <c r="L8" s="9">
        <f>IFERROR(AVERAGE(I4:I9)-TINV(0.05,COUNT(I4:I9)-1)*STDEV(I4:I9)/SQRT(COUNT(I4:I9)),"")</f>
        <v/>
      </c>
      <c r="M8" s="9">
        <f>IFERROR(AVERAGE(I4:I9)+TINV(0.05,COUNT(I4:I9)-1)*STDEV(I4:I9)/SQRT(COUNT(I4:I9)),"")</f>
        <v/>
      </c>
    </row>
    <row r="9" ht="22" customHeight="1">
      <c r="A9" s="6" t="inlineStr">
        <is>
          <t>IMP-01</t>
        </is>
      </c>
      <c r="B9" s="6" t="n">
        <v>6</v>
      </c>
      <c r="C9" s="7" t="n"/>
      <c r="D9" s="7" t="n"/>
      <c r="E9" s="9">
        <f>IFERROR(C9-D9,"")</f>
        <v/>
      </c>
      <c r="F9" s="7" t="n"/>
      <c r="G9" s="7" t="n"/>
      <c r="H9" s="7" t="n"/>
      <c r="I9" s="9">
        <f>IFERROR(ROUND(H9*20/E9,2),"")</f>
        <v/>
      </c>
      <c r="J9" s="9">
        <f>IFERROR(ROUND(STDEV(F4:F9)/AVERAGE(F4:F9)*100,2),"")</f>
        <v/>
      </c>
      <c r="K9" s="9">
        <f>IFERROR(ROUND(STDEV(I4:I9)/AVERAGE(I4:I9)*100,2),"")</f>
        <v/>
      </c>
      <c r="L9" s="9">
        <f>IFERROR(AVERAGE(I4:I9)-TINV(0.05,COUNT(I4:I9)-1)*STDEV(I4:I9)/SQRT(COUNT(I4:I9)),"")</f>
        <v/>
      </c>
      <c r="M9" s="9">
        <f>IFERROR(AVERAGE(I4:I9)+TINV(0.05,COUNT(I4:I9)-1)*STDEV(I4:I9)/SQRT(COUNT(I4:I9)),"")</f>
        <v/>
      </c>
    </row>
    <row r="10" ht="22" customHeight="1">
      <c r="A10" s="6" t="inlineStr">
        <is>
          <t>IMP-02</t>
        </is>
      </c>
      <c r="B10" s="6" t="n">
        <v>1</v>
      </c>
      <c r="C10" s="7" t="n"/>
      <c r="D10" s="7" t="n"/>
      <c r="E10" s="9">
        <f>IFERROR(C10-D10,"")</f>
        <v/>
      </c>
      <c r="F10" s="7" t="n"/>
      <c r="G10" s="7" t="n"/>
      <c r="H10" s="7" t="n"/>
      <c r="I10" s="9">
        <f>IFERROR(ROUND(H10*20/E10,2),"")</f>
        <v/>
      </c>
      <c r="J10" s="9">
        <f>IFERROR(ROUND(STDEV(F10:F15)/AVERAGE(F10:F15)*100,2),"")</f>
        <v/>
      </c>
      <c r="K10" s="9">
        <f>IFERROR(ROUND(STDEV(I10:I15)/AVERAGE(I10:I15)*100,2),"")</f>
        <v/>
      </c>
      <c r="L10" s="9">
        <f>IFERROR(AVERAGE(I10:I15)-TINV(0.05,COUNT(I10:I15)-1)*STDEV(I10:I15)/SQRT(COUNT(I10:I15)),"")</f>
        <v/>
      </c>
      <c r="M10" s="9">
        <f>IFERROR(AVERAGE(I10:I15)+TINV(0.05,COUNT(I10:I15)-1)*STDEV(I10:I15)/SQRT(COUNT(I10:I15)),"")</f>
        <v/>
      </c>
    </row>
    <row r="11" ht="22" customHeight="1">
      <c r="A11" s="6" t="inlineStr">
        <is>
          <t>IMP-02</t>
        </is>
      </c>
      <c r="B11" s="6" t="n">
        <v>2</v>
      </c>
      <c r="C11" s="7" t="n"/>
      <c r="D11" s="7" t="n"/>
      <c r="E11" s="9">
        <f>IFERROR(C11-D11,"")</f>
        <v/>
      </c>
      <c r="F11" s="7" t="n"/>
      <c r="G11" s="7" t="n"/>
      <c r="H11" s="7" t="n"/>
      <c r="I11" s="9">
        <f>IFERROR(ROUND(H11*20/E11,2),"")</f>
        <v/>
      </c>
      <c r="J11" s="9">
        <f>IFERROR(ROUND(STDEV(F10:F15)/AVERAGE(F10:F15)*100,2),"")</f>
        <v/>
      </c>
      <c r="K11" s="9">
        <f>IFERROR(ROUND(STDEV(I10:I15)/AVERAGE(I10:I15)*100,2),"")</f>
        <v/>
      </c>
      <c r="L11" s="9">
        <f>IFERROR(AVERAGE(I10:I15)-TINV(0.05,COUNT(I10:I15)-1)*STDEV(I10:I15)/SQRT(COUNT(I10:I15)),"")</f>
        <v/>
      </c>
      <c r="M11" s="9">
        <f>IFERROR(AVERAGE(I10:I15)+TINV(0.05,COUNT(I10:I15)-1)*STDEV(I10:I15)/SQRT(COUNT(I10:I15)),"")</f>
        <v/>
      </c>
    </row>
    <row r="12" ht="22" customHeight="1">
      <c r="A12" s="6" t="inlineStr">
        <is>
          <t>IMP-02</t>
        </is>
      </c>
      <c r="B12" s="6" t="n">
        <v>3</v>
      </c>
      <c r="C12" s="7" t="n"/>
      <c r="D12" s="7" t="n"/>
      <c r="E12" s="9">
        <f>IFERROR(C12-D12,"")</f>
        <v/>
      </c>
      <c r="F12" s="7" t="n"/>
      <c r="G12" s="7" t="n"/>
      <c r="H12" s="7" t="n"/>
      <c r="I12" s="9">
        <f>IFERROR(ROUND(H12*20/E12,2),"")</f>
        <v/>
      </c>
      <c r="J12" s="9">
        <f>IFERROR(ROUND(STDEV(F10:F15)/AVERAGE(F10:F15)*100,2),"")</f>
        <v/>
      </c>
      <c r="K12" s="9">
        <f>IFERROR(ROUND(STDEV(I10:I15)/AVERAGE(I10:I15)*100,2),"")</f>
        <v/>
      </c>
      <c r="L12" s="9">
        <f>IFERROR(AVERAGE(I10:I15)-TINV(0.05,COUNT(I10:I15)-1)*STDEV(I10:I15)/SQRT(COUNT(I10:I15)),"")</f>
        <v/>
      </c>
      <c r="M12" s="9">
        <f>IFERROR(AVERAGE(I10:I15)+TINV(0.05,COUNT(I10:I15)-1)*STDEV(I10:I15)/SQRT(COUNT(I10:I15)),"")</f>
        <v/>
      </c>
    </row>
    <row r="13" ht="22" customHeight="1">
      <c r="A13" s="6" t="inlineStr">
        <is>
          <t>IMP-02</t>
        </is>
      </c>
      <c r="B13" s="6" t="n">
        <v>4</v>
      </c>
      <c r="C13" s="7" t="n"/>
      <c r="D13" s="7" t="n"/>
      <c r="E13" s="9">
        <f>IFERROR(C13-D13,"")</f>
        <v/>
      </c>
      <c r="F13" s="7" t="n"/>
      <c r="G13" s="7" t="n"/>
      <c r="H13" s="7" t="n"/>
      <c r="I13" s="9">
        <f>IFERROR(ROUND(H13*20/E13,2),"")</f>
        <v/>
      </c>
      <c r="J13" s="9">
        <f>IFERROR(ROUND(STDEV(F10:F15)/AVERAGE(F10:F15)*100,2),"")</f>
        <v/>
      </c>
      <c r="K13" s="9">
        <f>IFERROR(ROUND(STDEV(I10:I15)/AVERAGE(I10:I15)*100,2),"")</f>
        <v/>
      </c>
      <c r="L13" s="9">
        <f>IFERROR(AVERAGE(I10:I15)-TINV(0.05,COUNT(I10:I15)-1)*STDEV(I10:I15)/SQRT(COUNT(I10:I15)),"")</f>
        <v/>
      </c>
      <c r="M13" s="9">
        <f>IFERROR(AVERAGE(I10:I15)+TINV(0.05,COUNT(I10:I15)-1)*STDEV(I10:I15)/SQRT(COUNT(I10:I15)),"")</f>
        <v/>
      </c>
    </row>
    <row r="14" ht="22" customHeight="1">
      <c r="A14" s="6" t="inlineStr">
        <is>
          <t>IMP-02</t>
        </is>
      </c>
      <c r="B14" s="6" t="n">
        <v>5</v>
      </c>
      <c r="C14" s="7" t="n"/>
      <c r="D14" s="7" t="n"/>
      <c r="E14" s="9">
        <f>IFERROR(C14-D14,"")</f>
        <v/>
      </c>
      <c r="F14" s="7" t="n"/>
      <c r="G14" s="7" t="n"/>
      <c r="H14" s="7" t="n"/>
      <c r="I14" s="9">
        <f>IFERROR(ROUND(H14*20/E14,2),"")</f>
        <v/>
      </c>
      <c r="J14" s="9">
        <f>IFERROR(ROUND(STDEV(F10:F15)/AVERAGE(F10:F15)*100,2),"")</f>
        <v/>
      </c>
      <c r="K14" s="9">
        <f>IFERROR(ROUND(STDEV(I10:I15)/AVERAGE(I10:I15)*100,2),"")</f>
        <v/>
      </c>
      <c r="L14" s="9">
        <f>IFERROR(AVERAGE(I10:I15)-TINV(0.05,COUNT(I10:I15)-1)*STDEV(I10:I15)/SQRT(COUNT(I10:I15)),"")</f>
        <v/>
      </c>
      <c r="M14" s="9">
        <f>IFERROR(AVERAGE(I10:I15)+TINV(0.05,COUNT(I10:I15)-1)*STDEV(I10:I15)/SQRT(COUNT(I10:I15)),"")</f>
        <v/>
      </c>
    </row>
    <row r="15" ht="22" customHeight="1">
      <c r="A15" s="6" t="inlineStr">
        <is>
          <t>IMP-02</t>
        </is>
      </c>
      <c r="B15" s="6" t="n">
        <v>6</v>
      </c>
      <c r="C15" s="7" t="n"/>
      <c r="D15" s="7" t="n"/>
      <c r="E15" s="9">
        <f>IFERROR(C15-D15,"")</f>
        <v/>
      </c>
      <c r="F15" s="7" t="n"/>
      <c r="G15" s="7" t="n"/>
      <c r="H15" s="7" t="n"/>
      <c r="I15" s="9">
        <f>IFERROR(ROUND(H15*20/E15,2),"")</f>
        <v/>
      </c>
      <c r="J15" s="9">
        <f>IFERROR(ROUND(STDEV(F10:F15)/AVERAGE(F10:F15)*100,2),"")</f>
        <v/>
      </c>
      <c r="K15" s="9">
        <f>IFERROR(ROUND(STDEV(I10:I15)/AVERAGE(I10:I15)*100,2),"")</f>
        <v/>
      </c>
      <c r="L15" s="9">
        <f>IFERROR(AVERAGE(I10:I15)-TINV(0.05,COUNT(I10:I15)-1)*STDEV(I10:I15)/SQRT(COUNT(I10:I15)),"")</f>
        <v/>
      </c>
      <c r="M15" s="9">
        <f>IFERROR(AVERAGE(I10:I15)+TINV(0.05,COUNT(I10:I15)-1)*STDEV(I10:I15)/SQRT(COUNT(I10:I15)),"")</f>
        <v/>
      </c>
    </row>
    <row r="16" ht="22" customHeight="1">
      <c r="A16" s="6" t="inlineStr">
        <is>
          <t>IMP-03</t>
        </is>
      </c>
      <c r="B16" s="6" t="n">
        <v>1</v>
      </c>
      <c r="C16" s="7" t="n"/>
      <c r="D16" s="7" t="n"/>
      <c r="E16" s="9">
        <f>IFERROR(C16-D16,"")</f>
        <v/>
      </c>
      <c r="F16" s="7" t="n"/>
      <c r="G16" s="7" t="n"/>
      <c r="H16" s="7" t="n"/>
      <c r="I16" s="9">
        <f>IFERROR(ROUND(H16*20/E16,2),"")</f>
        <v/>
      </c>
      <c r="J16" s="9">
        <f>IFERROR(ROUND(STDEV(F16:F21)/AVERAGE(F16:F21)*100,2),"")</f>
        <v/>
      </c>
      <c r="K16" s="9">
        <f>IFERROR(ROUND(STDEV(I16:I21)/AVERAGE(I16:I21)*100,2),"")</f>
        <v/>
      </c>
      <c r="L16" s="9">
        <f>IFERROR(AVERAGE(I16:I21)-TINV(0.05,COUNT(I16:I21)-1)*STDEV(I16:I21)/SQRT(COUNT(I16:I21)),"")</f>
        <v/>
      </c>
      <c r="M16" s="9">
        <f>IFERROR(AVERAGE(I16:I21)+TINV(0.05,COUNT(I16:I21)-1)*STDEV(I16:I21)/SQRT(COUNT(I16:I21)),"")</f>
        <v/>
      </c>
    </row>
    <row r="17" ht="22" customHeight="1">
      <c r="A17" s="6" t="inlineStr">
        <is>
          <t>IMP-03</t>
        </is>
      </c>
      <c r="B17" s="6" t="n">
        <v>2</v>
      </c>
      <c r="C17" s="7" t="n"/>
      <c r="D17" s="7" t="n"/>
      <c r="E17" s="9">
        <f>IFERROR(C17-D17,"")</f>
        <v/>
      </c>
      <c r="F17" s="7" t="n"/>
      <c r="G17" s="7" t="n"/>
      <c r="H17" s="7" t="n"/>
      <c r="I17" s="9">
        <f>IFERROR(ROUND(H17*20/E17,2),"")</f>
        <v/>
      </c>
      <c r="J17" s="9">
        <f>IFERROR(ROUND(STDEV(F16:F21)/AVERAGE(F16:F21)*100,2),"")</f>
        <v/>
      </c>
      <c r="K17" s="9">
        <f>IFERROR(ROUND(STDEV(I16:I21)/AVERAGE(I16:I21)*100,2),"")</f>
        <v/>
      </c>
      <c r="L17" s="9">
        <f>IFERROR(AVERAGE(I16:I21)-TINV(0.05,COUNT(I16:I21)-1)*STDEV(I16:I21)/SQRT(COUNT(I16:I21)),"")</f>
        <v/>
      </c>
      <c r="M17" s="9">
        <f>IFERROR(AVERAGE(I16:I21)+TINV(0.05,COUNT(I16:I21)-1)*STDEV(I16:I21)/SQRT(COUNT(I16:I21)),"")</f>
        <v/>
      </c>
    </row>
    <row r="18" ht="22" customHeight="1">
      <c r="A18" s="6" t="inlineStr">
        <is>
          <t>IMP-03</t>
        </is>
      </c>
      <c r="B18" s="6" t="n">
        <v>3</v>
      </c>
      <c r="C18" s="7" t="n"/>
      <c r="D18" s="7" t="n"/>
      <c r="E18" s="9">
        <f>IFERROR(C18-D18,"")</f>
        <v/>
      </c>
      <c r="F18" s="7" t="n"/>
      <c r="G18" s="7" t="n"/>
      <c r="H18" s="7" t="n"/>
      <c r="I18" s="9">
        <f>IFERROR(ROUND(H18*20/E18,2),"")</f>
        <v/>
      </c>
      <c r="J18" s="9">
        <f>IFERROR(ROUND(STDEV(F16:F21)/AVERAGE(F16:F21)*100,2),"")</f>
        <v/>
      </c>
      <c r="K18" s="9">
        <f>IFERROR(ROUND(STDEV(I16:I21)/AVERAGE(I16:I21)*100,2),"")</f>
        <v/>
      </c>
      <c r="L18" s="9">
        <f>IFERROR(AVERAGE(I16:I21)-TINV(0.05,COUNT(I16:I21)-1)*STDEV(I16:I21)/SQRT(COUNT(I16:I21)),"")</f>
        <v/>
      </c>
      <c r="M18" s="9">
        <f>IFERROR(AVERAGE(I16:I21)+TINV(0.05,COUNT(I16:I21)-1)*STDEV(I16:I21)/SQRT(COUNT(I16:I21)),"")</f>
        <v/>
      </c>
    </row>
    <row r="19" ht="22" customHeight="1">
      <c r="A19" s="6" t="inlineStr">
        <is>
          <t>IMP-03</t>
        </is>
      </c>
      <c r="B19" s="6" t="n">
        <v>4</v>
      </c>
      <c r="C19" s="7" t="n"/>
      <c r="D19" s="7" t="n"/>
      <c r="E19" s="9">
        <f>IFERROR(C19-D19,"")</f>
        <v/>
      </c>
      <c r="F19" s="7" t="n"/>
      <c r="G19" s="7" t="n"/>
      <c r="H19" s="7" t="n"/>
      <c r="I19" s="9">
        <f>IFERROR(ROUND(H19*20/E19,2),"")</f>
        <v/>
      </c>
      <c r="J19" s="9">
        <f>IFERROR(ROUND(STDEV(F16:F21)/AVERAGE(F16:F21)*100,2),"")</f>
        <v/>
      </c>
      <c r="K19" s="9">
        <f>IFERROR(ROUND(STDEV(I16:I21)/AVERAGE(I16:I21)*100,2),"")</f>
        <v/>
      </c>
      <c r="L19" s="9">
        <f>IFERROR(AVERAGE(I16:I21)-TINV(0.05,COUNT(I16:I21)-1)*STDEV(I16:I21)/SQRT(COUNT(I16:I21)),"")</f>
        <v/>
      </c>
      <c r="M19" s="9">
        <f>IFERROR(AVERAGE(I16:I21)+TINV(0.05,COUNT(I16:I21)-1)*STDEV(I16:I21)/SQRT(COUNT(I16:I21)),"")</f>
        <v/>
      </c>
    </row>
    <row r="20" ht="22" customHeight="1">
      <c r="A20" s="6" t="inlineStr">
        <is>
          <t>IMP-03</t>
        </is>
      </c>
      <c r="B20" s="6" t="n">
        <v>5</v>
      </c>
      <c r="C20" s="7" t="n"/>
      <c r="D20" s="7" t="n"/>
      <c r="E20" s="9">
        <f>IFERROR(C20-D20,"")</f>
        <v/>
      </c>
      <c r="F20" s="7" t="n"/>
      <c r="G20" s="7" t="n"/>
      <c r="H20" s="7" t="n"/>
      <c r="I20" s="9">
        <f>IFERROR(ROUND(H20*20/E20,2),"")</f>
        <v/>
      </c>
      <c r="J20" s="9">
        <f>IFERROR(ROUND(STDEV(F16:F21)/AVERAGE(F16:F21)*100,2),"")</f>
        <v/>
      </c>
      <c r="K20" s="9">
        <f>IFERROR(ROUND(STDEV(I16:I21)/AVERAGE(I16:I21)*100,2),"")</f>
        <v/>
      </c>
      <c r="L20" s="9">
        <f>IFERROR(AVERAGE(I16:I21)-TINV(0.05,COUNT(I16:I21)-1)*STDEV(I16:I21)/SQRT(COUNT(I16:I21)),"")</f>
        <v/>
      </c>
      <c r="M20" s="9">
        <f>IFERROR(AVERAGE(I16:I21)+TINV(0.05,COUNT(I16:I21)-1)*STDEV(I16:I21)/SQRT(COUNT(I16:I21)),"")</f>
        <v/>
      </c>
    </row>
    <row r="21" ht="22" customHeight="1">
      <c r="A21" s="6" t="inlineStr">
        <is>
          <t>IMP-03</t>
        </is>
      </c>
      <c r="B21" s="6" t="n">
        <v>6</v>
      </c>
      <c r="C21" s="7" t="n"/>
      <c r="D21" s="7" t="n"/>
      <c r="E21" s="9">
        <f>IFERROR(C21-D21,"")</f>
        <v/>
      </c>
      <c r="F21" s="7" t="n"/>
      <c r="G21" s="7" t="n"/>
      <c r="H21" s="7" t="n"/>
      <c r="I21" s="9">
        <f>IFERROR(ROUND(H21*20/E21,2),"")</f>
        <v/>
      </c>
      <c r="J21" s="9">
        <f>IFERROR(ROUND(STDEV(F16:F21)/AVERAGE(F16:F21)*100,2),"")</f>
        <v/>
      </c>
      <c r="K21" s="9">
        <f>IFERROR(ROUND(STDEV(I16:I21)/AVERAGE(I16:I21)*100,2),"")</f>
        <v/>
      </c>
      <c r="L21" s="9">
        <f>IFERROR(AVERAGE(I16:I21)-TINV(0.05,COUNT(I16:I21)-1)*STDEV(I16:I21)/SQRT(COUNT(I16:I21)),"")</f>
        <v/>
      </c>
      <c r="M21" s="9">
        <f>IFERROR(AVERAGE(I16:I21)+TINV(0.05,COUNT(I16:I21)-1)*STDEV(I16:I21)/SQRT(COUNT(I16:I21)),"")</f>
        <v/>
      </c>
    </row>
    <row r="22" ht="22" customHeight="1">
      <c r="A22" s="6" t="inlineStr">
        <is>
          <t>IMP-04</t>
        </is>
      </c>
      <c r="B22" s="6" t="n">
        <v>1</v>
      </c>
      <c r="C22" s="7" t="n"/>
      <c r="D22" s="7" t="n"/>
      <c r="E22" s="9">
        <f>IFERROR(C22-D22,"")</f>
        <v/>
      </c>
      <c r="F22" s="7" t="n"/>
      <c r="G22" s="7" t="n"/>
      <c r="H22" s="7" t="n"/>
      <c r="I22" s="9">
        <f>IFERROR(ROUND(H22*20/E22,2),"")</f>
        <v/>
      </c>
      <c r="J22" s="9">
        <f>IFERROR(ROUND(STDEV(F22:F27)/AVERAGE(F22:F27)*100,2),"")</f>
        <v/>
      </c>
      <c r="K22" s="9">
        <f>IFERROR(ROUND(STDEV(I22:I27)/AVERAGE(I22:I27)*100,2),"")</f>
        <v/>
      </c>
      <c r="L22" s="9">
        <f>IFERROR(AVERAGE(I22:I27)-TINV(0.05,COUNT(I22:I27)-1)*STDEV(I22:I27)/SQRT(COUNT(I22:I27)),"")</f>
        <v/>
      </c>
      <c r="M22" s="9">
        <f>IFERROR(AVERAGE(I22:I27)+TINV(0.05,COUNT(I22:I27)-1)*STDEV(I22:I27)/SQRT(COUNT(I22:I27)),"")</f>
        <v/>
      </c>
    </row>
    <row r="23" ht="22" customHeight="1">
      <c r="A23" s="6" t="inlineStr">
        <is>
          <t>IMP-04</t>
        </is>
      </c>
      <c r="B23" s="6" t="n">
        <v>2</v>
      </c>
      <c r="C23" s="7" t="n"/>
      <c r="D23" s="7" t="n"/>
      <c r="E23" s="9">
        <f>IFERROR(C23-D23,"")</f>
        <v/>
      </c>
      <c r="F23" s="7" t="n"/>
      <c r="G23" s="7" t="n"/>
      <c r="H23" s="7" t="n"/>
      <c r="I23" s="9">
        <f>IFERROR(ROUND(H23*20/E23,2),"")</f>
        <v/>
      </c>
      <c r="J23" s="9">
        <f>IFERROR(ROUND(STDEV(F22:F27)/AVERAGE(F22:F27)*100,2),"")</f>
        <v/>
      </c>
      <c r="K23" s="9">
        <f>IFERROR(ROUND(STDEV(I22:I27)/AVERAGE(I22:I27)*100,2),"")</f>
        <v/>
      </c>
      <c r="L23" s="9">
        <f>IFERROR(AVERAGE(I22:I27)-TINV(0.05,COUNT(I22:I27)-1)*STDEV(I22:I27)/SQRT(COUNT(I22:I27)),"")</f>
        <v/>
      </c>
      <c r="M23" s="9">
        <f>IFERROR(AVERAGE(I22:I27)+TINV(0.05,COUNT(I22:I27)-1)*STDEV(I22:I27)/SQRT(COUNT(I22:I27)),"")</f>
        <v/>
      </c>
    </row>
    <row r="24" ht="22" customHeight="1">
      <c r="A24" s="6" t="inlineStr">
        <is>
          <t>IMP-04</t>
        </is>
      </c>
      <c r="B24" s="6" t="n">
        <v>3</v>
      </c>
      <c r="C24" s="7" t="n"/>
      <c r="D24" s="7" t="n"/>
      <c r="E24" s="9">
        <f>IFERROR(C24-D24,"")</f>
        <v/>
      </c>
      <c r="F24" s="7" t="n"/>
      <c r="G24" s="7" t="n"/>
      <c r="H24" s="7" t="n"/>
      <c r="I24" s="9">
        <f>IFERROR(ROUND(H24*20/E24,2),"")</f>
        <v/>
      </c>
      <c r="J24" s="9">
        <f>IFERROR(ROUND(STDEV(F22:F27)/AVERAGE(F22:F27)*100,2),"")</f>
        <v/>
      </c>
      <c r="K24" s="9">
        <f>IFERROR(ROUND(STDEV(I22:I27)/AVERAGE(I22:I27)*100,2),"")</f>
        <v/>
      </c>
      <c r="L24" s="9">
        <f>IFERROR(AVERAGE(I22:I27)-TINV(0.05,COUNT(I22:I27)-1)*STDEV(I22:I27)/SQRT(COUNT(I22:I27)),"")</f>
        <v/>
      </c>
      <c r="M24" s="9">
        <f>IFERROR(AVERAGE(I22:I27)+TINV(0.05,COUNT(I22:I27)-1)*STDEV(I22:I27)/SQRT(COUNT(I22:I27)),"")</f>
        <v/>
      </c>
    </row>
    <row r="25" ht="22" customHeight="1">
      <c r="A25" s="6" t="inlineStr">
        <is>
          <t>IMP-04</t>
        </is>
      </c>
      <c r="B25" s="6" t="n">
        <v>4</v>
      </c>
      <c r="C25" s="7" t="n"/>
      <c r="D25" s="7" t="n"/>
      <c r="E25" s="9">
        <f>IFERROR(C25-D25,"")</f>
        <v/>
      </c>
      <c r="F25" s="7" t="n"/>
      <c r="G25" s="7" t="n"/>
      <c r="H25" s="7" t="n"/>
      <c r="I25" s="9">
        <f>IFERROR(ROUND(H25*20/E25,2),"")</f>
        <v/>
      </c>
      <c r="J25" s="9">
        <f>IFERROR(ROUND(STDEV(F22:F27)/AVERAGE(F22:F27)*100,2),"")</f>
        <v/>
      </c>
      <c r="K25" s="9">
        <f>IFERROR(ROUND(STDEV(I22:I27)/AVERAGE(I22:I27)*100,2),"")</f>
        <v/>
      </c>
      <c r="L25" s="9">
        <f>IFERROR(AVERAGE(I22:I27)-TINV(0.05,COUNT(I22:I27)-1)*STDEV(I22:I27)/SQRT(COUNT(I22:I27)),"")</f>
        <v/>
      </c>
      <c r="M25" s="9">
        <f>IFERROR(AVERAGE(I22:I27)+TINV(0.05,COUNT(I22:I27)-1)*STDEV(I22:I27)/SQRT(COUNT(I22:I27)),"")</f>
        <v/>
      </c>
    </row>
    <row r="26" ht="22" customHeight="1">
      <c r="A26" s="6" t="inlineStr">
        <is>
          <t>IMP-04</t>
        </is>
      </c>
      <c r="B26" s="6" t="n">
        <v>5</v>
      </c>
      <c r="C26" s="7" t="n"/>
      <c r="D26" s="7" t="n"/>
      <c r="E26" s="9">
        <f>IFERROR(C26-D26,"")</f>
        <v/>
      </c>
      <c r="F26" s="7" t="n"/>
      <c r="G26" s="7" t="n"/>
      <c r="H26" s="7" t="n"/>
      <c r="I26" s="9">
        <f>IFERROR(ROUND(H26*20/E26,2),"")</f>
        <v/>
      </c>
      <c r="J26" s="9">
        <f>IFERROR(ROUND(STDEV(F22:F27)/AVERAGE(F22:F27)*100,2),"")</f>
        <v/>
      </c>
      <c r="K26" s="9">
        <f>IFERROR(ROUND(STDEV(I22:I27)/AVERAGE(I22:I27)*100,2),"")</f>
        <v/>
      </c>
      <c r="L26" s="9">
        <f>IFERROR(AVERAGE(I22:I27)-TINV(0.05,COUNT(I22:I27)-1)*STDEV(I22:I27)/SQRT(COUNT(I22:I27)),"")</f>
        <v/>
      </c>
      <c r="M26" s="9">
        <f>IFERROR(AVERAGE(I22:I27)+TINV(0.05,COUNT(I22:I27)-1)*STDEV(I22:I27)/SQRT(COUNT(I22:I27)),"")</f>
        <v/>
      </c>
    </row>
    <row r="27" ht="22" customHeight="1">
      <c r="A27" s="6" t="inlineStr">
        <is>
          <t>IMP-04</t>
        </is>
      </c>
      <c r="B27" s="6" t="n">
        <v>6</v>
      </c>
      <c r="C27" s="7" t="n"/>
      <c r="D27" s="7" t="n"/>
      <c r="E27" s="9">
        <f>IFERROR(C27-D27,"")</f>
        <v/>
      </c>
      <c r="F27" s="7" t="n"/>
      <c r="G27" s="7" t="n"/>
      <c r="H27" s="7" t="n"/>
      <c r="I27" s="9">
        <f>IFERROR(ROUND(H27*20/E27,2),"")</f>
        <v/>
      </c>
      <c r="J27" s="9">
        <f>IFERROR(ROUND(STDEV(F22:F27)/AVERAGE(F22:F27)*100,2),"")</f>
        <v/>
      </c>
      <c r="K27" s="9">
        <f>IFERROR(ROUND(STDEV(I22:I27)/AVERAGE(I22:I27)*100,2),"")</f>
        <v/>
      </c>
      <c r="L27" s="9">
        <f>IFERROR(AVERAGE(I22:I27)-TINV(0.05,COUNT(I22:I27)-1)*STDEV(I22:I27)/SQRT(COUNT(I22:I27)),"")</f>
        <v/>
      </c>
      <c r="M27" s="9">
        <f>IFERROR(AVERAGE(I22:I27)+TINV(0.05,COUNT(I22:I27)-1)*STDEV(I22:I27)/SQRT(COUNT(I22:I27)),"")</f>
        <v/>
      </c>
    </row>
    <row r="28" ht="22" customHeight="1">
      <c r="A28" s="6" t="inlineStr">
        <is>
          <t>IMP-05</t>
        </is>
      </c>
      <c r="B28" s="6" t="n">
        <v>1</v>
      </c>
      <c r="C28" s="7" t="n"/>
      <c r="D28" s="7" t="n"/>
      <c r="E28" s="9">
        <f>IFERROR(C28-D28,"")</f>
        <v/>
      </c>
      <c r="F28" s="7" t="n"/>
      <c r="G28" s="7" t="n"/>
      <c r="H28" s="7" t="n"/>
      <c r="I28" s="9">
        <f>IFERROR(ROUND(H28*20/E28,2),"")</f>
        <v/>
      </c>
      <c r="J28" s="9">
        <f>IFERROR(ROUND(STDEV(F28:F33)/AVERAGE(F28:F33)*100,2),"")</f>
        <v/>
      </c>
      <c r="K28" s="9">
        <f>IFERROR(ROUND(STDEV(I28:I33)/AVERAGE(I28:I33)*100,2),"")</f>
        <v/>
      </c>
      <c r="L28" s="9">
        <f>IFERROR(AVERAGE(I28:I33)-TINV(0.05,COUNT(I28:I33)-1)*STDEV(I28:I33)/SQRT(COUNT(I28:I33)),"")</f>
        <v/>
      </c>
      <c r="M28" s="9">
        <f>IFERROR(AVERAGE(I28:I33)+TINV(0.05,COUNT(I28:I33)-1)*STDEV(I28:I33)/SQRT(COUNT(I28:I33)),"")</f>
        <v/>
      </c>
    </row>
    <row r="29" ht="22" customHeight="1">
      <c r="A29" s="6" t="inlineStr">
        <is>
          <t>IMP-05</t>
        </is>
      </c>
      <c r="B29" s="6" t="n">
        <v>2</v>
      </c>
      <c r="C29" s="7" t="n"/>
      <c r="D29" s="7" t="n"/>
      <c r="E29" s="9">
        <f>IFERROR(C29-D29,"")</f>
        <v/>
      </c>
      <c r="F29" s="7" t="n"/>
      <c r="G29" s="7" t="n"/>
      <c r="H29" s="7" t="n"/>
      <c r="I29" s="9">
        <f>IFERROR(ROUND(H29*20/E29,2),"")</f>
        <v/>
      </c>
      <c r="J29" s="9">
        <f>IFERROR(ROUND(STDEV(F28:F33)/AVERAGE(F28:F33)*100,2),"")</f>
        <v/>
      </c>
      <c r="K29" s="9">
        <f>IFERROR(ROUND(STDEV(I28:I33)/AVERAGE(I28:I33)*100,2),"")</f>
        <v/>
      </c>
      <c r="L29" s="9">
        <f>IFERROR(AVERAGE(I28:I33)-TINV(0.05,COUNT(I28:I33)-1)*STDEV(I28:I33)/SQRT(COUNT(I28:I33)),"")</f>
        <v/>
      </c>
      <c r="M29" s="9">
        <f>IFERROR(AVERAGE(I28:I33)+TINV(0.05,COUNT(I28:I33)-1)*STDEV(I28:I33)/SQRT(COUNT(I28:I33)),"")</f>
        <v/>
      </c>
    </row>
    <row r="30" ht="22" customHeight="1">
      <c r="A30" s="6" t="inlineStr">
        <is>
          <t>IMP-05</t>
        </is>
      </c>
      <c r="B30" s="6" t="n">
        <v>3</v>
      </c>
      <c r="C30" s="7" t="n"/>
      <c r="D30" s="7" t="n"/>
      <c r="E30" s="9">
        <f>IFERROR(C30-D30,"")</f>
        <v/>
      </c>
      <c r="F30" s="7" t="n"/>
      <c r="G30" s="7" t="n"/>
      <c r="H30" s="7" t="n"/>
      <c r="I30" s="9">
        <f>IFERROR(ROUND(H30*20/E30,2),"")</f>
        <v/>
      </c>
      <c r="J30" s="9">
        <f>IFERROR(ROUND(STDEV(F28:F33)/AVERAGE(F28:F33)*100,2),"")</f>
        <v/>
      </c>
      <c r="K30" s="9">
        <f>IFERROR(ROUND(STDEV(I28:I33)/AVERAGE(I28:I33)*100,2),"")</f>
        <v/>
      </c>
      <c r="L30" s="9">
        <f>IFERROR(AVERAGE(I28:I33)-TINV(0.05,COUNT(I28:I33)-1)*STDEV(I28:I33)/SQRT(COUNT(I28:I33)),"")</f>
        <v/>
      </c>
      <c r="M30" s="9">
        <f>IFERROR(AVERAGE(I28:I33)+TINV(0.05,COUNT(I28:I33)-1)*STDEV(I28:I33)/SQRT(COUNT(I28:I33)),"")</f>
        <v/>
      </c>
    </row>
    <row r="31" ht="22" customHeight="1">
      <c r="A31" s="6" t="inlineStr">
        <is>
          <t>IMP-05</t>
        </is>
      </c>
      <c r="B31" s="6" t="n">
        <v>4</v>
      </c>
      <c r="C31" s="7" t="n"/>
      <c r="D31" s="7" t="n"/>
      <c r="E31" s="9">
        <f>IFERROR(C31-D31,"")</f>
        <v/>
      </c>
      <c r="F31" s="7" t="n"/>
      <c r="G31" s="7" t="n"/>
      <c r="H31" s="7" t="n"/>
      <c r="I31" s="9">
        <f>IFERROR(ROUND(H31*20/E31,2),"")</f>
        <v/>
      </c>
      <c r="J31" s="9">
        <f>IFERROR(ROUND(STDEV(F28:F33)/AVERAGE(F28:F33)*100,2),"")</f>
        <v/>
      </c>
      <c r="K31" s="9">
        <f>IFERROR(ROUND(STDEV(I28:I33)/AVERAGE(I28:I33)*100,2),"")</f>
        <v/>
      </c>
      <c r="L31" s="9">
        <f>IFERROR(AVERAGE(I28:I33)-TINV(0.05,COUNT(I28:I33)-1)*STDEV(I28:I33)/SQRT(COUNT(I28:I33)),"")</f>
        <v/>
      </c>
      <c r="M31" s="9">
        <f>IFERROR(AVERAGE(I28:I33)+TINV(0.05,COUNT(I28:I33)-1)*STDEV(I28:I33)/SQRT(COUNT(I28:I33)),"")</f>
        <v/>
      </c>
    </row>
    <row r="32" ht="22" customHeight="1">
      <c r="A32" s="6" t="inlineStr">
        <is>
          <t>IMP-05</t>
        </is>
      </c>
      <c r="B32" s="6" t="n">
        <v>5</v>
      </c>
      <c r="C32" s="7" t="n"/>
      <c r="D32" s="7" t="n"/>
      <c r="E32" s="9">
        <f>IFERROR(C32-D32,"")</f>
        <v/>
      </c>
      <c r="F32" s="7" t="n"/>
      <c r="G32" s="7" t="n"/>
      <c r="H32" s="7" t="n"/>
      <c r="I32" s="9">
        <f>IFERROR(ROUND(H32*20/E32,2),"")</f>
        <v/>
      </c>
      <c r="J32" s="9">
        <f>IFERROR(ROUND(STDEV(F28:F33)/AVERAGE(F28:F33)*100,2),"")</f>
        <v/>
      </c>
      <c r="K32" s="9">
        <f>IFERROR(ROUND(STDEV(I28:I33)/AVERAGE(I28:I33)*100,2),"")</f>
        <v/>
      </c>
      <c r="L32" s="9">
        <f>IFERROR(AVERAGE(I28:I33)-TINV(0.05,COUNT(I28:I33)-1)*STDEV(I28:I33)/SQRT(COUNT(I28:I33)),"")</f>
        <v/>
      </c>
      <c r="M32" s="9">
        <f>IFERROR(AVERAGE(I28:I33)+TINV(0.05,COUNT(I28:I33)-1)*STDEV(I28:I33)/SQRT(COUNT(I28:I33)),"")</f>
        <v/>
      </c>
    </row>
    <row r="33" ht="22" customHeight="1">
      <c r="A33" s="6" t="inlineStr">
        <is>
          <t>IMP-05</t>
        </is>
      </c>
      <c r="B33" s="6" t="n">
        <v>6</v>
      </c>
      <c r="C33" s="7" t="n"/>
      <c r="D33" s="7" t="n"/>
      <c r="E33" s="9">
        <f>IFERROR(C33-D33,"")</f>
        <v/>
      </c>
      <c r="F33" s="7" t="n"/>
      <c r="G33" s="7" t="n"/>
      <c r="H33" s="7" t="n"/>
      <c r="I33" s="9">
        <f>IFERROR(ROUND(H33*20/E33,2),"")</f>
        <v/>
      </c>
      <c r="J33" s="9">
        <f>IFERROR(ROUND(STDEV(F28:F33)/AVERAGE(F28:F33)*100,2),"")</f>
        <v/>
      </c>
      <c r="K33" s="9">
        <f>IFERROR(ROUND(STDEV(I28:I33)/AVERAGE(I28:I33)*100,2),"")</f>
        <v/>
      </c>
      <c r="L33" s="9">
        <f>IFERROR(AVERAGE(I28:I33)-TINV(0.05,COUNT(I28:I33)-1)*STDEV(I28:I33)/SQRT(COUNT(I28:I33)),"")</f>
        <v/>
      </c>
      <c r="M33" s="9">
        <f>IFERROR(AVERAGE(I28:I33)+TINV(0.05,COUNT(I28:I33)-1)*STDEV(I28:I33)/SQRT(COUNT(I28:I33)),"")</f>
        <v/>
      </c>
    </row>
    <row r="34" ht="22" customHeight="1">
      <c r="A34" s="6" t="inlineStr">
        <is>
          <t>IMP-06</t>
        </is>
      </c>
      <c r="B34" s="6" t="n">
        <v>1</v>
      </c>
      <c r="C34" s="7" t="n"/>
      <c r="D34" s="7" t="n"/>
      <c r="E34" s="9">
        <f>IFERROR(C34-D34,"")</f>
        <v/>
      </c>
      <c r="F34" s="7" t="n"/>
      <c r="G34" s="7" t="n"/>
      <c r="H34" s="7" t="n"/>
      <c r="I34" s="9">
        <f>IFERROR(ROUND(H34*20/E34,2),"")</f>
        <v/>
      </c>
      <c r="J34" s="9">
        <f>IFERROR(ROUND(STDEV(F34:F39)/AVERAGE(F34:F39)*100,2),"")</f>
        <v/>
      </c>
      <c r="K34" s="9">
        <f>IFERROR(ROUND(STDEV(I34:I39)/AVERAGE(I34:I39)*100,2),"")</f>
        <v/>
      </c>
      <c r="L34" s="9">
        <f>IFERROR(AVERAGE(I34:I39)-TINV(0.05,COUNT(I34:I39)-1)*STDEV(I34:I39)/SQRT(COUNT(I34:I39)),"")</f>
        <v/>
      </c>
      <c r="M34" s="9">
        <f>IFERROR(AVERAGE(I34:I39)+TINV(0.05,COUNT(I34:I39)-1)*STDEV(I34:I39)/SQRT(COUNT(I34:I39)),"")</f>
        <v/>
      </c>
    </row>
    <row r="35" ht="22" customHeight="1">
      <c r="A35" s="6" t="inlineStr">
        <is>
          <t>IMP-06</t>
        </is>
      </c>
      <c r="B35" s="6" t="n">
        <v>2</v>
      </c>
      <c r="C35" s="7" t="n"/>
      <c r="D35" s="7" t="n"/>
      <c r="E35" s="9">
        <f>IFERROR(C35-D35,"")</f>
        <v/>
      </c>
      <c r="F35" s="7" t="n"/>
      <c r="G35" s="7" t="n"/>
      <c r="H35" s="7" t="n"/>
      <c r="I35" s="9">
        <f>IFERROR(ROUND(H35*20/E35,2),"")</f>
        <v/>
      </c>
      <c r="J35" s="9">
        <f>IFERROR(ROUND(STDEV(F34:F39)/AVERAGE(F34:F39)*100,2),"")</f>
        <v/>
      </c>
      <c r="K35" s="9">
        <f>IFERROR(ROUND(STDEV(I34:I39)/AVERAGE(I34:I39)*100,2),"")</f>
        <v/>
      </c>
      <c r="L35" s="9">
        <f>IFERROR(AVERAGE(I34:I39)-TINV(0.05,COUNT(I34:I39)-1)*STDEV(I34:I39)/SQRT(COUNT(I34:I39)),"")</f>
        <v/>
      </c>
      <c r="M35" s="9">
        <f>IFERROR(AVERAGE(I34:I39)+TINV(0.05,COUNT(I34:I39)-1)*STDEV(I34:I39)/SQRT(COUNT(I34:I39)),"")</f>
        <v/>
      </c>
    </row>
    <row r="36" ht="22" customHeight="1">
      <c r="A36" s="6" t="inlineStr">
        <is>
          <t>IMP-06</t>
        </is>
      </c>
      <c r="B36" s="6" t="n">
        <v>3</v>
      </c>
      <c r="C36" s="7" t="n"/>
      <c r="D36" s="7" t="n"/>
      <c r="E36" s="9">
        <f>IFERROR(C36-D36,"")</f>
        <v/>
      </c>
      <c r="F36" s="7" t="n"/>
      <c r="G36" s="7" t="n"/>
      <c r="H36" s="7" t="n"/>
      <c r="I36" s="9">
        <f>IFERROR(ROUND(H36*20/E36,2),"")</f>
        <v/>
      </c>
      <c r="J36" s="9">
        <f>IFERROR(ROUND(STDEV(F34:F39)/AVERAGE(F34:F39)*100,2),"")</f>
        <v/>
      </c>
      <c r="K36" s="9">
        <f>IFERROR(ROUND(STDEV(I34:I39)/AVERAGE(I34:I39)*100,2),"")</f>
        <v/>
      </c>
      <c r="L36" s="9">
        <f>IFERROR(AVERAGE(I34:I39)-TINV(0.05,COUNT(I34:I39)-1)*STDEV(I34:I39)/SQRT(COUNT(I34:I39)),"")</f>
        <v/>
      </c>
      <c r="M36" s="9">
        <f>IFERROR(AVERAGE(I34:I39)+TINV(0.05,COUNT(I34:I39)-1)*STDEV(I34:I39)/SQRT(COUNT(I34:I39)),"")</f>
        <v/>
      </c>
    </row>
    <row r="37" ht="22" customHeight="1">
      <c r="A37" s="6" t="inlineStr">
        <is>
          <t>IMP-06</t>
        </is>
      </c>
      <c r="B37" s="6" t="n">
        <v>4</v>
      </c>
      <c r="C37" s="7" t="n"/>
      <c r="D37" s="7" t="n"/>
      <c r="E37" s="9">
        <f>IFERROR(C37-D37,"")</f>
        <v/>
      </c>
      <c r="F37" s="7" t="n"/>
      <c r="G37" s="7" t="n"/>
      <c r="H37" s="7" t="n"/>
      <c r="I37" s="9">
        <f>IFERROR(ROUND(H37*20/E37,2),"")</f>
        <v/>
      </c>
      <c r="J37" s="9">
        <f>IFERROR(ROUND(STDEV(F34:F39)/AVERAGE(F34:F39)*100,2),"")</f>
        <v/>
      </c>
      <c r="K37" s="9">
        <f>IFERROR(ROUND(STDEV(I34:I39)/AVERAGE(I34:I39)*100,2),"")</f>
        <v/>
      </c>
      <c r="L37" s="9">
        <f>IFERROR(AVERAGE(I34:I39)-TINV(0.05,COUNT(I34:I39)-1)*STDEV(I34:I39)/SQRT(COUNT(I34:I39)),"")</f>
        <v/>
      </c>
      <c r="M37" s="9">
        <f>IFERROR(AVERAGE(I34:I39)+TINV(0.05,COUNT(I34:I39)-1)*STDEV(I34:I39)/SQRT(COUNT(I34:I39)),"")</f>
        <v/>
      </c>
    </row>
    <row r="38" ht="22" customHeight="1">
      <c r="A38" s="6" t="inlineStr">
        <is>
          <t>IMP-06</t>
        </is>
      </c>
      <c r="B38" s="6" t="n">
        <v>5</v>
      </c>
      <c r="C38" s="7" t="n"/>
      <c r="D38" s="7" t="n"/>
      <c r="E38" s="9">
        <f>IFERROR(C38-D38,"")</f>
        <v/>
      </c>
      <c r="F38" s="7" t="n"/>
      <c r="G38" s="7" t="n"/>
      <c r="H38" s="7" t="n"/>
      <c r="I38" s="9">
        <f>IFERROR(ROUND(H38*20/E38,2),"")</f>
        <v/>
      </c>
      <c r="J38" s="9">
        <f>IFERROR(ROUND(STDEV(F34:F39)/AVERAGE(F34:F39)*100,2),"")</f>
        <v/>
      </c>
      <c r="K38" s="9">
        <f>IFERROR(ROUND(STDEV(I34:I39)/AVERAGE(I34:I39)*100,2),"")</f>
        <v/>
      </c>
      <c r="L38" s="9">
        <f>IFERROR(AVERAGE(I34:I39)-TINV(0.05,COUNT(I34:I39)-1)*STDEV(I34:I39)/SQRT(COUNT(I34:I39)),"")</f>
        <v/>
      </c>
      <c r="M38" s="9">
        <f>IFERROR(AVERAGE(I34:I39)+TINV(0.05,COUNT(I34:I39)-1)*STDEV(I34:I39)/SQRT(COUNT(I34:I39)),"")</f>
        <v/>
      </c>
    </row>
    <row r="39" ht="22" customHeight="1">
      <c r="A39" s="6" t="inlineStr">
        <is>
          <t>IMP-06</t>
        </is>
      </c>
      <c r="B39" s="6" t="n">
        <v>6</v>
      </c>
      <c r="C39" s="7" t="n"/>
      <c r="D39" s="7" t="n"/>
      <c r="E39" s="9">
        <f>IFERROR(C39-D39,"")</f>
        <v/>
      </c>
      <c r="F39" s="7" t="n"/>
      <c r="G39" s="7" t="n"/>
      <c r="H39" s="7" t="n"/>
      <c r="I39" s="9">
        <f>IFERROR(ROUND(H39*20/E39,2),"")</f>
        <v/>
      </c>
      <c r="J39" s="9">
        <f>IFERROR(ROUND(STDEV(F34:F39)/AVERAGE(F34:F39)*100,2),"")</f>
        <v/>
      </c>
      <c r="K39" s="9">
        <f>IFERROR(ROUND(STDEV(I34:I39)/AVERAGE(I34:I39)*100,2),"")</f>
        <v/>
      </c>
      <c r="L39" s="9">
        <f>IFERROR(AVERAGE(I34:I39)-TINV(0.05,COUNT(I34:I39)-1)*STDEV(I34:I39)/SQRT(COUNT(I34:I39)),"")</f>
        <v/>
      </c>
      <c r="M39" s="9">
        <f>IFERROR(AVERAGE(I34:I39)+TINV(0.05,COUNT(I34:I39)-1)*STDEV(I34:I39)/SQRT(COUNT(I34:I39)),"")</f>
        <v/>
      </c>
    </row>
    <row r="40" ht="22" customHeight="1">
      <c r="A40" s="6" t="inlineStr">
        <is>
          <t>IMP-07</t>
        </is>
      </c>
      <c r="B40" s="6" t="n">
        <v>1</v>
      </c>
      <c r="C40" s="7" t="n"/>
      <c r="D40" s="7" t="n"/>
      <c r="E40" s="9">
        <f>IFERROR(C40-D40,"")</f>
        <v/>
      </c>
      <c r="F40" s="7" t="n"/>
      <c r="G40" s="7" t="n"/>
      <c r="H40" s="7" t="n"/>
      <c r="I40" s="9">
        <f>IFERROR(ROUND(H40*20/E40,2),"")</f>
        <v/>
      </c>
      <c r="J40" s="9">
        <f>IFERROR(ROUND(STDEV(F40:F45)/AVERAGE(F40:F45)*100,2),"")</f>
        <v/>
      </c>
      <c r="K40" s="9">
        <f>IFERROR(ROUND(STDEV(I40:I45)/AVERAGE(I40:I45)*100,2),"")</f>
        <v/>
      </c>
      <c r="L40" s="9">
        <f>IFERROR(AVERAGE(I40:I45)-TINV(0.05,COUNT(I40:I45)-1)*STDEV(I40:I45)/SQRT(COUNT(I40:I45)),"")</f>
        <v/>
      </c>
      <c r="M40" s="9">
        <f>IFERROR(AVERAGE(I40:I45)+TINV(0.05,COUNT(I40:I45)-1)*STDEV(I40:I45)/SQRT(COUNT(I40:I45)),"")</f>
        <v/>
      </c>
    </row>
    <row r="41" ht="22" customHeight="1">
      <c r="A41" s="6" t="inlineStr">
        <is>
          <t>IMP-07</t>
        </is>
      </c>
      <c r="B41" s="6" t="n">
        <v>2</v>
      </c>
      <c r="C41" s="7" t="n"/>
      <c r="D41" s="7" t="n"/>
      <c r="E41" s="9">
        <f>IFERROR(C41-D41,"")</f>
        <v/>
      </c>
      <c r="F41" s="7" t="n"/>
      <c r="G41" s="7" t="n"/>
      <c r="H41" s="7" t="n"/>
      <c r="I41" s="9">
        <f>IFERROR(ROUND(H41*20/E41,2),"")</f>
        <v/>
      </c>
      <c r="J41" s="9">
        <f>IFERROR(ROUND(STDEV(F40:F45)/AVERAGE(F40:F45)*100,2),"")</f>
        <v/>
      </c>
      <c r="K41" s="9">
        <f>IFERROR(ROUND(STDEV(I40:I45)/AVERAGE(I40:I45)*100,2),"")</f>
        <v/>
      </c>
      <c r="L41" s="9">
        <f>IFERROR(AVERAGE(I40:I45)-TINV(0.05,COUNT(I40:I45)-1)*STDEV(I40:I45)/SQRT(COUNT(I40:I45)),"")</f>
        <v/>
      </c>
      <c r="M41" s="9">
        <f>IFERROR(AVERAGE(I40:I45)+TINV(0.05,COUNT(I40:I45)-1)*STDEV(I40:I45)/SQRT(COUNT(I40:I45)),"")</f>
        <v/>
      </c>
    </row>
    <row r="42" ht="22" customHeight="1">
      <c r="A42" s="6" t="inlineStr">
        <is>
          <t>IMP-07</t>
        </is>
      </c>
      <c r="B42" s="6" t="n">
        <v>3</v>
      </c>
      <c r="C42" s="7" t="n"/>
      <c r="D42" s="7" t="n"/>
      <c r="E42" s="9">
        <f>IFERROR(C42-D42,"")</f>
        <v/>
      </c>
      <c r="F42" s="7" t="n"/>
      <c r="G42" s="7" t="n"/>
      <c r="H42" s="7" t="n"/>
      <c r="I42" s="9">
        <f>IFERROR(ROUND(H42*20/E42,2),"")</f>
        <v/>
      </c>
      <c r="J42" s="9">
        <f>IFERROR(ROUND(STDEV(F40:F45)/AVERAGE(F40:F45)*100,2),"")</f>
        <v/>
      </c>
      <c r="K42" s="9">
        <f>IFERROR(ROUND(STDEV(I40:I45)/AVERAGE(I40:I45)*100,2),"")</f>
        <v/>
      </c>
      <c r="L42" s="9">
        <f>IFERROR(AVERAGE(I40:I45)-TINV(0.05,COUNT(I40:I45)-1)*STDEV(I40:I45)/SQRT(COUNT(I40:I45)),"")</f>
        <v/>
      </c>
      <c r="M42" s="9">
        <f>IFERROR(AVERAGE(I40:I45)+TINV(0.05,COUNT(I40:I45)-1)*STDEV(I40:I45)/SQRT(COUNT(I40:I45)),"")</f>
        <v/>
      </c>
    </row>
    <row r="43" ht="22" customHeight="1">
      <c r="A43" s="6" t="inlineStr">
        <is>
          <t>IMP-07</t>
        </is>
      </c>
      <c r="B43" s="6" t="n">
        <v>4</v>
      </c>
      <c r="C43" s="7" t="n"/>
      <c r="D43" s="7" t="n"/>
      <c r="E43" s="9">
        <f>IFERROR(C43-D43,"")</f>
        <v/>
      </c>
      <c r="F43" s="7" t="n"/>
      <c r="G43" s="7" t="n"/>
      <c r="H43" s="7" t="n"/>
      <c r="I43" s="9">
        <f>IFERROR(ROUND(H43*20/E43,2),"")</f>
        <v/>
      </c>
      <c r="J43" s="9">
        <f>IFERROR(ROUND(STDEV(F40:F45)/AVERAGE(F40:F45)*100,2),"")</f>
        <v/>
      </c>
      <c r="K43" s="9">
        <f>IFERROR(ROUND(STDEV(I40:I45)/AVERAGE(I40:I45)*100,2),"")</f>
        <v/>
      </c>
      <c r="L43" s="9">
        <f>IFERROR(AVERAGE(I40:I45)-TINV(0.05,COUNT(I40:I45)-1)*STDEV(I40:I45)/SQRT(COUNT(I40:I45)),"")</f>
        <v/>
      </c>
      <c r="M43" s="9">
        <f>IFERROR(AVERAGE(I40:I45)+TINV(0.05,COUNT(I40:I45)-1)*STDEV(I40:I45)/SQRT(COUNT(I40:I45)),"")</f>
        <v/>
      </c>
    </row>
    <row r="44" ht="22" customHeight="1">
      <c r="A44" s="6" t="inlineStr">
        <is>
          <t>IMP-07</t>
        </is>
      </c>
      <c r="B44" s="6" t="n">
        <v>5</v>
      </c>
      <c r="C44" s="7" t="n"/>
      <c r="D44" s="7" t="n"/>
      <c r="E44" s="9">
        <f>IFERROR(C44-D44,"")</f>
        <v/>
      </c>
      <c r="F44" s="7" t="n"/>
      <c r="G44" s="7" t="n"/>
      <c r="H44" s="7" t="n"/>
      <c r="I44" s="9">
        <f>IFERROR(ROUND(H44*20/E44,2),"")</f>
        <v/>
      </c>
      <c r="J44" s="9">
        <f>IFERROR(ROUND(STDEV(F40:F45)/AVERAGE(F40:F45)*100,2),"")</f>
        <v/>
      </c>
      <c r="K44" s="9">
        <f>IFERROR(ROUND(STDEV(I40:I45)/AVERAGE(I40:I45)*100,2),"")</f>
        <v/>
      </c>
      <c r="L44" s="9">
        <f>IFERROR(AVERAGE(I40:I45)-TINV(0.05,COUNT(I40:I45)-1)*STDEV(I40:I45)/SQRT(COUNT(I40:I45)),"")</f>
        <v/>
      </c>
      <c r="M44" s="9">
        <f>IFERROR(AVERAGE(I40:I45)+TINV(0.05,COUNT(I40:I45)-1)*STDEV(I40:I45)/SQRT(COUNT(I40:I45)),"")</f>
        <v/>
      </c>
    </row>
    <row r="45" ht="22" customHeight="1">
      <c r="A45" s="6" t="inlineStr">
        <is>
          <t>IMP-07</t>
        </is>
      </c>
      <c r="B45" s="6" t="n">
        <v>6</v>
      </c>
      <c r="C45" s="7" t="n"/>
      <c r="D45" s="7" t="n"/>
      <c r="E45" s="9">
        <f>IFERROR(C45-D45,"")</f>
        <v/>
      </c>
      <c r="F45" s="7" t="n"/>
      <c r="G45" s="7" t="n"/>
      <c r="H45" s="7" t="n"/>
      <c r="I45" s="9">
        <f>IFERROR(ROUND(H45*20/E45,2),"")</f>
        <v/>
      </c>
      <c r="J45" s="9">
        <f>IFERROR(ROUND(STDEV(F40:F45)/AVERAGE(F40:F45)*100,2),"")</f>
        <v/>
      </c>
      <c r="K45" s="9">
        <f>IFERROR(ROUND(STDEV(I40:I45)/AVERAGE(I40:I45)*100,2),"")</f>
        <v/>
      </c>
      <c r="L45" s="9">
        <f>IFERROR(AVERAGE(I40:I45)-TINV(0.05,COUNT(I40:I45)-1)*STDEV(I40:I45)/SQRT(COUNT(I40:I45)),"")</f>
        <v/>
      </c>
      <c r="M45" s="9">
        <f>IFERROR(AVERAGE(I40:I45)+TINV(0.05,COUNT(I40:I45)-1)*STDEV(I40:I45)/SQRT(COUNT(I40:I45)),"")</f>
        <v/>
      </c>
    </row>
    <row r="46" ht="22" customHeight="1">
      <c r="A46" s="6" t="inlineStr">
        <is>
          <t>IMP-08</t>
        </is>
      </c>
      <c r="B46" s="6" t="n">
        <v>1</v>
      </c>
      <c r="C46" s="7" t="n"/>
      <c r="D46" s="7" t="n"/>
      <c r="E46" s="9">
        <f>IFERROR(C46-D46,"")</f>
        <v/>
      </c>
      <c r="F46" s="7" t="n"/>
      <c r="G46" s="7" t="n"/>
      <c r="H46" s="7" t="n"/>
      <c r="I46" s="9">
        <f>IFERROR(ROUND(H46*20/E46,2),"")</f>
        <v/>
      </c>
      <c r="J46" s="9">
        <f>IFERROR(ROUND(STDEV(F46:F51)/AVERAGE(F46:F51)*100,2),"")</f>
        <v/>
      </c>
      <c r="K46" s="9">
        <f>IFERROR(ROUND(STDEV(I46:I51)/AVERAGE(I46:I51)*100,2),"")</f>
        <v/>
      </c>
      <c r="L46" s="9">
        <f>IFERROR(AVERAGE(I46:I51)-TINV(0.05,COUNT(I46:I51)-1)*STDEV(I46:I51)/SQRT(COUNT(I46:I51)),"")</f>
        <v/>
      </c>
      <c r="M46" s="9">
        <f>IFERROR(AVERAGE(I46:I51)+TINV(0.05,COUNT(I46:I51)-1)*STDEV(I46:I51)/SQRT(COUNT(I46:I51)),"")</f>
        <v/>
      </c>
    </row>
    <row r="47" ht="22" customHeight="1">
      <c r="A47" s="6" t="inlineStr">
        <is>
          <t>IMP-08</t>
        </is>
      </c>
      <c r="B47" s="6" t="n">
        <v>2</v>
      </c>
      <c r="C47" s="7" t="n"/>
      <c r="D47" s="7" t="n"/>
      <c r="E47" s="9">
        <f>IFERROR(C47-D47,"")</f>
        <v/>
      </c>
      <c r="F47" s="7" t="n"/>
      <c r="G47" s="7" t="n"/>
      <c r="H47" s="7" t="n"/>
      <c r="I47" s="9">
        <f>IFERROR(ROUND(H47*20/E47,2),"")</f>
        <v/>
      </c>
      <c r="J47" s="9">
        <f>IFERROR(ROUND(STDEV(F46:F51)/AVERAGE(F46:F51)*100,2),"")</f>
        <v/>
      </c>
      <c r="K47" s="9">
        <f>IFERROR(ROUND(STDEV(I46:I51)/AVERAGE(I46:I51)*100,2),"")</f>
        <v/>
      </c>
      <c r="L47" s="9">
        <f>IFERROR(AVERAGE(I46:I51)-TINV(0.05,COUNT(I46:I51)-1)*STDEV(I46:I51)/SQRT(COUNT(I46:I51)),"")</f>
        <v/>
      </c>
      <c r="M47" s="9">
        <f>IFERROR(AVERAGE(I46:I51)+TINV(0.05,COUNT(I46:I51)-1)*STDEV(I46:I51)/SQRT(COUNT(I46:I51)),"")</f>
        <v/>
      </c>
    </row>
    <row r="48" ht="22" customHeight="1">
      <c r="A48" s="6" t="inlineStr">
        <is>
          <t>IMP-08</t>
        </is>
      </c>
      <c r="B48" s="6" t="n">
        <v>3</v>
      </c>
      <c r="C48" s="7" t="n"/>
      <c r="D48" s="7" t="n"/>
      <c r="E48" s="9">
        <f>IFERROR(C48-D48,"")</f>
        <v/>
      </c>
      <c r="F48" s="7" t="n"/>
      <c r="G48" s="7" t="n"/>
      <c r="H48" s="7" t="n"/>
      <c r="I48" s="9">
        <f>IFERROR(ROUND(H48*20/E48,2),"")</f>
        <v/>
      </c>
      <c r="J48" s="9">
        <f>IFERROR(ROUND(STDEV(F46:F51)/AVERAGE(F46:F51)*100,2),"")</f>
        <v/>
      </c>
      <c r="K48" s="9">
        <f>IFERROR(ROUND(STDEV(I46:I51)/AVERAGE(I46:I51)*100,2),"")</f>
        <v/>
      </c>
      <c r="L48" s="9">
        <f>IFERROR(AVERAGE(I46:I51)-TINV(0.05,COUNT(I46:I51)-1)*STDEV(I46:I51)/SQRT(COUNT(I46:I51)),"")</f>
        <v/>
      </c>
      <c r="M48" s="9">
        <f>IFERROR(AVERAGE(I46:I51)+TINV(0.05,COUNT(I46:I51)-1)*STDEV(I46:I51)/SQRT(COUNT(I46:I51)),"")</f>
        <v/>
      </c>
    </row>
    <row r="49" ht="22" customHeight="1">
      <c r="A49" s="6" t="inlineStr">
        <is>
          <t>IMP-08</t>
        </is>
      </c>
      <c r="B49" s="6" t="n">
        <v>4</v>
      </c>
      <c r="C49" s="7" t="n"/>
      <c r="D49" s="7" t="n"/>
      <c r="E49" s="9">
        <f>IFERROR(C49-D49,"")</f>
        <v/>
      </c>
      <c r="F49" s="7" t="n"/>
      <c r="G49" s="7" t="n"/>
      <c r="H49" s="7" t="n"/>
      <c r="I49" s="9">
        <f>IFERROR(ROUND(H49*20/E49,2),"")</f>
        <v/>
      </c>
      <c r="J49" s="9">
        <f>IFERROR(ROUND(STDEV(F46:F51)/AVERAGE(F46:F51)*100,2),"")</f>
        <v/>
      </c>
      <c r="K49" s="9">
        <f>IFERROR(ROUND(STDEV(I46:I51)/AVERAGE(I46:I51)*100,2),"")</f>
        <v/>
      </c>
      <c r="L49" s="9">
        <f>IFERROR(AVERAGE(I46:I51)-TINV(0.05,COUNT(I46:I51)-1)*STDEV(I46:I51)/SQRT(COUNT(I46:I51)),"")</f>
        <v/>
      </c>
      <c r="M49" s="9">
        <f>IFERROR(AVERAGE(I46:I51)+TINV(0.05,COUNT(I46:I51)-1)*STDEV(I46:I51)/SQRT(COUNT(I46:I51)),"")</f>
        <v/>
      </c>
    </row>
    <row r="50" ht="22" customHeight="1">
      <c r="A50" s="6" t="inlineStr">
        <is>
          <t>IMP-08</t>
        </is>
      </c>
      <c r="B50" s="6" t="n">
        <v>5</v>
      </c>
      <c r="C50" s="7" t="n"/>
      <c r="D50" s="7" t="n"/>
      <c r="E50" s="9">
        <f>IFERROR(C50-D50,"")</f>
        <v/>
      </c>
      <c r="F50" s="7" t="n"/>
      <c r="G50" s="7" t="n"/>
      <c r="H50" s="7" t="n"/>
      <c r="I50" s="9">
        <f>IFERROR(ROUND(H50*20/E50,2),"")</f>
        <v/>
      </c>
      <c r="J50" s="9">
        <f>IFERROR(ROUND(STDEV(F46:F51)/AVERAGE(F46:F51)*100,2),"")</f>
        <v/>
      </c>
      <c r="K50" s="9">
        <f>IFERROR(ROUND(STDEV(I46:I51)/AVERAGE(I46:I51)*100,2),"")</f>
        <v/>
      </c>
      <c r="L50" s="9">
        <f>IFERROR(AVERAGE(I46:I51)-TINV(0.05,COUNT(I46:I51)-1)*STDEV(I46:I51)/SQRT(COUNT(I46:I51)),"")</f>
        <v/>
      </c>
      <c r="M50" s="9">
        <f>IFERROR(AVERAGE(I46:I51)+TINV(0.05,COUNT(I46:I51)-1)*STDEV(I46:I51)/SQRT(COUNT(I46:I51)),"")</f>
        <v/>
      </c>
    </row>
    <row r="51" ht="22" customHeight="1">
      <c r="A51" s="6" t="inlineStr">
        <is>
          <t>IMP-08</t>
        </is>
      </c>
      <c r="B51" s="6" t="n">
        <v>6</v>
      </c>
      <c r="C51" s="7" t="n"/>
      <c r="D51" s="7" t="n"/>
      <c r="E51" s="9">
        <f>IFERROR(C51-D51,"")</f>
        <v/>
      </c>
      <c r="F51" s="7" t="n"/>
      <c r="G51" s="7" t="n"/>
      <c r="H51" s="7" t="n"/>
      <c r="I51" s="9">
        <f>IFERROR(ROUND(H51*20/E51,2),"")</f>
        <v/>
      </c>
      <c r="J51" s="9">
        <f>IFERROR(ROUND(STDEV(F46:F51)/AVERAGE(F46:F51)*100,2),"")</f>
        <v/>
      </c>
      <c r="K51" s="9">
        <f>IFERROR(ROUND(STDEV(I46:I51)/AVERAGE(I46:I51)*100,2),"")</f>
        <v/>
      </c>
      <c r="L51" s="9">
        <f>IFERROR(AVERAGE(I46:I51)-TINV(0.05,COUNT(I46:I51)-1)*STDEV(I46:I51)/SQRT(COUNT(I46:I51)),"")</f>
        <v/>
      </c>
      <c r="M51" s="9">
        <f>IFERROR(AVERAGE(I46:I51)+TINV(0.05,COUNT(I46:I51)-1)*STDEV(I46:I51)/SQRT(COUNT(I46:I51)),"")</f>
        <v/>
      </c>
    </row>
    <row r="52" ht="22" customHeight="1">
      <c r="A52" s="6" t="inlineStr">
        <is>
          <t>IMP-09</t>
        </is>
      </c>
      <c r="B52" s="6" t="n">
        <v>1</v>
      </c>
      <c r="C52" s="7" t="n"/>
      <c r="D52" s="7" t="n"/>
      <c r="E52" s="9">
        <f>IFERROR(C52-D52,"")</f>
        <v/>
      </c>
      <c r="F52" s="7" t="n"/>
      <c r="G52" s="7" t="n"/>
      <c r="H52" s="7" t="n"/>
      <c r="I52" s="9">
        <f>IFERROR(ROUND(H52*20/E52,2),"")</f>
        <v/>
      </c>
      <c r="J52" s="9">
        <f>IFERROR(ROUND(STDEV(F52:F57)/AVERAGE(F52:F57)*100,2),"")</f>
        <v/>
      </c>
      <c r="K52" s="9">
        <f>IFERROR(ROUND(STDEV(I52:I57)/AVERAGE(I52:I57)*100,2),"")</f>
        <v/>
      </c>
      <c r="L52" s="9">
        <f>IFERROR(AVERAGE(I52:I57)-TINV(0.05,COUNT(I52:I57)-1)*STDEV(I52:I57)/SQRT(COUNT(I52:I57)),"")</f>
        <v/>
      </c>
      <c r="M52" s="9">
        <f>IFERROR(AVERAGE(I52:I57)+TINV(0.05,COUNT(I52:I57)-1)*STDEV(I52:I57)/SQRT(COUNT(I52:I57)),"")</f>
        <v/>
      </c>
    </row>
    <row r="53" ht="22" customHeight="1">
      <c r="A53" s="6" t="inlineStr">
        <is>
          <t>IMP-09</t>
        </is>
      </c>
      <c r="B53" s="6" t="n">
        <v>2</v>
      </c>
      <c r="C53" s="7" t="n"/>
      <c r="D53" s="7" t="n"/>
      <c r="E53" s="9">
        <f>IFERROR(C53-D53,"")</f>
        <v/>
      </c>
      <c r="F53" s="7" t="n"/>
      <c r="G53" s="7" t="n"/>
      <c r="H53" s="7" t="n"/>
      <c r="I53" s="9">
        <f>IFERROR(ROUND(H53*20/E53,2),"")</f>
        <v/>
      </c>
      <c r="J53" s="9">
        <f>IFERROR(ROUND(STDEV(F52:F57)/AVERAGE(F52:F57)*100,2),"")</f>
        <v/>
      </c>
      <c r="K53" s="9">
        <f>IFERROR(ROUND(STDEV(I52:I57)/AVERAGE(I52:I57)*100,2),"")</f>
        <v/>
      </c>
      <c r="L53" s="9">
        <f>IFERROR(AVERAGE(I52:I57)-TINV(0.05,COUNT(I52:I57)-1)*STDEV(I52:I57)/SQRT(COUNT(I52:I57)),"")</f>
        <v/>
      </c>
      <c r="M53" s="9">
        <f>IFERROR(AVERAGE(I52:I57)+TINV(0.05,COUNT(I52:I57)-1)*STDEV(I52:I57)/SQRT(COUNT(I52:I57)),"")</f>
        <v/>
      </c>
    </row>
    <row r="54" ht="22" customHeight="1">
      <c r="A54" s="6" t="inlineStr">
        <is>
          <t>IMP-09</t>
        </is>
      </c>
      <c r="B54" s="6" t="n">
        <v>3</v>
      </c>
      <c r="C54" s="7" t="n"/>
      <c r="D54" s="7" t="n"/>
      <c r="E54" s="9">
        <f>IFERROR(C54-D54,"")</f>
        <v/>
      </c>
      <c r="F54" s="7" t="n"/>
      <c r="G54" s="7" t="n"/>
      <c r="H54" s="7" t="n"/>
      <c r="I54" s="9">
        <f>IFERROR(ROUND(H54*20/E54,2),"")</f>
        <v/>
      </c>
      <c r="J54" s="9">
        <f>IFERROR(ROUND(STDEV(F52:F57)/AVERAGE(F52:F57)*100,2),"")</f>
        <v/>
      </c>
      <c r="K54" s="9">
        <f>IFERROR(ROUND(STDEV(I52:I57)/AVERAGE(I52:I57)*100,2),"")</f>
        <v/>
      </c>
      <c r="L54" s="9">
        <f>IFERROR(AVERAGE(I52:I57)-TINV(0.05,COUNT(I52:I57)-1)*STDEV(I52:I57)/SQRT(COUNT(I52:I57)),"")</f>
        <v/>
      </c>
      <c r="M54" s="9">
        <f>IFERROR(AVERAGE(I52:I57)+TINV(0.05,COUNT(I52:I57)-1)*STDEV(I52:I57)/SQRT(COUNT(I52:I57)),"")</f>
        <v/>
      </c>
    </row>
    <row r="55" ht="22" customHeight="1">
      <c r="A55" s="6" t="inlineStr">
        <is>
          <t>IMP-09</t>
        </is>
      </c>
      <c r="B55" s="6" t="n">
        <v>4</v>
      </c>
      <c r="C55" s="7" t="n"/>
      <c r="D55" s="7" t="n"/>
      <c r="E55" s="9">
        <f>IFERROR(C55-D55,"")</f>
        <v/>
      </c>
      <c r="F55" s="7" t="n"/>
      <c r="G55" s="7" t="n"/>
      <c r="H55" s="7" t="n"/>
      <c r="I55" s="9">
        <f>IFERROR(ROUND(H55*20/E55,2),"")</f>
        <v/>
      </c>
      <c r="J55" s="9">
        <f>IFERROR(ROUND(STDEV(F52:F57)/AVERAGE(F52:F57)*100,2),"")</f>
        <v/>
      </c>
      <c r="K55" s="9">
        <f>IFERROR(ROUND(STDEV(I52:I57)/AVERAGE(I52:I57)*100,2),"")</f>
        <v/>
      </c>
      <c r="L55" s="9">
        <f>IFERROR(AVERAGE(I52:I57)-TINV(0.05,COUNT(I52:I57)-1)*STDEV(I52:I57)/SQRT(COUNT(I52:I57)),"")</f>
        <v/>
      </c>
      <c r="M55" s="9">
        <f>IFERROR(AVERAGE(I52:I57)+TINV(0.05,COUNT(I52:I57)-1)*STDEV(I52:I57)/SQRT(COUNT(I52:I57)),"")</f>
        <v/>
      </c>
    </row>
    <row r="56" ht="22" customHeight="1">
      <c r="A56" s="6" t="inlineStr">
        <is>
          <t>IMP-09</t>
        </is>
      </c>
      <c r="B56" s="6" t="n">
        <v>5</v>
      </c>
      <c r="C56" s="7" t="n"/>
      <c r="D56" s="7" t="n"/>
      <c r="E56" s="9">
        <f>IFERROR(C56-D56,"")</f>
        <v/>
      </c>
      <c r="F56" s="7" t="n"/>
      <c r="G56" s="7" t="n"/>
      <c r="H56" s="7" t="n"/>
      <c r="I56" s="9">
        <f>IFERROR(ROUND(H56*20/E56,2),"")</f>
        <v/>
      </c>
      <c r="J56" s="9">
        <f>IFERROR(ROUND(STDEV(F52:F57)/AVERAGE(F52:F57)*100,2),"")</f>
        <v/>
      </c>
      <c r="K56" s="9">
        <f>IFERROR(ROUND(STDEV(I52:I57)/AVERAGE(I52:I57)*100,2),"")</f>
        <v/>
      </c>
      <c r="L56" s="9">
        <f>IFERROR(AVERAGE(I52:I57)-TINV(0.05,COUNT(I52:I57)-1)*STDEV(I52:I57)/SQRT(COUNT(I52:I57)),"")</f>
        <v/>
      </c>
      <c r="M56" s="9">
        <f>IFERROR(AVERAGE(I52:I57)+TINV(0.05,COUNT(I52:I57)-1)*STDEV(I52:I57)/SQRT(COUNT(I52:I57)),"")</f>
        <v/>
      </c>
    </row>
    <row r="57" ht="22" customHeight="1">
      <c r="A57" s="6" t="inlineStr">
        <is>
          <t>IMP-09</t>
        </is>
      </c>
      <c r="B57" s="6" t="n">
        <v>6</v>
      </c>
      <c r="C57" s="7" t="n"/>
      <c r="D57" s="7" t="n"/>
      <c r="E57" s="9">
        <f>IFERROR(C57-D57,"")</f>
        <v/>
      </c>
      <c r="F57" s="7" t="n"/>
      <c r="G57" s="7" t="n"/>
      <c r="H57" s="7" t="n"/>
      <c r="I57" s="9">
        <f>IFERROR(ROUND(H57*20/E57,2),"")</f>
        <v/>
      </c>
      <c r="J57" s="9">
        <f>IFERROR(ROUND(STDEV(F52:F57)/AVERAGE(F52:F57)*100,2),"")</f>
        <v/>
      </c>
      <c r="K57" s="9">
        <f>IFERROR(ROUND(STDEV(I52:I57)/AVERAGE(I52:I57)*100,2),"")</f>
        <v/>
      </c>
      <c r="L57" s="9">
        <f>IFERROR(AVERAGE(I52:I57)-TINV(0.05,COUNT(I52:I57)-1)*STDEV(I52:I57)/SQRT(COUNT(I52:I57)),"")</f>
        <v/>
      </c>
      <c r="M57" s="9">
        <f>IFERROR(AVERAGE(I52:I57)+TINV(0.05,COUNT(I52:I57)-1)*STDEV(I52:I57)/SQRT(COUNT(I52:I57)),"")</f>
        <v/>
      </c>
    </row>
    <row r="58" ht="22" customHeight="1">
      <c r="A58" s="6" t="inlineStr">
        <is>
          <t>IMP-10</t>
        </is>
      </c>
      <c r="B58" s="6" t="n">
        <v>1</v>
      </c>
      <c r="C58" s="7" t="n"/>
      <c r="D58" s="7" t="n"/>
      <c r="E58" s="9">
        <f>IFERROR(C58-D58,"")</f>
        <v/>
      </c>
      <c r="F58" s="7" t="n"/>
      <c r="G58" s="7" t="n"/>
      <c r="H58" s="7" t="n"/>
      <c r="I58" s="9">
        <f>IFERROR(ROUND(H58*20/E58,2),"")</f>
        <v/>
      </c>
      <c r="J58" s="9">
        <f>IFERROR(ROUND(STDEV(F58:F63)/AVERAGE(F58:F63)*100,2),"")</f>
        <v/>
      </c>
      <c r="K58" s="9">
        <f>IFERROR(ROUND(STDEV(I58:I63)/AVERAGE(I58:I63)*100,2),"")</f>
        <v/>
      </c>
      <c r="L58" s="9">
        <f>IFERROR(AVERAGE(I58:I63)-TINV(0.05,COUNT(I58:I63)-1)*STDEV(I58:I63)/SQRT(COUNT(I58:I63)),"")</f>
        <v/>
      </c>
      <c r="M58" s="9">
        <f>IFERROR(AVERAGE(I58:I63)+TINV(0.05,COUNT(I58:I63)-1)*STDEV(I58:I63)/SQRT(COUNT(I58:I63)),"")</f>
        <v/>
      </c>
    </row>
    <row r="59" ht="22" customHeight="1">
      <c r="A59" s="6" t="inlineStr">
        <is>
          <t>IMP-10</t>
        </is>
      </c>
      <c r="B59" s="6" t="n">
        <v>2</v>
      </c>
      <c r="C59" s="7" t="n"/>
      <c r="D59" s="7" t="n"/>
      <c r="E59" s="9">
        <f>IFERROR(C59-D59,"")</f>
        <v/>
      </c>
      <c r="F59" s="7" t="n"/>
      <c r="G59" s="7" t="n"/>
      <c r="H59" s="7" t="n"/>
      <c r="I59" s="9">
        <f>IFERROR(ROUND(H59*20/E59,2),"")</f>
        <v/>
      </c>
      <c r="J59" s="9">
        <f>IFERROR(ROUND(STDEV(F58:F63)/AVERAGE(F58:F63)*100,2),"")</f>
        <v/>
      </c>
      <c r="K59" s="9">
        <f>IFERROR(ROUND(STDEV(I58:I63)/AVERAGE(I58:I63)*100,2),"")</f>
        <v/>
      </c>
      <c r="L59" s="9">
        <f>IFERROR(AVERAGE(I58:I63)-TINV(0.05,COUNT(I58:I63)-1)*STDEV(I58:I63)/SQRT(COUNT(I58:I63)),"")</f>
        <v/>
      </c>
      <c r="M59" s="9">
        <f>IFERROR(AVERAGE(I58:I63)+TINV(0.05,COUNT(I58:I63)-1)*STDEV(I58:I63)/SQRT(COUNT(I58:I63)),"")</f>
        <v/>
      </c>
    </row>
    <row r="60" ht="22" customHeight="1">
      <c r="A60" s="6" t="inlineStr">
        <is>
          <t>IMP-10</t>
        </is>
      </c>
      <c r="B60" s="6" t="n">
        <v>3</v>
      </c>
      <c r="C60" s="7" t="n"/>
      <c r="D60" s="7" t="n"/>
      <c r="E60" s="9">
        <f>IFERROR(C60-D60,"")</f>
        <v/>
      </c>
      <c r="F60" s="7" t="n"/>
      <c r="G60" s="7" t="n"/>
      <c r="H60" s="7" t="n"/>
      <c r="I60" s="9">
        <f>IFERROR(ROUND(H60*20/E60,2),"")</f>
        <v/>
      </c>
      <c r="J60" s="9">
        <f>IFERROR(ROUND(STDEV(F58:F63)/AVERAGE(F58:F63)*100,2),"")</f>
        <v/>
      </c>
      <c r="K60" s="9">
        <f>IFERROR(ROUND(STDEV(I58:I63)/AVERAGE(I58:I63)*100,2),"")</f>
        <v/>
      </c>
      <c r="L60" s="9">
        <f>IFERROR(AVERAGE(I58:I63)-TINV(0.05,COUNT(I58:I63)-1)*STDEV(I58:I63)/SQRT(COUNT(I58:I63)),"")</f>
        <v/>
      </c>
      <c r="M60" s="9">
        <f>IFERROR(AVERAGE(I58:I63)+TINV(0.05,COUNT(I58:I63)-1)*STDEV(I58:I63)/SQRT(COUNT(I58:I63)),"")</f>
        <v/>
      </c>
    </row>
    <row r="61" ht="22" customHeight="1">
      <c r="A61" s="6" t="inlineStr">
        <is>
          <t>IMP-10</t>
        </is>
      </c>
      <c r="B61" s="6" t="n">
        <v>4</v>
      </c>
      <c r="C61" s="7" t="n"/>
      <c r="D61" s="7" t="n"/>
      <c r="E61" s="9">
        <f>IFERROR(C61-D61,"")</f>
        <v/>
      </c>
      <c r="F61" s="7" t="n"/>
      <c r="G61" s="7" t="n"/>
      <c r="H61" s="7" t="n"/>
      <c r="I61" s="9">
        <f>IFERROR(ROUND(H61*20/E61,2),"")</f>
        <v/>
      </c>
      <c r="J61" s="9">
        <f>IFERROR(ROUND(STDEV(F58:F63)/AVERAGE(F58:F63)*100,2),"")</f>
        <v/>
      </c>
      <c r="K61" s="9">
        <f>IFERROR(ROUND(STDEV(I58:I63)/AVERAGE(I58:I63)*100,2),"")</f>
        <v/>
      </c>
      <c r="L61" s="9">
        <f>IFERROR(AVERAGE(I58:I63)-TINV(0.05,COUNT(I58:I63)-1)*STDEV(I58:I63)/SQRT(COUNT(I58:I63)),"")</f>
        <v/>
      </c>
      <c r="M61" s="9">
        <f>IFERROR(AVERAGE(I58:I63)+TINV(0.05,COUNT(I58:I63)-1)*STDEV(I58:I63)/SQRT(COUNT(I58:I63)),"")</f>
        <v/>
      </c>
    </row>
    <row r="62" ht="22" customHeight="1">
      <c r="A62" s="6" t="inlineStr">
        <is>
          <t>IMP-10</t>
        </is>
      </c>
      <c r="B62" s="6" t="n">
        <v>5</v>
      </c>
      <c r="C62" s="7" t="n"/>
      <c r="D62" s="7" t="n"/>
      <c r="E62" s="9">
        <f>IFERROR(C62-D62,"")</f>
        <v/>
      </c>
      <c r="F62" s="7" t="n"/>
      <c r="G62" s="7" t="n"/>
      <c r="H62" s="7" t="n"/>
      <c r="I62" s="9">
        <f>IFERROR(ROUND(H62*20/E62,2),"")</f>
        <v/>
      </c>
      <c r="J62" s="9">
        <f>IFERROR(ROUND(STDEV(F58:F63)/AVERAGE(F58:F63)*100,2),"")</f>
        <v/>
      </c>
      <c r="K62" s="9">
        <f>IFERROR(ROUND(STDEV(I58:I63)/AVERAGE(I58:I63)*100,2),"")</f>
        <v/>
      </c>
      <c r="L62" s="9">
        <f>IFERROR(AVERAGE(I58:I63)-TINV(0.05,COUNT(I58:I63)-1)*STDEV(I58:I63)/SQRT(COUNT(I58:I63)),"")</f>
        <v/>
      </c>
      <c r="M62" s="9">
        <f>IFERROR(AVERAGE(I58:I63)+TINV(0.05,COUNT(I58:I63)-1)*STDEV(I58:I63)/SQRT(COUNT(I58:I63)),"")</f>
        <v/>
      </c>
    </row>
    <row r="63" ht="22" customHeight="1">
      <c r="A63" s="6" t="inlineStr">
        <is>
          <t>IMP-10</t>
        </is>
      </c>
      <c r="B63" s="6" t="n">
        <v>6</v>
      </c>
      <c r="C63" s="7" t="n"/>
      <c r="D63" s="7" t="n"/>
      <c r="E63" s="9">
        <f>IFERROR(C63-D63,"")</f>
        <v/>
      </c>
      <c r="F63" s="7" t="n"/>
      <c r="G63" s="7" t="n"/>
      <c r="H63" s="7" t="n"/>
      <c r="I63" s="9">
        <f>IFERROR(ROUND(H63*20/E63,2),"")</f>
        <v/>
      </c>
      <c r="J63" s="9">
        <f>IFERROR(ROUND(STDEV(F58:F63)/AVERAGE(F58:F63)*100,2),"")</f>
        <v/>
      </c>
      <c r="K63" s="9">
        <f>IFERROR(ROUND(STDEV(I58:I63)/AVERAGE(I58:I63)*100,2),"")</f>
        <v/>
      </c>
      <c r="L63" s="9">
        <f>IFERROR(AVERAGE(I58:I63)-TINV(0.05,COUNT(I58:I63)-1)*STDEV(I58:I63)/SQRT(COUNT(I58:I63)),"")</f>
        <v/>
      </c>
      <c r="M63" s="9">
        <f>IFERROR(AVERAGE(I58:I63)+TINV(0.05,COUNT(I58:I63)-1)*STDEV(I58:I63)/SQRT(COUNT(I58:I63)),"")</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M1"/>
  </mergeCells>
  <conditionalFormatting sqref="A4:A63">
    <cfRule type="expression" priority="1" dxfId="0">
      <formula>AND(A4&lt;&gt;"",COUNTIF($A$4:$A$63,A4)&gt;20)</formula>
    </cfRule>
  </conditionalFormatting>
  <dataValidations count="1">
    <dataValidation sqref="C4 D4 E4 F4 G4 H4 I4 C5 D5 E5 F5 G5 H5 I5 C6 D6 E6 F6 G6 H6 I6 C7 D7 E7 F7 G7 H7 I7 C8 D8 E8 F8 G8 H8 I8 C9 D9 E9 F9 G9 H9 I9 C10 D10 E10 F10 G10 H10 I10 C11 D11 E11 F11 G11 H11 I11 C12 D12 E12 F12 G12 H12 I12 C13 D13 E13 F13 G13 H13 I13 C14 D14 E14 F14 G14 H14 I14 C15 D15 E15 F15 G15 H15 I15 C16 D16 E16 F16 G16 H16 I16 C17 D17 E17 F17 G17 H17 I17 C18 D18 E18 F18 G18 H18 I18 C19 D19 E19 F19 G19 H19 I19 C20 D20 E20 F20 G20 H20 I20 C21 D21 E21 F21 G21 H21 I21 C22 D22 E22 F22 G22 H22 I22 C23 D23 E23 F23 G23 H23 I23 C24 D24 E24 F24 G24 H24 I24 C25 D25 E25 F25 G25 H25 I25 C26 D26 E26 F26 G26 H26 I26 C27 D27 E27 F27 G27 H27 I27 C28 D28 E28 F28 G28 H28 I28 C29 D29 E29 F29 G29 H29 I29 C30 D30 E30 F30 G30 H30 I30 C31 D31 E31 F31 G31 H31 I31 C32 D32 E32 F32 G32 H32 I32 C33 D33 E33 F33 G33 H33 I33 C34 D34 E34 F34 G34 H34 I34 C35 D35 E35 F35 G35 H35 I35 C36 D36 E36 F36 G36 H36 I36 C37 D37 E37 F37 G37 H37 I37 C38 D38 E38 F38 G38 H38 I38 C39 D39 E39 F39 G39 H39 I39 C40 D40 E40 F40 G40 H40 I40 C41 D41 E41 F41 G41 H41 I41 C42 D42 E42 F42 G42 H42 I42 C43 D43 E43 F43 G43 H43 I43 C44 D44 E44 F44 G44 H44 I44 C45 D45 E45 F45 G45 H45 I45 C46 D46 E46 F46 G46 H46 I46 C47 D47 E47 F47 G47 H47 I47 C48 D48 E48 F48 G48 H48 I48 C49 D49 E49 F49 G49 H49 I49 C50 D50 E50 F50 G50 H50 I50 C51 D51 E51 F51 G51 H51 I51 C52 D52 E52 F52 G52 H52 I52 C53 D53 E53 F53 G53 H53 I53 C54 D54 E54 F54 G54 H54 I54 C55 D55 E55 F55 G55 H55 I55 C56 D56 E56 F56 G56 H56 I56 C57 D57 E57 F57 G57 H57 I57 C58 D58 E58 F58 G58 H58 I58 C59 D59 E59 F59 G59 H59 I59 C60 D60 E60 F60 G60 H60 I60 C61 D61 E61 F61 G61 H61 I61 C62 D62 E62 F62 G62 H62 I62 C63 D63 E63 F63 G63 H63 I6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23"/>
  <sheetViews>
    <sheetView workbookViewId="0">
      <selection activeCell="A1" sqref="A1"/>
    </sheetView>
  </sheetViews>
  <sheetFormatPr baseColWidth="8" defaultRowHeight="15"/>
  <cols>
    <col width="14" customWidth="1" min="1" max="1"/>
    <col width="18" customWidth="1" min="2" max="2"/>
    <col width="10" customWidth="1" min="3" max="3"/>
    <col width="16" customWidth="1" min="4" max="4"/>
    <col width="15" customWidth="1" min="5" max="5"/>
    <col width="18" customWidth="1" min="6" max="6"/>
    <col width="20" customWidth="1" min="7" max="7"/>
    <col width="18" customWidth="1" min="8" max="8"/>
    <col width="23" customWidth="1" min="9" max="9"/>
    <col width="24" customWidth="1" min="10" max="10"/>
    <col width="21" customWidth="1" min="11" max="11"/>
    <col width="18" customWidth="1" min="12" max="12"/>
    <col width="21" customWidth="1" min="13" max="13"/>
    <col width="21" customWidth="1" min="14" max="14"/>
  </cols>
  <sheetData>
    <row r="1" ht="30" customHeight="1">
      <c r="A1" s="1" t="inlineStr">
        <is>
          <t>中间精密度结果</t>
        </is>
      </c>
    </row>
    <row r="2" ht="30" customHeight="1">
      <c r="A2" s="4" t="inlineStr">
        <is>
          <t>impurity_id</t>
        </is>
      </c>
      <c r="B2" s="4" t="inlineStr">
        <is>
          <t>operator_or_day</t>
        </is>
      </c>
      <c r="C2" s="4" t="inlineStr">
        <is>
          <t>sequence</t>
        </is>
      </c>
      <c r="D2" s="4" t="inlineStr">
        <is>
          <t>gross_weight</t>
        </is>
      </c>
      <c r="E2" s="4" t="inlineStr">
        <is>
          <t>tare_weight</t>
        </is>
      </c>
      <c r="F2" s="4" t="inlineStr">
        <is>
          <t>api_weight</t>
        </is>
      </c>
      <c r="G2" s="4" t="inlineStr">
        <is>
          <t>retention_time</t>
        </is>
      </c>
      <c r="H2" s="4" t="inlineStr">
        <is>
          <t>peak_area</t>
        </is>
      </c>
      <c r="I2" s="4" t="inlineStr">
        <is>
          <t>measured_concentration</t>
        </is>
      </c>
      <c r="J2" s="4" t="inlineStr">
        <is>
          <t>sample_content</t>
        </is>
      </c>
      <c r="K2" s="4" t="inlineStr">
        <is>
          <t>retention_time_rsd</t>
        </is>
      </c>
      <c r="L2" s="4" t="inlineStr">
        <is>
          <t>content_rsd</t>
        </is>
      </c>
      <c r="M2" s="4" t="inlineStr">
        <is>
          <t>content_ci_low</t>
        </is>
      </c>
      <c r="N2" s="4" t="inlineStr">
        <is>
          <t>content_ci_high</t>
        </is>
      </c>
    </row>
    <row r="3" ht="30" customHeight="1">
      <c r="A3" s="5" t="inlineStr">
        <is>
          <t>杂质编号</t>
        </is>
      </c>
      <c r="B3" s="5" t="inlineStr">
        <is>
          <t>人员/日期组</t>
        </is>
      </c>
      <c r="C3" s="5" t="inlineStr">
        <is>
          <t>No.</t>
        </is>
      </c>
      <c r="D3" s="5" t="inlineStr">
        <is>
          <t>毛重（mg）</t>
        </is>
      </c>
      <c r="E3" s="5" t="inlineStr">
        <is>
          <t>扣重（mg）</t>
        </is>
      </c>
      <c r="F3" s="5" t="inlineStr">
        <is>
          <t>API质量（mg）</t>
        </is>
      </c>
      <c r="G3" s="5" t="inlineStr">
        <is>
          <t>保留时间（min）</t>
        </is>
      </c>
      <c r="H3" s="5" t="inlineStr">
        <is>
          <t>峰面积</t>
        </is>
      </c>
      <c r="I3" s="5" t="inlineStr">
        <is>
          <t>测得浓度（ng/ml）</t>
        </is>
      </c>
      <c r="J3" s="5" t="inlineStr">
        <is>
          <t>相当于供试品中含量（ppm）</t>
        </is>
      </c>
      <c r="K3" s="5" t="inlineStr">
        <is>
          <t>保留时间RSD（%）</t>
        </is>
      </c>
      <c r="L3" s="5" t="inlineStr">
        <is>
          <t>含量RSD（%）</t>
        </is>
      </c>
      <c r="M3" s="5" t="inlineStr">
        <is>
          <t>含量95%置信下限</t>
        </is>
      </c>
      <c r="N3" s="5" t="inlineStr">
        <is>
          <t>含量95%置信上限</t>
        </is>
      </c>
    </row>
    <row r="4" ht="22" customHeight="1">
      <c r="A4" s="6" t="inlineStr">
        <is>
          <t>IMP-01</t>
        </is>
      </c>
      <c r="B4" s="6" t="inlineStr">
        <is>
          <t>A</t>
        </is>
      </c>
      <c r="C4" s="6" t="n">
        <v>1</v>
      </c>
      <c r="D4" s="7" t="n"/>
      <c r="E4" s="7" t="n"/>
      <c r="F4" s="9">
        <f>IFERROR(D4-E4,"")</f>
        <v/>
      </c>
      <c r="G4" s="7" t="n"/>
      <c r="H4" s="7" t="n"/>
      <c r="I4" s="7" t="n"/>
      <c r="J4" s="9">
        <f>IFERROR(ROUND(I4*20/F4,2),"")</f>
        <v/>
      </c>
      <c r="K4" s="9">
        <f>IFERROR(ROUND(STDEV(G4:G9)/AVERAGE(G4:G9)*100,2),"")</f>
        <v/>
      </c>
      <c r="L4" s="9">
        <f>IFERROR(ROUND(STDEV(J4:J9)/AVERAGE(J4:J9)*100,2),"")</f>
        <v/>
      </c>
      <c r="M4" s="9">
        <f>IFERROR(AVERAGE(J4:J9)-TINV(0.05,COUNT(J4:J9)-1)*STDEV(J4:J9)/SQRT(COUNT(J4:J9)),"")</f>
        <v/>
      </c>
      <c r="N4" s="9">
        <f>IFERROR(AVERAGE(J4:J9)+TINV(0.05,COUNT(J4:J9)-1)*STDEV(J4:J9)/SQRT(COUNT(J4:J9)),"")</f>
        <v/>
      </c>
    </row>
    <row r="5" ht="22" customHeight="1">
      <c r="A5" s="6" t="inlineStr">
        <is>
          <t>IMP-01</t>
        </is>
      </c>
      <c r="B5" s="6" t="inlineStr">
        <is>
          <t>A</t>
        </is>
      </c>
      <c r="C5" s="6" t="n">
        <v>2</v>
      </c>
      <c r="D5" s="7" t="n"/>
      <c r="E5" s="7" t="n"/>
      <c r="F5" s="9">
        <f>IFERROR(D5-E5,"")</f>
        <v/>
      </c>
      <c r="G5" s="7" t="n"/>
      <c r="H5" s="7" t="n"/>
      <c r="I5" s="7" t="n"/>
      <c r="J5" s="9">
        <f>IFERROR(ROUND(I5*20/F5,2),"")</f>
        <v/>
      </c>
      <c r="K5" s="9">
        <f>IFERROR(ROUND(STDEV(G4:G9)/AVERAGE(G4:G9)*100,2),"")</f>
        <v/>
      </c>
      <c r="L5" s="9">
        <f>IFERROR(ROUND(STDEV(J4:J9)/AVERAGE(J4:J9)*100,2),"")</f>
        <v/>
      </c>
      <c r="M5" s="9">
        <f>IFERROR(AVERAGE(J4:J9)-TINV(0.05,COUNT(J4:J9)-1)*STDEV(J4:J9)/SQRT(COUNT(J4:J9)),"")</f>
        <v/>
      </c>
      <c r="N5" s="9">
        <f>IFERROR(AVERAGE(J4:J9)+TINV(0.05,COUNT(J4:J9)-1)*STDEV(J4:J9)/SQRT(COUNT(J4:J9)),"")</f>
        <v/>
      </c>
    </row>
    <row r="6" ht="22" customHeight="1">
      <c r="A6" s="6" t="inlineStr">
        <is>
          <t>IMP-01</t>
        </is>
      </c>
      <c r="B6" s="6" t="inlineStr">
        <is>
          <t>A</t>
        </is>
      </c>
      <c r="C6" s="6" t="n">
        <v>3</v>
      </c>
      <c r="D6" s="7" t="n"/>
      <c r="E6" s="7" t="n"/>
      <c r="F6" s="9">
        <f>IFERROR(D6-E6,"")</f>
        <v/>
      </c>
      <c r="G6" s="7" t="n"/>
      <c r="H6" s="7" t="n"/>
      <c r="I6" s="7" t="n"/>
      <c r="J6" s="9">
        <f>IFERROR(ROUND(I6*20/F6,2),"")</f>
        <v/>
      </c>
      <c r="K6" s="9">
        <f>IFERROR(ROUND(STDEV(G4:G9)/AVERAGE(G4:G9)*100,2),"")</f>
        <v/>
      </c>
      <c r="L6" s="9">
        <f>IFERROR(ROUND(STDEV(J4:J9)/AVERAGE(J4:J9)*100,2),"")</f>
        <v/>
      </c>
      <c r="M6" s="9">
        <f>IFERROR(AVERAGE(J4:J9)-TINV(0.05,COUNT(J4:J9)-1)*STDEV(J4:J9)/SQRT(COUNT(J4:J9)),"")</f>
        <v/>
      </c>
      <c r="N6" s="9">
        <f>IFERROR(AVERAGE(J4:J9)+TINV(0.05,COUNT(J4:J9)-1)*STDEV(J4:J9)/SQRT(COUNT(J4:J9)),"")</f>
        <v/>
      </c>
    </row>
    <row r="7" ht="22" customHeight="1">
      <c r="A7" s="6" t="inlineStr">
        <is>
          <t>IMP-01</t>
        </is>
      </c>
      <c r="B7" s="6" t="inlineStr">
        <is>
          <t>A</t>
        </is>
      </c>
      <c r="C7" s="6" t="n">
        <v>4</v>
      </c>
      <c r="D7" s="7" t="n"/>
      <c r="E7" s="7" t="n"/>
      <c r="F7" s="9">
        <f>IFERROR(D7-E7,"")</f>
        <v/>
      </c>
      <c r="G7" s="7" t="n"/>
      <c r="H7" s="7" t="n"/>
      <c r="I7" s="7" t="n"/>
      <c r="J7" s="9">
        <f>IFERROR(ROUND(I7*20/F7,2),"")</f>
        <v/>
      </c>
      <c r="K7" s="9">
        <f>IFERROR(ROUND(STDEV(G4:G9)/AVERAGE(G4:G9)*100,2),"")</f>
        <v/>
      </c>
      <c r="L7" s="9">
        <f>IFERROR(ROUND(STDEV(J4:J9)/AVERAGE(J4:J9)*100,2),"")</f>
        <v/>
      </c>
      <c r="M7" s="9">
        <f>IFERROR(AVERAGE(J4:J9)-TINV(0.05,COUNT(J4:J9)-1)*STDEV(J4:J9)/SQRT(COUNT(J4:J9)),"")</f>
        <v/>
      </c>
      <c r="N7" s="9">
        <f>IFERROR(AVERAGE(J4:J9)+TINV(0.05,COUNT(J4:J9)-1)*STDEV(J4:J9)/SQRT(COUNT(J4:J9)),"")</f>
        <v/>
      </c>
    </row>
    <row r="8" ht="22" customHeight="1">
      <c r="A8" s="6" t="inlineStr">
        <is>
          <t>IMP-01</t>
        </is>
      </c>
      <c r="B8" s="6" t="inlineStr">
        <is>
          <t>A</t>
        </is>
      </c>
      <c r="C8" s="6" t="n">
        <v>5</v>
      </c>
      <c r="D8" s="7" t="n"/>
      <c r="E8" s="7" t="n"/>
      <c r="F8" s="9">
        <f>IFERROR(D8-E8,"")</f>
        <v/>
      </c>
      <c r="G8" s="7" t="n"/>
      <c r="H8" s="7" t="n"/>
      <c r="I8" s="7" t="n"/>
      <c r="J8" s="9">
        <f>IFERROR(ROUND(I8*20/F8,2),"")</f>
        <v/>
      </c>
      <c r="K8" s="9">
        <f>IFERROR(ROUND(STDEV(G4:G9)/AVERAGE(G4:G9)*100,2),"")</f>
        <v/>
      </c>
      <c r="L8" s="9">
        <f>IFERROR(ROUND(STDEV(J4:J9)/AVERAGE(J4:J9)*100,2),"")</f>
        <v/>
      </c>
      <c r="M8" s="9">
        <f>IFERROR(AVERAGE(J4:J9)-TINV(0.05,COUNT(J4:J9)-1)*STDEV(J4:J9)/SQRT(COUNT(J4:J9)),"")</f>
        <v/>
      </c>
      <c r="N8" s="9">
        <f>IFERROR(AVERAGE(J4:J9)+TINV(0.05,COUNT(J4:J9)-1)*STDEV(J4:J9)/SQRT(COUNT(J4:J9)),"")</f>
        <v/>
      </c>
    </row>
    <row r="9" ht="22" customHeight="1">
      <c r="A9" s="6" t="inlineStr">
        <is>
          <t>IMP-01</t>
        </is>
      </c>
      <c r="B9" s="6" t="inlineStr">
        <is>
          <t>A</t>
        </is>
      </c>
      <c r="C9" s="6" t="n">
        <v>6</v>
      </c>
      <c r="D9" s="7" t="n"/>
      <c r="E9" s="7" t="n"/>
      <c r="F9" s="9">
        <f>IFERROR(D9-E9,"")</f>
        <v/>
      </c>
      <c r="G9" s="7" t="n"/>
      <c r="H9" s="7" t="n"/>
      <c r="I9" s="7" t="n"/>
      <c r="J9" s="9">
        <f>IFERROR(ROUND(I9*20/F9,2),"")</f>
        <v/>
      </c>
      <c r="K9" s="9">
        <f>IFERROR(ROUND(STDEV(G4:G9)/AVERAGE(G4:G9)*100,2),"")</f>
        <v/>
      </c>
      <c r="L9" s="9">
        <f>IFERROR(ROUND(STDEV(J4:J9)/AVERAGE(J4:J9)*100,2),"")</f>
        <v/>
      </c>
      <c r="M9" s="9">
        <f>IFERROR(AVERAGE(J4:J9)-TINV(0.05,COUNT(J4:J9)-1)*STDEV(J4:J9)/SQRT(COUNT(J4:J9)),"")</f>
        <v/>
      </c>
      <c r="N9" s="9">
        <f>IFERROR(AVERAGE(J4:J9)+TINV(0.05,COUNT(J4:J9)-1)*STDEV(J4:J9)/SQRT(COUNT(J4:J9)),"")</f>
        <v/>
      </c>
    </row>
    <row r="10" ht="22" customHeight="1">
      <c r="A10" s="6" t="inlineStr">
        <is>
          <t>IMP-01</t>
        </is>
      </c>
      <c r="B10" s="6" t="inlineStr">
        <is>
          <t>B</t>
        </is>
      </c>
      <c r="C10" s="6" t="n">
        <v>1</v>
      </c>
      <c r="D10" s="7" t="n"/>
      <c r="E10" s="7" t="n"/>
      <c r="F10" s="9">
        <f>IFERROR(D10-E10,"")</f>
        <v/>
      </c>
      <c r="G10" s="7" t="n"/>
      <c r="H10" s="7" t="n"/>
      <c r="I10" s="7" t="n"/>
      <c r="J10" s="9">
        <f>IFERROR(ROUND(I10*20/F10,2),"")</f>
        <v/>
      </c>
      <c r="K10" s="9">
        <f>IFERROR(ROUND(STDEV(G10:G15)/AVERAGE(G10:G15)*100,2),"")</f>
        <v/>
      </c>
      <c r="L10" s="9">
        <f>IFERROR(ROUND(STDEV(J10:J15)/AVERAGE(J10:J15)*100,2),"")</f>
        <v/>
      </c>
      <c r="M10" s="9">
        <f>IFERROR(AVERAGE(J10:J15)-TINV(0.05,COUNT(J10:J15)-1)*STDEV(J10:J15)/SQRT(COUNT(J10:J15)),"")</f>
        <v/>
      </c>
      <c r="N10" s="9">
        <f>IFERROR(AVERAGE(J10:J15)+TINV(0.05,COUNT(J10:J15)-1)*STDEV(J10:J15)/SQRT(COUNT(J10:J15)),"")</f>
        <v/>
      </c>
    </row>
    <row r="11" ht="22" customHeight="1">
      <c r="A11" s="6" t="inlineStr">
        <is>
          <t>IMP-01</t>
        </is>
      </c>
      <c r="B11" s="6" t="inlineStr">
        <is>
          <t>B</t>
        </is>
      </c>
      <c r="C11" s="6" t="n">
        <v>2</v>
      </c>
      <c r="D11" s="7" t="n"/>
      <c r="E11" s="7" t="n"/>
      <c r="F11" s="9">
        <f>IFERROR(D11-E11,"")</f>
        <v/>
      </c>
      <c r="G11" s="7" t="n"/>
      <c r="H11" s="7" t="n"/>
      <c r="I11" s="7" t="n"/>
      <c r="J11" s="9">
        <f>IFERROR(ROUND(I11*20/F11,2),"")</f>
        <v/>
      </c>
      <c r="K11" s="9">
        <f>IFERROR(ROUND(STDEV(G10:G15)/AVERAGE(G10:G15)*100,2),"")</f>
        <v/>
      </c>
      <c r="L11" s="9">
        <f>IFERROR(ROUND(STDEV(J10:J15)/AVERAGE(J10:J15)*100,2),"")</f>
        <v/>
      </c>
      <c r="M11" s="9">
        <f>IFERROR(AVERAGE(J10:J15)-TINV(0.05,COUNT(J10:J15)-1)*STDEV(J10:J15)/SQRT(COUNT(J10:J15)),"")</f>
        <v/>
      </c>
      <c r="N11" s="9">
        <f>IFERROR(AVERAGE(J10:J15)+TINV(0.05,COUNT(J10:J15)-1)*STDEV(J10:J15)/SQRT(COUNT(J10:J15)),"")</f>
        <v/>
      </c>
    </row>
    <row r="12" ht="22" customHeight="1">
      <c r="A12" s="6" t="inlineStr">
        <is>
          <t>IMP-01</t>
        </is>
      </c>
      <c r="B12" s="6" t="inlineStr">
        <is>
          <t>B</t>
        </is>
      </c>
      <c r="C12" s="6" t="n">
        <v>3</v>
      </c>
      <c r="D12" s="7" t="n"/>
      <c r="E12" s="7" t="n"/>
      <c r="F12" s="9">
        <f>IFERROR(D12-E12,"")</f>
        <v/>
      </c>
      <c r="G12" s="7" t="n"/>
      <c r="H12" s="7" t="n"/>
      <c r="I12" s="7" t="n"/>
      <c r="J12" s="9">
        <f>IFERROR(ROUND(I12*20/F12,2),"")</f>
        <v/>
      </c>
      <c r="K12" s="9">
        <f>IFERROR(ROUND(STDEV(G10:G15)/AVERAGE(G10:G15)*100,2),"")</f>
        <v/>
      </c>
      <c r="L12" s="9">
        <f>IFERROR(ROUND(STDEV(J10:J15)/AVERAGE(J10:J15)*100,2),"")</f>
        <v/>
      </c>
      <c r="M12" s="9">
        <f>IFERROR(AVERAGE(J10:J15)-TINV(0.05,COUNT(J10:J15)-1)*STDEV(J10:J15)/SQRT(COUNT(J10:J15)),"")</f>
        <v/>
      </c>
      <c r="N12" s="9">
        <f>IFERROR(AVERAGE(J10:J15)+TINV(0.05,COUNT(J10:J15)-1)*STDEV(J10:J15)/SQRT(COUNT(J10:J15)),"")</f>
        <v/>
      </c>
    </row>
    <row r="13" ht="22" customHeight="1">
      <c r="A13" s="6" t="inlineStr">
        <is>
          <t>IMP-01</t>
        </is>
      </c>
      <c r="B13" s="6" t="inlineStr">
        <is>
          <t>B</t>
        </is>
      </c>
      <c r="C13" s="6" t="n">
        <v>4</v>
      </c>
      <c r="D13" s="7" t="n"/>
      <c r="E13" s="7" t="n"/>
      <c r="F13" s="9">
        <f>IFERROR(D13-E13,"")</f>
        <v/>
      </c>
      <c r="G13" s="7" t="n"/>
      <c r="H13" s="7" t="n"/>
      <c r="I13" s="7" t="n"/>
      <c r="J13" s="9">
        <f>IFERROR(ROUND(I13*20/F13,2),"")</f>
        <v/>
      </c>
      <c r="K13" s="9">
        <f>IFERROR(ROUND(STDEV(G10:G15)/AVERAGE(G10:G15)*100,2),"")</f>
        <v/>
      </c>
      <c r="L13" s="9">
        <f>IFERROR(ROUND(STDEV(J10:J15)/AVERAGE(J10:J15)*100,2),"")</f>
        <v/>
      </c>
      <c r="M13" s="9">
        <f>IFERROR(AVERAGE(J10:J15)-TINV(0.05,COUNT(J10:J15)-1)*STDEV(J10:J15)/SQRT(COUNT(J10:J15)),"")</f>
        <v/>
      </c>
      <c r="N13" s="9">
        <f>IFERROR(AVERAGE(J10:J15)+TINV(0.05,COUNT(J10:J15)-1)*STDEV(J10:J15)/SQRT(COUNT(J10:J15)),"")</f>
        <v/>
      </c>
    </row>
    <row r="14" ht="22" customHeight="1">
      <c r="A14" s="6" t="inlineStr">
        <is>
          <t>IMP-01</t>
        </is>
      </c>
      <c r="B14" s="6" t="inlineStr">
        <is>
          <t>B</t>
        </is>
      </c>
      <c r="C14" s="6" t="n">
        <v>5</v>
      </c>
      <c r="D14" s="7" t="n"/>
      <c r="E14" s="7" t="n"/>
      <c r="F14" s="9">
        <f>IFERROR(D14-E14,"")</f>
        <v/>
      </c>
      <c r="G14" s="7" t="n"/>
      <c r="H14" s="7" t="n"/>
      <c r="I14" s="7" t="n"/>
      <c r="J14" s="9">
        <f>IFERROR(ROUND(I14*20/F14,2),"")</f>
        <v/>
      </c>
      <c r="K14" s="9">
        <f>IFERROR(ROUND(STDEV(G10:G15)/AVERAGE(G10:G15)*100,2),"")</f>
        <v/>
      </c>
      <c r="L14" s="9">
        <f>IFERROR(ROUND(STDEV(J10:J15)/AVERAGE(J10:J15)*100,2),"")</f>
        <v/>
      </c>
      <c r="M14" s="9">
        <f>IFERROR(AVERAGE(J10:J15)-TINV(0.05,COUNT(J10:J15)-1)*STDEV(J10:J15)/SQRT(COUNT(J10:J15)),"")</f>
        <v/>
      </c>
      <c r="N14" s="9">
        <f>IFERROR(AVERAGE(J10:J15)+TINV(0.05,COUNT(J10:J15)-1)*STDEV(J10:J15)/SQRT(COUNT(J10:J15)),"")</f>
        <v/>
      </c>
    </row>
    <row r="15" ht="22" customHeight="1">
      <c r="A15" s="6" t="inlineStr">
        <is>
          <t>IMP-01</t>
        </is>
      </c>
      <c r="B15" s="6" t="inlineStr">
        <is>
          <t>B</t>
        </is>
      </c>
      <c r="C15" s="6" t="n">
        <v>6</v>
      </c>
      <c r="D15" s="7" t="n"/>
      <c r="E15" s="7" t="n"/>
      <c r="F15" s="9">
        <f>IFERROR(D15-E15,"")</f>
        <v/>
      </c>
      <c r="G15" s="7" t="n"/>
      <c r="H15" s="7" t="n"/>
      <c r="I15" s="7" t="n"/>
      <c r="J15" s="9">
        <f>IFERROR(ROUND(I15*20/F15,2),"")</f>
        <v/>
      </c>
      <c r="K15" s="9">
        <f>IFERROR(ROUND(STDEV(G10:G15)/AVERAGE(G10:G15)*100,2),"")</f>
        <v/>
      </c>
      <c r="L15" s="9">
        <f>IFERROR(ROUND(STDEV(J10:J15)/AVERAGE(J10:J15)*100,2),"")</f>
        <v/>
      </c>
      <c r="M15" s="9">
        <f>IFERROR(AVERAGE(J10:J15)-TINV(0.05,COUNT(J10:J15)-1)*STDEV(J10:J15)/SQRT(COUNT(J10:J15)),"")</f>
        <v/>
      </c>
      <c r="N15" s="9">
        <f>IFERROR(AVERAGE(J10:J15)+TINV(0.05,COUNT(J10:J15)-1)*STDEV(J10:J15)/SQRT(COUNT(J10:J15)),"")</f>
        <v/>
      </c>
    </row>
    <row r="16" ht="22" customHeight="1">
      <c r="A16" s="6" t="inlineStr">
        <is>
          <t>IMP-02</t>
        </is>
      </c>
      <c r="B16" s="6" t="inlineStr">
        <is>
          <t>A</t>
        </is>
      </c>
      <c r="C16" s="6" t="n">
        <v>1</v>
      </c>
      <c r="D16" s="7" t="n"/>
      <c r="E16" s="7" t="n"/>
      <c r="F16" s="9">
        <f>IFERROR(D16-E16,"")</f>
        <v/>
      </c>
      <c r="G16" s="7" t="n"/>
      <c r="H16" s="7" t="n"/>
      <c r="I16" s="7" t="n"/>
      <c r="J16" s="9">
        <f>IFERROR(ROUND(I16*20/F16,2),"")</f>
        <v/>
      </c>
      <c r="K16" s="9">
        <f>IFERROR(ROUND(STDEV(G16:G21)/AVERAGE(G16:G21)*100,2),"")</f>
        <v/>
      </c>
      <c r="L16" s="9">
        <f>IFERROR(ROUND(STDEV(J16:J21)/AVERAGE(J16:J21)*100,2),"")</f>
        <v/>
      </c>
      <c r="M16" s="9">
        <f>IFERROR(AVERAGE(J16:J21)-TINV(0.05,COUNT(J16:J21)-1)*STDEV(J16:J21)/SQRT(COUNT(J16:J21)),"")</f>
        <v/>
      </c>
      <c r="N16" s="9">
        <f>IFERROR(AVERAGE(J16:J21)+TINV(0.05,COUNT(J16:J21)-1)*STDEV(J16:J21)/SQRT(COUNT(J16:J21)),"")</f>
        <v/>
      </c>
    </row>
    <row r="17" ht="22" customHeight="1">
      <c r="A17" s="6" t="inlineStr">
        <is>
          <t>IMP-02</t>
        </is>
      </c>
      <c r="B17" s="6" t="inlineStr">
        <is>
          <t>A</t>
        </is>
      </c>
      <c r="C17" s="6" t="n">
        <v>2</v>
      </c>
      <c r="D17" s="7" t="n"/>
      <c r="E17" s="7" t="n"/>
      <c r="F17" s="9">
        <f>IFERROR(D17-E17,"")</f>
        <v/>
      </c>
      <c r="G17" s="7" t="n"/>
      <c r="H17" s="7" t="n"/>
      <c r="I17" s="7" t="n"/>
      <c r="J17" s="9">
        <f>IFERROR(ROUND(I17*20/F17,2),"")</f>
        <v/>
      </c>
      <c r="K17" s="9">
        <f>IFERROR(ROUND(STDEV(G16:G21)/AVERAGE(G16:G21)*100,2),"")</f>
        <v/>
      </c>
      <c r="L17" s="9">
        <f>IFERROR(ROUND(STDEV(J16:J21)/AVERAGE(J16:J21)*100,2),"")</f>
        <v/>
      </c>
      <c r="M17" s="9">
        <f>IFERROR(AVERAGE(J16:J21)-TINV(0.05,COUNT(J16:J21)-1)*STDEV(J16:J21)/SQRT(COUNT(J16:J21)),"")</f>
        <v/>
      </c>
      <c r="N17" s="9">
        <f>IFERROR(AVERAGE(J16:J21)+TINV(0.05,COUNT(J16:J21)-1)*STDEV(J16:J21)/SQRT(COUNT(J16:J21)),"")</f>
        <v/>
      </c>
    </row>
    <row r="18" ht="22" customHeight="1">
      <c r="A18" s="6" t="inlineStr">
        <is>
          <t>IMP-02</t>
        </is>
      </c>
      <c r="B18" s="6" t="inlineStr">
        <is>
          <t>A</t>
        </is>
      </c>
      <c r="C18" s="6" t="n">
        <v>3</v>
      </c>
      <c r="D18" s="7" t="n"/>
      <c r="E18" s="7" t="n"/>
      <c r="F18" s="9">
        <f>IFERROR(D18-E18,"")</f>
        <v/>
      </c>
      <c r="G18" s="7" t="n"/>
      <c r="H18" s="7" t="n"/>
      <c r="I18" s="7" t="n"/>
      <c r="J18" s="9">
        <f>IFERROR(ROUND(I18*20/F18,2),"")</f>
        <v/>
      </c>
      <c r="K18" s="9">
        <f>IFERROR(ROUND(STDEV(G16:G21)/AVERAGE(G16:G21)*100,2),"")</f>
        <v/>
      </c>
      <c r="L18" s="9">
        <f>IFERROR(ROUND(STDEV(J16:J21)/AVERAGE(J16:J21)*100,2),"")</f>
        <v/>
      </c>
      <c r="M18" s="9">
        <f>IFERROR(AVERAGE(J16:J21)-TINV(0.05,COUNT(J16:J21)-1)*STDEV(J16:J21)/SQRT(COUNT(J16:J21)),"")</f>
        <v/>
      </c>
      <c r="N18" s="9">
        <f>IFERROR(AVERAGE(J16:J21)+TINV(0.05,COUNT(J16:J21)-1)*STDEV(J16:J21)/SQRT(COUNT(J16:J21)),"")</f>
        <v/>
      </c>
    </row>
    <row r="19" ht="22" customHeight="1">
      <c r="A19" s="6" t="inlineStr">
        <is>
          <t>IMP-02</t>
        </is>
      </c>
      <c r="B19" s="6" t="inlineStr">
        <is>
          <t>A</t>
        </is>
      </c>
      <c r="C19" s="6" t="n">
        <v>4</v>
      </c>
      <c r="D19" s="7" t="n"/>
      <c r="E19" s="7" t="n"/>
      <c r="F19" s="9">
        <f>IFERROR(D19-E19,"")</f>
        <v/>
      </c>
      <c r="G19" s="7" t="n"/>
      <c r="H19" s="7" t="n"/>
      <c r="I19" s="7" t="n"/>
      <c r="J19" s="9">
        <f>IFERROR(ROUND(I19*20/F19,2),"")</f>
        <v/>
      </c>
      <c r="K19" s="9">
        <f>IFERROR(ROUND(STDEV(G16:G21)/AVERAGE(G16:G21)*100,2),"")</f>
        <v/>
      </c>
      <c r="L19" s="9">
        <f>IFERROR(ROUND(STDEV(J16:J21)/AVERAGE(J16:J21)*100,2),"")</f>
        <v/>
      </c>
      <c r="M19" s="9">
        <f>IFERROR(AVERAGE(J16:J21)-TINV(0.05,COUNT(J16:J21)-1)*STDEV(J16:J21)/SQRT(COUNT(J16:J21)),"")</f>
        <v/>
      </c>
      <c r="N19" s="9">
        <f>IFERROR(AVERAGE(J16:J21)+TINV(0.05,COUNT(J16:J21)-1)*STDEV(J16:J21)/SQRT(COUNT(J16:J21)),"")</f>
        <v/>
      </c>
    </row>
    <row r="20" ht="22" customHeight="1">
      <c r="A20" s="6" t="inlineStr">
        <is>
          <t>IMP-02</t>
        </is>
      </c>
      <c r="B20" s="6" t="inlineStr">
        <is>
          <t>A</t>
        </is>
      </c>
      <c r="C20" s="6" t="n">
        <v>5</v>
      </c>
      <c r="D20" s="7" t="n"/>
      <c r="E20" s="7" t="n"/>
      <c r="F20" s="9">
        <f>IFERROR(D20-E20,"")</f>
        <v/>
      </c>
      <c r="G20" s="7" t="n"/>
      <c r="H20" s="7" t="n"/>
      <c r="I20" s="7" t="n"/>
      <c r="J20" s="9">
        <f>IFERROR(ROUND(I20*20/F20,2),"")</f>
        <v/>
      </c>
      <c r="K20" s="9">
        <f>IFERROR(ROUND(STDEV(G16:G21)/AVERAGE(G16:G21)*100,2),"")</f>
        <v/>
      </c>
      <c r="L20" s="9">
        <f>IFERROR(ROUND(STDEV(J16:J21)/AVERAGE(J16:J21)*100,2),"")</f>
        <v/>
      </c>
      <c r="M20" s="9">
        <f>IFERROR(AVERAGE(J16:J21)-TINV(0.05,COUNT(J16:J21)-1)*STDEV(J16:J21)/SQRT(COUNT(J16:J21)),"")</f>
        <v/>
      </c>
      <c r="N20" s="9">
        <f>IFERROR(AVERAGE(J16:J21)+TINV(0.05,COUNT(J16:J21)-1)*STDEV(J16:J21)/SQRT(COUNT(J16:J21)),"")</f>
        <v/>
      </c>
    </row>
    <row r="21" ht="22" customHeight="1">
      <c r="A21" s="6" t="inlineStr">
        <is>
          <t>IMP-02</t>
        </is>
      </c>
      <c r="B21" s="6" t="inlineStr">
        <is>
          <t>A</t>
        </is>
      </c>
      <c r="C21" s="6" t="n">
        <v>6</v>
      </c>
      <c r="D21" s="7" t="n"/>
      <c r="E21" s="7" t="n"/>
      <c r="F21" s="9">
        <f>IFERROR(D21-E21,"")</f>
        <v/>
      </c>
      <c r="G21" s="7" t="n"/>
      <c r="H21" s="7" t="n"/>
      <c r="I21" s="7" t="n"/>
      <c r="J21" s="9">
        <f>IFERROR(ROUND(I21*20/F21,2),"")</f>
        <v/>
      </c>
      <c r="K21" s="9">
        <f>IFERROR(ROUND(STDEV(G16:G21)/AVERAGE(G16:G21)*100,2),"")</f>
        <v/>
      </c>
      <c r="L21" s="9">
        <f>IFERROR(ROUND(STDEV(J16:J21)/AVERAGE(J16:J21)*100,2),"")</f>
        <v/>
      </c>
      <c r="M21" s="9">
        <f>IFERROR(AVERAGE(J16:J21)-TINV(0.05,COUNT(J16:J21)-1)*STDEV(J16:J21)/SQRT(COUNT(J16:J21)),"")</f>
        <v/>
      </c>
      <c r="N21" s="9">
        <f>IFERROR(AVERAGE(J16:J21)+TINV(0.05,COUNT(J16:J21)-1)*STDEV(J16:J21)/SQRT(COUNT(J16:J21)),"")</f>
        <v/>
      </c>
    </row>
    <row r="22" ht="22" customHeight="1">
      <c r="A22" s="6" t="inlineStr">
        <is>
          <t>IMP-02</t>
        </is>
      </c>
      <c r="B22" s="6" t="inlineStr">
        <is>
          <t>B</t>
        </is>
      </c>
      <c r="C22" s="6" t="n">
        <v>1</v>
      </c>
      <c r="D22" s="7" t="n"/>
      <c r="E22" s="7" t="n"/>
      <c r="F22" s="9">
        <f>IFERROR(D22-E22,"")</f>
        <v/>
      </c>
      <c r="G22" s="7" t="n"/>
      <c r="H22" s="7" t="n"/>
      <c r="I22" s="7" t="n"/>
      <c r="J22" s="9">
        <f>IFERROR(ROUND(I22*20/F22,2),"")</f>
        <v/>
      </c>
      <c r="K22" s="9">
        <f>IFERROR(ROUND(STDEV(G22:G27)/AVERAGE(G22:G27)*100,2),"")</f>
        <v/>
      </c>
      <c r="L22" s="9">
        <f>IFERROR(ROUND(STDEV(J22:J27)/AVERAGE(J22:J27)*100,2),"")</f>
        <v/>
      </c>
      <c r="M22" s="9">
        <f>IFERROR(AVERAGE(J22:J27)-TINV(0.05,COUNT(J22:J27)-1)*STDEV(J22:J27)/SQRT(COUNT(J22:J27)),"")</f>
        <v/>
      </c>
      <c r="N22" s="9">
        <f>IFERROR(AVERAGE(J22:J27)+TINV(0.05,COUNT(J22:J27)-1)*STDEV(J22:J27)/SQRT(COUNT(J22:J27)),"")</f>
        <v/>
      </c>
    </row>
    <row r="23" ht="22" customHeight="1">
      <c r="A23" s="6" t="inlineStr">
        <is>
          <t>IMP-02</t>
        </is>
      </c>
      <c r="B23" s="6" t="inlineStr">
        <is>
          <t>B</t>
        </is>
      </c>
      <c r="C23" s="6" t="n">
        <v>2</v>
      </c>
      <c r="D23" s="7" t="n"/>
      <c r="E23" s="7" t="n"/>
      <c r="F23" s="9">
        <f>IFERROR(D23-E23,"")</f>
        <v/>
      </c>
      <c r="G23" s="7" t="n"/>
      <c r="H23" s="7" t="n"/>
      <c r="I23" s="7" t="n"/>
      <c r="J23" s="9">
        <f>IFERROR(ROUND(I23*20/F23,2),"")</f>
        <v/>
      </c>
      <c r="K23" s="9">
        <f>IFERROR(ROUND(STDEV(G22:G27)/AVERAGE(G22:G27)*100,2),"")</f>
        <v/>
      </c>
      <c r="L23" s="9">
        <f>IFERROR(ROUND(STDEV(J22:J27)/AVERAGE(J22:J27)*100,2),"")</f>
        <v/>
      </c>
      <c r="M23" s="9">
        <f>IFERROR(AVERAGE(J22:J27)-TINV(0.05,COUNT(J22:J27)-1)*STDEV(J22:J27)/SQRT(COUNT(J22:J27)),"")</f>
        <v/>
      </c>
      <c r="N23" s="9">
        <f>IFERROR(AVERAGE(J22:J27)+TINV(0.05,COUNT(J22:J27)-1)*STDEV(J22:J27)/SQRT(COUNT(J22:J27)),"")</f>
        <v/>
      </c>
    </row>
    <row r="24" ht="22" customHeight="1">
      <c r="A24" s="6" t="inlineStr">
        <is>
          <t>IMP-02</t>
        </is>
      </c>
      <c r="B24" s="6" t="inlineStr">
        <is>
          <t>B</t>
        </is>
      </c>
      <c r="C24" s="6" t="n">
        <v>3</v>
      </c>
      <c r="D24" s="7" t="n"/>
      <c r="E24" s="7" t="n"/>
      <c r="F24" s="9">
        <f>IFERROR(D24-E24,"")</f>
        <v/>
      </c>
      <c r="G24" s="7" t="n"/>
      <c r="H24" s="7" t="n"/>
      <c r="I24" s="7" t="n"/>
      <c r="J24" s="9">
        <f>IFERROR(ROUND(I24*20/F24,2),"")</f>
        <v/>
      </c>
      <c r="K24" s="9">
        <f>IFERROR(ROUND(STDEV(G22:G27)/AVERAGE(G22:G27)*100,2),"")</f>
        <v/>
      </c>
      <c r="L24" s="9">
        <f>IFERROR(ROUND(STDEV(J22:J27)/AVERAGE(J22:J27)*100,2),"")</f>
        <v/>
      </c>
      <c r="M24" s="9">
        <f>IFERROR(AVERAGE(J22:J27)-TINV(0.05,COUNT(J22:J27)-1)*STDEV(J22:J27)/SQRT(COUNT(J22:J27)),"")</f>
        <v/>
      </c>
      <c r="N24" s="9">
        <f>IFERROR(AVERAGE(J22:J27)+TINV(0.05,COUNT(J22:J27)-1)*STDEV(J22:J27)/SQRT(COUNT(J22:J27)),"")</f>
        <v/>
      </c>
    </row>
    <row r="25" ht="22" customHeight="1">
      <c r="A25" s="6" t="inlineStr">
        <is>
          <t>IMP-02</t>
        </is>
      </c>
      <c r="B25" s="6" t="inlineStr">
        <is>
          <t>B</t>
        </is>
      </c>
      <c r="C25" s="6" t="n">
        <v>4</v>
      </c>
      <c r="D25" s="7" t="n"/>
      <c r="E25" s="7" t="n"/>
      <c r="F25" s="9">
        <f>IFERROR(D25-E25,"")</f>
        <v/>
      </c>
      <c r="G25" s="7" t="n"/>
      <c r="H25" s="7" t="n"/>
      <c r="I25" s="7" t="n"/>
      <c r="J25" s="9">
        <f>IFERROR(ROUND(I25*20/F25,2),"")</f>
        <v/>
      </c>
      <c r="K25" s="9">
        <f>IFERROR(ROUND(STDEV(G22:G27)/AVERAGE(G22:G27)*100,2),"")</f>
        <v/>
      </c>
      <c r="L25" s="9">
        <f>IFERROR(ROUND(STDEV(J22:J27)/AVERAGE(J22:J27)*100,2),"")</f>
        <v/>
      </c>
      <c r="M25" s="9">
        <f>IFERROR(AVERAGE(J22:J27)-TINV(0.05,COUNT(J22:J27)-1)*STDEV(J22:J27)/SQRT(COUNT(J22:J27)),"")</f>
        <v/>
      </c>
      <c r="N25" s="9">
        <f>IFERROR(AVERAGE(J22:J27)+TINV(0.05,COUNT(J22:J27)-1)*STDEV(J22:J27)/SQRT(COUNT(J22:J27)),"")</f>
        <v/>
      </c>
    </row>
    <row r="26" ht="22" customHeight="1">
      <c r="A26" s="6" t="inlineStr">
        <is>
          <t>IMP-02</t>
        </is>
      </c>
      <c r="B26" s="6" t="inlineStr">
        <is>
          <t>B</t>
        </is>
      </c>
      <c r="C26" s="6" t="n">
        <v>5</v>
      </c>
      <c r="D26" s="7" t="n"/>
      <c r="E26" s="7" t="n"/>
      <c r="F26" s="9">
        <f>IFERROR(D26-E26,"")</f>
        <v/>
      </c>
      <c r="G26" s="7" t="n"/>
      <c r="H26" s="7" t="n"/>
      <c r="I26" s="7" t="n"/>
      <c r="J26" s="9">
        <f>IFERROR(ROUND(I26*20/F26,2),"")</f>
        <v/>
      </c>
      <c r="K26" s="9">
        <f>IFERROR(ROUND(STDEV(G22:G27)/AVERAGE(G22:G27)*100,2),"")</f>
        <v/>
      </c>
      <c r="L26" s="9">
        <f>IFERROR(ROUND(STDEV(J22:J27)/AVERAGE(J22:J27)*100,2),"")</f>
        <v/>
      </c>
      <c r="M26" s="9">
        <f>IFERROR(AVERAGE(J22:J27)-TINV(0.05,COUNT(J22:J27)-1)*STDEV(J22:J27)/SQRT(COUNT(J22:J27)),"")</f>
        <v/>
      </c>
      <c r="N26" s="9">
        <f>IFERROR(AVERAGE(J22:J27)+TINV(0.05,COUNT(J22:J27)-1)*STDEV(J22:J27)/SQRT(COUNT(J22:J27)),"")</f>
        <v/>
      </c>
    </row>
    <row r="27" ht="22" customHeight="1">
      <c r="A27" s="6" t="inlineStr">
        <is>
          <t>IMP-02</t>
        </is>
      </c>
      <c r="B27" s="6" t="inlineStr">
        <is>
          <t>B</t>
        </is>
      </c>
      <c r="C27" s="6" t="n">
        <v>6</v>
      </c>
      <c r="D27" s="7" t="n"/>
      <c r="E27" s="7" t="n"/>
      <c r="F27" s="9">
        <f>IFERROR(D27-E27,"")</f>
        <v/>
      </c>
      <c r="G27" s="7" t="n"/>
      <c r="H27" s="7" t="n"/>
      <c r="I27" s="7" t="n"/>
      <c r="J27" s="9">
        <f>IFERROR(ROUND(I27*20/F27,2),"")</f>
        <v/>
      </c>
      <c r="K27" s="9">
        <f>IFERROR(ROUND(STDEV(G22:G27)/AVERAGE(G22:G27)*100,2),"")</f>
        <v/>
      </c>
      <c r="L27" s="9">
        <f>IFERROR(ROUND(STDEV(J22:J27)/AVERAGE(J22:J27)*100,2),"")</f>
        <v/>
      </c>
      <c r="M27" s="9">
        <f>IFERROR(AVERAGE(J22:J27)-TINV(0.05,COUNT(J22:J27)-1)*STDEV(J22:J27)/SQRT(COUNT(J22:J27)),"")</f>
        <v/>
      </c>
      <c r="N27" s="9">
        <f>IFERROR(AVERAGE(J22:J27)+TINV(0.05,COUNT(J22:J27)-1)*STDEV(J22:J27)/SQRT(COUNT(J22:J27)),"")</f>
        <v/>
      </c>
    </row>
    <row r="28" ht="22" customHeight="1">
      <c r="A28" s="6" t="inlineStr">
        <is>
          <t>IMP-03</t>
        </is>
      </c>
      <c r="B28" s="6" t="inlineStr">
        <is>
          <t>A</t>
        </is>
      </c>
      <c r="C28" s="6" t="n">
        <v>1</v>
      </c>
      <c r="D28" s="7" t="n"/>
      <c r="E28" s="7" t="n"/>
      <c r="F28" s="9">
        <f>IFERROR(D28-E28,"")</f>
        <v/>
      </c>
      <c r="G28" s="7" t="n"/>
      <c r="H28" s="7" t="n"/>
      <c r="I28" s="7" t="n"/>
      <c r="J28" s="9">
        <f>IFERROR(ROUND(I28*20/F28,2),"")</f>
        <v/>
      </c>
      <c r="K28" s="9">
        <f>IFERROR(ROUND(STDEV(G28:G33)/AVERAGE(G28:G33)*100,2),"")</f>
        <v/>
      </c>
      <c r="L28" s="9">
        <f>IFERROR(ROUND(STDEV(J28:J33)/AVERAGE(J28:J33)*100,2),"")</f>
        <v/>
      </c>
      <c r="M28" s="9">
        <f>IFERROR(AVERAGE(J28:J33)-TINV(0.05,COUNT(J28:J33)-1)*STDEV(J28:J33)/SQRT(COUNT(J28:J33)),"")</f>
        <v/>
      </c>
      <c r="N28" s="9">
        <f>IFERROR(AVERAGE(J28:J33)+TINV(0.05,COUNT(J28:J33)-1)*STDEV(J28:J33)/SQRT(COUNT(J28:J33)),"")</f>
        <v/>
      </c>
    </row>
    <row r="29" ht="22" customHeight="1">
      <c r="A29" s="6" t="inlineStr">
        <is>
          <t>IMP-03</t>
        </is>
      </c>
      <c r="B29" s="6" t="inlineStr">
        <is>
          <t>A</t>
        </is>
      </c>
      <c r="C29" s="6" t="n">
        <v>2</v>
      </c>
      <c r="D29" s="7" t="n"/>
      <c r="E29" s="7" t="n"/>
      <c r="F29" s="9">
        <f>IFERROR(D29-E29,"")</f>
        <v/>
      </c>
      <c r="G29" s="7" t="n"/>
      <c r="H29" s="7" t="n"/>
      <c r="I29" s="7" t="n"/>
      <c r="J29" s="9">
        <f>IFERROR(ROUND(I29*20/F29,2),"")</f>
        <v/>
      </c>
      <c r="K29" s="9">
        <f>IFERROR(ROUND(STDEV(G28:G33)/AVERAGE(G28:G33)*100,2),"")</f>
        <v/>
      </c>
      <c r="L29" s="9">
        <f>IFERROR(ROUND(STDEV(J28:J33)/AVERAGE(J28:J33)*100,2),"")</f>
        <v/>
      </c>
      <c r="M29" s="9">
        <f>IFERROR(AVERAGE(J28:J33)-TINV(0.05,COUNT(J28:J33)-1)*STDEV(J28:J33)/SQRT(COUNT(J28:J33)),"")</f>
        <v/>
      </c>
      <c r="N29" s="9">
        <f>IFERROR(AVERAGE(J28:J33)+TINV(0.05,COUNT(J28:J33)-1)*STDEV(J28:J33)/SQRT(COUNT(J28:J33)),"")</f>
        <v/>
      </c>
    </row>
    <row r="30" ht="22" customHeight="1">
      <c r="A30" s="6" t="inlineStr">
        <is>
          <t>IMP-03</t>
        </is>
      </c>
      <c r="B30" s="6" t="inlineStr">
        <is>
          <t>A</t>
        </is>
      </c>
      <c r="C30" s="6" t="n">
        <v>3</v>
      </c>
      <c r="D30" s="7" t="n"/>
      <c r="E30" s="7" t="n"/>
      <c r="F30" s="9">
        <f>IFERROR(D30-E30,"")</f>
        <v/>
      </c>
      <c r="G30" s="7" t="n"/>
      <c r="H30" s="7" t="n"/>
      <c r="I30" s="7" t="n"/>
      <c r="J30" s="9">
        <f>IFERROR(ROUND(I30*20/F30,2),"")</f>
        <v/>
      </c>
      <c r="K30" s="9">
        <f>IFERROR(ROUND(STDEV(G28:G33)/AVERAGE(G28:G33)*100,2),"")</f>
        <v/>
      </c>
      <c r="L30" s="9">
        <f>IFERROR(ROUND(STDEV(J28:J33)/AVERAGE(J28:J33)*100,2),"")</f>
        <v/>
      </c>
      <c r="M30" s="9">
        <f>IFERROR(AVERAGE(J28:J33)-TINV(0.05,COUNT(J28:J33)-1)*STDEV(J28:J33)/SQRT(COUNT(J28:J33)),"")</f>
        <v/>
      </c>
      <c r="N30" s="9">
        <f>IFERROR(AVERAGE(J28:J33)+TINV(0.05,COUNT(J28:J33)-1)*STDEV(J28:J33)/SQRT(COUNT(J28:J33)),"")</f>
        <v/>
      </c>
    </row>
    <row r="31" ht="22" customHeight="1">
      <c r="A31" s="6" t="inlineStr">
        <is>
          <t>IMP-03</t>
        </is>
      </c>
      <c r="B31" s="6" t="inlineStr">
        <is>
          <t>A</t>
        </is>
      </c>
      <c r="C31" s="6" t="n">
        <v>4</v>
      </c>
      <c r="D31" s="7" t="n"/>
      <c r="E31" s="7" t="n"/>
      <c r="F31" s="9">
        <f>IFERROR(D31-E31,"")</f>
        <v/>
      </c>
      <c r="G31" s="7" t="n"/>
      <c r="H31" s="7" t="n"/>
      <c r="I31" s="7" t="n"/>
      <c r="J31" s="9">
        <f>IFERROR(ROUND(I31*20/F31,2),"")</f>
        <v/>
      </c>
      <c r="K31" s="9">
        <f>IFERROR(ROUND(STDEV(G28:G33)/AVERAGE(G28:G33)*100,2),"")</f>
        <v/>
      </c>
      <c r="L31" s="9">
        <f>IFERROR(ROUND(STDEV(J28:J33)/AVERAGE(J28:J33)*100,2),"")</f>
        <v/>
      </c>
      <c r="M31" s="9">
        <f>IFERROR(AVERAGE(J28:J33)-TINV(0.05,COUNT(J28:J33)-1)*STDEV(J28:J33)/SQRT(COUNT(J28:J33)),"")</f>
        <v/>
      </c>
      <c r="N31" s="9">
        <f>IFERROR(AVERAGE(J28:J33)+TINV(0.05,COUNT(J28:J33)-1)*STDEV(J28:J33)/SQRT(COUNT(J28:J33)),"")</f>
        <v/>
      </c>
    </row>
    <row r="32" ht="22" customHeight="1">
      <c r="A32" s="6" t="inlineStr">
        <is>
          <t>IMP-03</t>
        </is>
      </c>
      <c r="B32" s="6" t="inlineStr">
        <is>
          <t>A</t>
        </is>
      </c>
      <c r="C32" s="6" t="n">
        <v>5</v>
      </c>
      <c r="D32" s="7" t="n"/>
      <c r="E32" s="7" t="n"/>
      <c r="F32" s="9">
        <f>IFERROR(D32-E32,"")</f>
        <v/>
      </c>
      <c r="G32" s="7" t="n"/>
      <c r="H32" s="7" t="n"/>
      <c r="I32" s="7" t="n"/>
      <c r="J32" s="9">
        <f>IFERROR(ROUND(I32*20/F32,2),"")</f>
        <v/>
      </c>
      <c r="K32" s="9">
        <f>IFERROR(ROUND(STDEV(G28:G33)/AVERAGE(G28:G33)*100,2),"")</f>
        <v/>
      </c>
      <c r="L32" s="9">
        <f>IFERROR(ROUND(STDEV(J28:J33)/AVERAGE(J28:J33)*100,2),"")</f>
        <v/>
      </c>
      <c r="M32" s="9">
        <f>IFERROR(AVERAGE(J28:J33)-TINV(0.05,COUNT(J28:J33)-1)*STDEV(J28:J33)/SQRT(COUNT(J28:J33)),"")</f>
        <v/>
      </c>
      <c r="N32" s="9">
        <f>IFERROR(AVERAGE(J28:J33)+TINV(0.05,COUNT(J28:J33)-1)*STDEV(J28:J33)/SQRT(COUNT(J28:J33)),"")</f>
        <v/>
      </c>
    </row>
    <row r="33" ht="22" customHeight="1">
      <c r="A33" s="6" t="inlineStr">
        <is>
          <t>IMP-03</t>
        </is>
      </c>
      <c r="B33" s="6" t="inlineStr">
        <is>
          <t>A</t>
        </is>
      </c>
      <c r="C33" s="6" t="n">
        <v>6</v>
      </c>
      <c r="D33" s="7" t="n"/>
      <c r="E33" s="7" t="n"/>
      <c r="F33" s="9">
        <f>IFERROR(D33-E33,"")</f>
        <v/>
      </c>
      <c r="G33" s="7" t="n"/>
      <c r="H33" s="7" t="n"/>
      <c r="I33" s="7" t="n"/>
      <c r="J33" s="9">
        <f>IFERROR(ROUND(I33*20/F33,2),"")</f>
        <v/>
      </c>
      <c r="K33" s="9">
        <f>IFERROR(ROUND(STDEV(G28:G33)/AVERAGE(G28:G33)*100,2),"")</f>
        <v/>
      </c>
      <c r="L33" s="9">
        <f>IFERROR(ROUND(STDEV(J28:J33)/AVERAGE(J28:J33)*100,2),"")</f>
        <v/>
      </c>
      <c r="M33" s="9">
        <f>IFERROR(AVERAGE(J28:J33)-TINV(0.05,COUNT(J28:J33)-1)*STDEV(J28:J33)/SQRT(COUNT(J28:J33)),"")</f>
        <v/>
      </c>
      <c r="N33" s="9">
        <f>IFERROR(AVERAGE(J28:J33)+TINV(0.05,COUNT(J28:J33)-1)*STDEV(J28:J33)/SQRT(COUNT(J28:J33)),"")</f>
        <v/>
      </c>
    </row>
    <row r="34" ht="22" customHeight="1">
      <c r="A34" s="6" t="inlineStr">
        <is>
          <t>IMP-03</t>
        </is>
      </c>
      <c r="B34" s="6" t="inlineStr">
        <is>
          <t>B</t>
        </is>
      </c>
      <c r="C34" s="6" t="n">
        <v>1</v>
      </c>
      <c r="D34" s="7" t="n"/>
      <c r="E34" s="7" t="n"/>
      <c r="F34" s="9">
        <f>IFERROR(D34-E34,"")</f>
        <v/>
      </c>
      <c r="G34" s="7" t="n"/>
      <c r="H34" s="7" t="n"/>
      <c r="I34" s="7" t="n"/>
      <c r="J34" s="9">
        <f>IFERROR(ROUND(I34*20/F34,2),"")</f>
        <v/>
      </c>
      <c r="K34" s="9">
        <f>IFERROR(ROUND(STDEV(G34:G39)/AVERAGE(G34:G39)*100,2),"")</f>
        <v/>
      </c>
      <c r="L34" s="9">
        <f>IFERROR(ROUND(STDEV(J34:J39)/AVERAGE(J34:J39)*100,2),"")</f>
        <v/>
      </c>
      <c r="M34" s="9">
        <f>IFERROR(AVERAGE(J34:J39)-TINV(0.05,COUNT(J34:J39)-1)*STDEV(J34:J39)/SQRT(COUNT(J34:J39)),"")</f>
        <v/>
      </c>
      <c r="N34" s="9">
        <f>IFERROR(AVERAGE(J34:J39)+TINV(0.05,COUNT(J34:J39)-1)*STDEV(J34:J39)/SQRT(COUNT(J34:J39)),"")</f>
        <v/>
      </c>
    </row>
    <row r="35" ht="22" customHeight="1">
      <c r="A35" s="6" t="inlineStr">
        <is>
          <t>IMP-03</t>
        </is>
      </c>
      <c r="B35" s="6" t="inlineStr">
        <is>
          <t>B</t>
        </is>
      </c>
      <c r="C35" s="6" t="n">
        <v>2</v>
      </c>
      <c r="D35" s="7" t="n"/>
      <c r="E35" s="7" t="n"/>
      <c r="F35" s="9">
        <f>IFERROR(D35-E35,"")</f>
        <v/>
      </c>
      <c r="G35" s="7" t="n"/>
      <c r="H35" s="7" t="n"/>
      <c r="I35" s="7" t="n"/>
      <c r="J35" s="9">
        <f>IFERROR(ROUND(I35*20/F35,2),"")</f>
        <v/>
      </c>
      <c r="K35" s="9">
        <f>IFERROR(ROUND(STDEV(G34:G39)/AVERAGE(G34:G39)*100,2),"")</f>
        <v/>
      </c>
      <c r="L35" s="9">
        <f>IFERROR(ROUND(STDEV(J34:J39)/AVERAGE(J34:J39)*100,2),"")</f>
        <v/>
      </c>
      <c r="M35" s="9">
        <f>IFERROR(AVERAGE(J34:J39)-TINV(0.05,COUNT(J34:J39)-1)*STDEV(J34:J39)/SQRT(COUNT(J34:J39)),"")</f>
        <v/>
      </c>
      <c r="N35" s="9">
        <f>IFERROR(AVERAGE(J34:J39)+TINV(0.05,COUNT(J34:J39)-1)*STDEV(J34:J39)/SQRT(COUNT(J34:J39)),"")</f>
        <v/>
      </c>
    </row>
    <row r="36" ht="22" customHeight="1">
      <c r="A36" s="6" t="inlineStr">
        <is>
          <t>IMP-03</t>
        </is>
      </c>
      <c r="B36" s="6" t="inlineStr">
        <is>
          <t>B</t>
        </is>
      </c>
      <c r="C36" s="6" t="n">
        <v>3</v>
      </c>
      <c r="D36" s="7" t="n"/>
      <c r="E36" s="7" t="n"/>
      <c r="F36" s="9">
        <f>IFERROR(D36-E36,"")</f>
        <v/>
      </c>
      <c r="G36" s="7" t="n"/>
      <c r="H36" s="7" t="n"/>
      <c r="I36" s="7" t="n"/>
      <c r="J36" s="9">
        <f>IFERROR(ROUND(I36*20/F36,2),"")</f>
        <v/>
      </c>
      <c r="K36" s="9">
        <f>IFERROR(ROUND(STDEV(G34:G39)/AVERAGE(G34:G39)*100,2),"")</f>
        <v/>
      </c>
      <c r="L36" s="9">
        <f>IFERROR(ROUND(STDEV(J34:J39)/AVERAGE(J34:J39)*100,2),"")</f>
        <v/>
      </c>
      <c r="M36" s="9">
        <f>IFERROR(AVERAGE(J34:J39)-TINV(0.05,COUNT(J34:J39)-1)*STDEV(J34:J39)/SQRT(COUNT(J34:J39)),"")</f>
        <v/>
      </c>
      <c r="N36" s="9">
        <f>IFERROR(AVERAGE(J34:J39)+TINV(0.05,COUNT(J34:J39)-1)*STDEV(J34:J39)/SQRT(COUNT(J34:J39)),"")</f>
        <v/>
      </c>
    </row>
    <row r="37" ht="22" customHeight="1">
      <c r="A37" s="6" t="inlineStr">
        <is>
          <t>IMP-03</t>
        </is>
      </c>
      <c r="B37" s="6" t="inlineStr">
        <is>
          <t>B</t>
        </is>
      </c>
      <c r="C37" s="6" t="n">
        <v>4</v>
      </c>
      <c r="D37" s="7" t="n"/>
      <c r="E37" s="7" t="n"/>
      <c r="F37" s="9">
        <f>IFERROR(D37-E37,"")</f>
        <v/>
      </c>
      <c r="G37" s="7" t="n"/>
      <c r="H37" s="7" t="n"/>
      <c r="I37" s="7" t="n"/>
      <c r="J37" s="9">
        <f>IFERROR(ROUND(I37*20/F37,2),"")</f>
        <v/>
      </c>
      <c r="K37" s="9">
        <f>IFERROR(ROUND(STDEV(G34:G39)/AVERAGE(G34:G39)*100,2),"")</f>
        <v/>
      </c>
      <c r="L37" s="9">
        <f>IFERROR(ROUND(STDEV(J34:J39)/AVERAGE(J34:J39)*100,2),"")</f>
        <v/>
      </c>
      <c r="M37" s="9">
        <f>IFERROR(AVERAGE(J34:J39)-TINV(0.05,COUNT(J34:J39)-1)*STDEV(J34:J39)/SQRT(COUNT(J34:J39)),"")</f>
        <v/>
      </c>
      <c r="N37" s="9">
        <f>IFERROR(AVERAGE(J34:J39)+TINV(0.05,COUNT(J34:J39)-1)*STDEV(J34:J39)/SQRT(COUNT(J34:J39)),"")</f>
        <v/>
      </c>
    </row>
    <row r="38" ht="22" customHeight="1">
      <c r="A38" s="6" t="inlineStr">
        <is>
          <t>IMP-03</t>
        </is>
      </c>
      <c r="B38" s="6" t="inlineStr">
        <is>
          <t>B</t>
        </is>
      </c>
      <c r="C38" s="6" t="n">
        <v>5</v>
      </c>
      <c r="D38" s="7" t="n"/>
      <c r="E38" s="7" t="n"/>
      <c r="F38" s="9">
        <f>IFERROR(D38-E38,"")</f>
        <v/>
      </c>
      <c r="G38" s="7" t="n"/>
      <c r="H38" s="7" t="n"/>
      <c r="I38" s="7" t="n"/>
      <c r="J38" s="9">
        <f>IFERROR(ROUND(I38*20/F38,2),"")</f>
        <v/>
      </c>
      <c r="K38" s="9">
        <f>IFERROR(ROUND(STDEV(G34:G39)/AVERAGE(G34:G39)*100,2),"")</f>
        <v/>
      </c>
      <c r="L38" s="9">
        <f>IFERROR(ROUND(STDEV(J34:J39)/AVERAGE(J34:J39)*100,2),"")</f>
        <v/>
      </c>
      <c r="M38" s="9">
        <f>IFERROR(AVERAGE(J34:J39)-TINV(0.05,COUNT(J34:J39)-1)*STDEV(J34:J39)/SQRT(COUNT(J34:J39)),"")</f>
        <v/>
      </c>
      <c r="N38" s="9">
        <f>IFERROR(AVERAGE(J34:J39)+TINV(0.05,COUNT(J34:J39)-1)*STDEV(J34:J39)/SQRT(COUNT(J34:J39)),"")</f>
        <v/>
      </c>
    </row>
    <row r="39" ht="22" customHeight="1">
      <c r="A39" s="6" t="inlineStr">
        <is>
          <t>IMP-03</t>
        </is>
      </c>
      <c r="B39" s="6" t="inlineStr">
        <is>
          <t>B</t>
        </is>
      </c>
      <c r="C39" s="6" t="n">
        <v>6</v>
      </c>
      <c r="D39" s="7" t="n"/>
      <c r="E39" s="7" t="n"/>
      <c r="F39" s="9">
        <f>IFERROR(D39-E39,"")</f>
        <v/>
      </c>
      <c r="G39" s="7" t="n"/>
      <c r="H39" s="7" t="n"/>
      <c r="I39" s="7" t="n"/>
      <c r="J39" s="9">
        <f>IFERROR(ROUND(I39*20/F39,2),"")</f>
        <v/>
      </c>
      <c r="K39" s="9">
        <f>IFERROR(ROUND(STDEV(G34:G39)/AVERAGE(G34:G39)*100,2),"")</f>
        <v/>
      </c>
      <c r="L39" s="9">
        <f>IFERROR(ROUND(STDEV(J34:J39)/AVERAGE(J34:J39)*100,2),"")</f>
        <v/>
      </c>
      <c r="M39" s="9">
        <f>IFERROR(AVERAGE(J34:J39)-TINV(0.05,COUNT(J34:J39)-1)*STDEV(J34:J39)/SQRT(COUNT(J34:J39)),"")</f>
        <v/>
      </c>
      <c r="N39" s="9">
        <f>IFERROR(AVERAGE(J34:J39)+TINV(0.05,COUNT(J34:J39)-1)*STDEV(J34:J39)/SQRT(COUNT(J34:J39)),"")</f>
        <v/>
      </c>
    </row>
    <row r="40" ht="22" customHeight="1">
      <c r="A40" s="6" t="inlineStr">
        <is>
          <t>IMP-04</t>
        </is>
      </c>
      <c r="B40" s="6" t="inlineStr">
        <is>
          <t>A</t>
        </is>
      </c>
      <c r="C40" s="6" t="n">
        <v>1</v>
      </c>
      <c r="D40" s="7" t="n"/>
      <c r="E40" s="7" t="n"/>
      <c r="F40" s="9">
        <f>IFERROR(D40-E40,"")</f>
        <v/>
      </c>
      <c r="G40" s="7" t="n"/>
      <c r="H40" s="7" t="n"/>
      <c r="I40" s="7" t="n"/>
      <c r="J40" s="9">
        <f>IFERROR(ROUND(I40*20/F40,2),"")</f>
        <v/>
      </c>
      <c r="K40" s="9">
        <f>IFERROR(ROUND(STDEV(G40:G45)/AVERAGE(G40:G45)*100,2),"")</f>
        <v/>
      </c>
      <c r="L40" s="9">
        <f>IFERROR(ROUND(STDEV(J40:J45)/AVERAGE(J40:J45)*100,2),"")</f>
        <v/>
      </c>
      <c r="M40" s="9">
        <f>IFERROR(AVERAGE(J40:J45)-TINV(0.05,COUNT(J40:J45)-1)*STDEV(J40:J45)/SQRT(COUNT(J40:J45)),"")</f>
        <v/>
      </c>
      <c r="N40" s="9">
        <f>IFERROR(AVERAGE(J40:J45)+TINV(0.05,COUNT(J40:J45)-1)*STDEV(J40:J45)/SQRT(COUNT(J40:J45)),"")</f>
        <v/>
      </c>
    </row>
    <row r="41" ht="22" customHeight="1">
      <c r="A41" s="6" t="inlineStr">
        <is>
          <t>IMP-04</t>
        </is>
      </c>
      <c r="B41" s="6" t="inlineStr">
        <is>
          <t>A</t>
        </is>
      </c>
      <c r="C41" s="6" t="n">
        <v>2</v>
      </c>
      <c r="D41" s="7" t="n"/>
      <c r="E41" s="7" t="n"/>
      <c r="F41" s="9">
        <f>IFERROR(D41-E41,"")</f>
        <v/>
      </c>
      <c r="G41" s="7" t="n"/>
      <c r="H41" s="7" t="n"/>
      <c r="I41" s="7" t="n"/>
      <c r="J41" s="9">
        <f>IFERROR(ROUND(I41*20/F41,2),"")</f>
        <v/>
      </c>
      <c r="K41" s="9">
        <f>IFERROR(ROUND(STDEV(G40:G45)/AVERAGE(G40:G45)*100,2),"")</f>
        <v/>
      </c>
      <c r="L41" s="9">
        <f>IFERROR(ROUND(STDEV(J40:J45)/AVERAGE(J40:J45)*100,2),"")</f>
        <v/>
      </c>
      <c r="M41" s="9">
        <f>IFERROR(AVERAGE(J40:J45)-TINV(0.05,COUNT(J40:J45)-1)*STDEV(J40:J45)/SQRT(COUNT(J40:J45)),"")</f>
        <v/>
      </c>
      <c r="N41" s="9">
        <f>IFERROR(AVERAGE(J40:J45)+TINV(0.05,COUNT(J40:J45)-1)*STDEV(J40:J45)/SQRT(COUNT(J40:J45)),"")</f>
        <v/>
      </c>
    </row>
    <row r="42" ht="22" customHeight="1">
      <c r="A42" s="6" t="inlineStr">
        <is>
          <t>IMP-04</t>
        </is>
      </c>
      <c r="B42" s="6" t="inlineStr">
        <is>
          <t>A</t>
        </is>
      </c>
      <c r="C42" s="6" t="n">
        <v>3</v>
      </c>
      <c r="D42" s="7" t="n"/>
      <c r="E42" s="7" t="n"/>
      <c r="F42" s="9">
        <f>IFERROR(D42-E42,"")</f>
        <v/>
      </c>
      <c r="G42" s="7" t="n"/>
      <c r="H42" s="7" t="n"/>
      <c r="I42" s="7" t="n"/>
      <c r="J42" s="9">
        <f>IFERROR(ROUND(I42*20/F42,2),"")</f>
        <v/>
      </c>
      <c r="K42" s="9">
        <f>IFERROR(ROUND(STDEV(G40:G45)/AVERAGE(G40:G45)*100,2),"")</f>
        <v/>
      </c>
      <c r="L42" s="9">
        <f>IFERROR(ROUND(STDEV(J40:J45)/AVERAGE(J40:J45)*100,2),"")</f>
        <v/>
      </c>
      <c r="M42" s="9">
        <f>IFERROR(AVERAGE(J40:J45)-TINV(0.05,COUNT(J40:J45)-1)*STDEV(J40:J45)/SQRT(COUNT(J40:J45)),"")</f>
        <v/>
      </c>
      <c r="N42" s="9">
        <f>IFERROR(AVERAGE(J40:J45)+TINV(0.05,COUNT(J40:J45)-1)*STDEV(J40:J45)/SQRT(COUNT(J40:J45)),"")</f>
        <v/>
      </c>
    </row>
    <row r="43" ht="22" customHeight="1">
      <c r="A43" s="6" t="inlineStr">
        <is>
          <t>IMP-04</t>
        </is>
      </c>
      <c r="B43" s="6" t="inlineStr">
        <is>
          <t>A</t>
        </is>
      </c>
      <c r="C43" s="6" t="n">
        <v>4</v>
      </c>
      <c r="D43" s="7" t="n"/>
      <c r="E43" s="7" t="n"/>
      <c r="F43" s="9">
        <f>IFERROR(D43-E43,"")</f>
        <v/>
      </c>
      <c r="G43" s="7" t="n"/>
      <c r="H43" s="7" t="n"/>
      <c r="I43" s="7" t="n"/>
      <c r="J43" s="9">
        <f>IFERROR(ROUND(I43*20/F43,2),"")</f>
        <v/>
      </c>
      <c r="K43" s="9">
        <f>IFERROR(ROUND(STDEV(G40:G45)/AVERAGE(G40:G45)*100,2),"")</f>
        <v/>
      </c>
      <c r="L43" s="9">
        <f>IFERROR(ROUND(STDEV(J40:J45)/AVERAGE(J40:J45)*100,2),"")</f>
        <v/>
      </c>
      <c r="M43" s="9">
        <f>IFERROR(AVERAGE(J40:J45)-TINV(0.05,COUNT(J40:J45)-1)*STDEV(J40:J45)/SQRT(COUNT(J40:J45)),"")</f>
        <v/>
      </c>
      <c r="N43" s="9">
        <f>IFERROR(AVERAGE(J40:J45)+TINV(0.05,COUNT(J40:J45)-1)*STDEV(J40:J45)/SQRT(COUNT(J40:J45)),"")</f>
        <v/>
      </c>
    </row>
    <row r="44" ht="22" customHeight="1">
      <c r="A44" s="6" t="inlineStr">
        <is>
          <t>IMP-04</t>
        </is>
      </c>
      <c r="B44" s="6" t="inlineStr">
        <is>
          <t>A</t>
        </is>
      </c>
      <c r="C44" s="6" t="n">
        <v>5</v>
      </c>
      <c r="D44" s="7" t="n"/>
      <c r="E44" s="7" t="n"/>
      <c r="F44" s="9">
        <f>IFERROR(D44-E44,"")</f>
        <v/>
      </c>
      <c r="G44" s="7" t="n"/>
      <c r="H44" s="7" t="n"/>
      <c r="I44" s="7" t="n"/>
      <c r="J44" s="9">
        <f>IFERROR(ROUND(I44*20/F44,2),"")</f>
        <v/>
      </c>
      <c r="K44" s="9">
        <f>IFERROR(ROUND(STDEV(G40:G45)/AVERAGE(G40:G45)*100,2),"")</f>
        <v/>
      </c>
      <c r="L44" s="9">
        <f>IFERROR(ROUND(STDEV(J40:J45)/AVERAGE(J40:J45)*100,2),"")</f>
        <v/>
      </c>
      <c r="M44" s="9">
        <f>IFERROR(AVERAGE(J40:J45)-TINV(0.05,COUNT(J40:J45)-1)*STDEV(J40:J45)/SQRT(COUNT(J40:J45)),"")</f>
        <v/>
      </c>
      <c r="N44" s="9">
        <f>IFERROR(AVERAGE(J40:J45)+TINV(0.05,COUNT(J40:J45)-1)*STDEV(J40:J45)/SQRT(COUNT(J40:J45)),"")</f>
        <v/>
      </c>
    </row>
    <row r="45" ht="22" customHeight="1">
      <c r="A45" s="6" t="inlineStr">
        <is>
          <t>IMP-04</t>
        </is>
      </c>
      <c r="B45" s="6" t="inlineStr">
        <is>
          <t>A</t>
        </is>
      </c>
      <c r="C45" s="6" t="n">
        <v>6</v>
      </c>
      <c r="D45" s="7" t="n"/>
      <c r="E45" s="7" t="n"/>
      <c r="F45" s="9">
        <f>IFERROR(D45-E45,"")</f>
        <v/>
      </c>
      <c r="G45" s="7" t="n"/>
      <c r="H45" s="7" t="n"/>
      <c r="I45" s="7" t="n"/>
      <c r="J45" s="9">
        <f>IFERROR(ROUND(I45*20/F45,2),"")</f>
        <v/>
      </c>
      <c r="K45" s="9">
        <f>IFERROR(ROUND(STDEV(G40:G45)/AVERAGE(G40:G45)*100,2),"")</f>
        <v/>
      </c>
      <c r="L45" s="9">
        <f>IFERROR(ROUND(STDEV(J40:J45)/AVERAGE(J40:J45)*100,2),"")</f>
        <v/>
      </c>
      <c r="M45" s="9">
        <f>IFERROR(AVERAGE(J40:J45)-TINV(0.05,COUNT(J40:J45)-1)*STDEV(J40:J45)/SQRT(COUNT(J40:J45)),"")</f>
        <v/>
      </c>
      <c r="N45" s="9">
        <f>IFERROR(AVERAGE(J40:J45)+TINV(0.05,COUNT(J40:J45)-1)*STDEV(J40:J45)/SQRT(COUNT(J40:J45)),"")</f>
        <v/>
      </c>
    </row>
    <row r="46" ht="22" customHeight="1">
      <c r="A46" s="6" t="inlineStr">
        <is>
          <t>IMP-04</t>
        </is>
      </c>
      <c r="B46" s="6" t="inlineStr">
        <is>
          <t>B</t>
        </is>
      </c>
      <c r="C46" s="6" t="n">
        <v>1</v>
      </c>
      <c r="D46" s="7" t="n"/>
      <c r="E46" s="7" t="n"/>
      <c r="F46" s="9">
        <f>IFERROR(D46-E46,"")</f>
        <v/>
      </c>
      <c r="G46" s="7" t="n"/>
      <c r="H46" s="7" t="n"/>
      <c r="I46" s="7" t="n"/>
      <c r="J46" s="9">
        <f>IFERROR(ROUND(I46*20/F46,2),"")</f>
        <v/>
      </c>
      <c r="K46" s="9">
        <f>IFERROR(ROUND(STDEV(G46:G51)/AVERAGE(G46:G51)*100,2),"")</f>
        <v/>
      </c>
      <c r="L46" s="9">
        <f>IFERROR(ROUND(STDEV(J46:J51)/AVERAGE(J46:J51)*100,2),"")</f>
        <v/>
      </c>
      <c r="M46" s="9">
        <f>IFERROR(AVERAGE(J46:J51)-TINV(0.05,COUNT(J46:J51)-1)*STDEV(J46:J51)/SQRT(COUNT(J46:J51)),"")</f>
        <v/>
      </c>
      <c r="N46" s="9">
        <f>IFERROR(AVERAGE(J46:J51)+TINV(0.05,COUNT(J46:J51)-1)*STDEV(J46:J51)/SQRT(COUNT(J46:J51)),"")</f>
        <v/>
      </c>
    </row>
    <row r="47" ht="22" customHeight="1">
      <c r="A47" s="6" t="inlineStr">
        <is>
          <t>IMP-04</t>
        </is>
      </c>
      <c r="B47" s="6" t="inlineStr">
        <is>
          <t>B</t>
        </is>
      </c>
      <c r="C47" s="6" t="n">
        <v>2</v>
      </c>
      <c r="D47" s="7" t="n"/>
      <c r="E47" s="7" t="n"/>
      <c r="F47" s="9">
        <f>IFERROR(D47-E47,"")</f>
        <v/>
      </c>
      <c r="G47" s="7" t="n"/>
      <c r="H47" s="7" t="n"/>
      <c r="I47" s="7" t="n"/>
      <c r="J47" s="9">
        <f>IFERROR(ROUND(I47*20/F47,2),"")</f>
        <v/>
      </c>
      <c r="K47" s="9">
        <f>IFERROR(ROUND(STDEV(G46:G51)/AVERAGE(G46:G51)*100,2),"")</f>
        <v/>
      </c>
      <c r="L47" s="9">
        <f>IFERROR(ROUND(STDEV(J46:J51)/AVERAGE(J46:J51)*100,2),"")</f>
        <v/>
      </c>
      <c r="M47" s="9">
        <f>IFERROR(AVERAGE(J46:J51)-TINV(0.05,COUNT(J46:J51)-1)*STDEV(J46:J51)/SQRT(COUNT(J46:J51)),"")</f>
        <v/>
      </c>
      <c r="N47" s="9">
        <f>IFERROR(AVERAGE(J46:J51)+TINV(0.05,COUNT(J46:J51)-1)*STDEV(J46:J51)/SQRT(COUNT(J46:J51)),"")</f>
        <v/>
      </c>
    </row>
    <row r="48" ht="22" customHeight="1">
      <c r="A48" s="6" t="inlineStr">
        <is>
          <t>IMP-04</t>
        </is>
      </c>
      <c r="B48" s="6" t="inlineStr">
        <is>
          <t>B</t>
        </is>
      </c>
      <c r="C48" s="6" t="n">
        <v>3</v>
      </c>
      <c r="D48" s="7" t="n"/>
      <c r="E48" s="7" t="n"/>
      <c r="F48" s="9">
        <f>IFERROR(D48-E48,"")</f>
        <v/>
      </c>
      <c r="G48" s="7" t="n"/>
      <c r="H48" s="7" t="n"/>
      <c r="I48" s="7" t="n"/>
      <c r="J48" s="9">
        <f>IFERROR(ROUND(I48*20/F48,2),"")</f>
        <v/>
      </c>
      <c r="K48" s="9">
        <f>IFERROR(ROUND(STDEV(G46:G51)/AVERAGE(G46:G51)*100,2),"")</f>
        <v/>
      </c>
      <c r="L48" s="9">
        <f>IFERROR(ROUND(STDEV(J46:J51)/AVERAGE(J46:J51)*100,2),"")</f>
        <v/>
      </c>
      <c r="M48" s="9">
        <f>IFERROR(AVERAGE(J46:J51)-TINV(0.05,COUNT(J46:J51)-1)*STDEV(J46:J51)/SQRT(COUNT(J46:J51)),"")</f>
        <v/>
      </c>
      <c r="N48" s="9">
        <f>IFERROR(AVERAGE(J46:J51)+TINV(0.05,COUNT(J46:J51)-1)*STDEV(J46:J51)/SQRT(COUNT(J46:J51)),"")</f>
        <v/>
      </c>
    </row>
    <row r="49" ht="22" customHeight="1">
      <c r="A49" s="6" t="inlineStr">
        <is>
          <t>IMP-04</t>
        </is>
      </c>
      <c r="B49" s="6" t="inlineStr">
        <is>
          <t>B</t>
        </is>
      </c>
      <c r="C49" s="6" t="n">
        <v>4</v>
      </c>
      <c r="D49" s="7" t="n"/>
      <c r="E49" s="7" t="n"/>
      <c r="F49" s="9">
        <f>IFERROR(D49-E49,"")</f>
        <v/>
      </c>
      <c r="G49" s="7" t="n"/>
      <c r="H49" s="7" t="n"/>
      <c r="I49" s="7" t="n"/>
      <c r="J49" s="9">
        <f>IFERROR(ROUND(I49*20/F49,2),"")</f>
        <v/>
      </c>
      <c r="K49" s="9">
        <f>IFERROR(ROUND(STDEV(G46:G51)/AVERAGE(G46:G51)*100,2),"")</f>
        <v/>
      </c>
      <c r="L49" s="9">
        <f>IFERROR(ROUND(STDEV(J46:J51)/AVERAGE(J46:J51)*100,2),"")</f>
        <v/>
      </c>
      <c r="M49" s="9">
        <f>IFERROR(AVERAGE(J46:J51)-TINV(0.05,COUNT(J46:J51)-1)*STDEV(J46:J51)/SQRT(COUNT(J46:J51)),"")</f>
        <v/>
      </c>
      <c r="N49" s="9">
        <f>IFERROR(AVERAGE(J46:J51)+TINV(0.05,COUNT(J46:J51)-1)*STDEV(J46:J51)/SQRT(COUNT(J46:J51)),"")</f>
        <v/>
      </c>
    </row>
    <row r="50" ht="22" customHeight="1">
      <c r="A50" s="6" t="inlineStr">
        <is>
          <t>IMP-04</t>
        </is>
      </c>
      <c r="B50" s="6" t="inlineStr">
        <is>
          <t>B</t>
        </is>
      </c>
      <c r="C50" s="6" t="n">
        <v>5</v>
      </c>
      <c r="D50" s="7" t="n"/>
      <c r="E50" s="7" t="n"/>
      <c r="F50" s="9">
        <f>IFERROR(D50-E50,"")</f>
        <v/>
      </c>
      <c r="G50" s="7" t="n"/>
      <c r="H50" s="7" t="n"/>
      <c r="I50" s="7" t="n"/>
      <c r="J50" s="9">
        <f>IFERROR(ROUND(I50*20/F50,2),"")</f>
        <v/>
      </c>
      <c r="K50" s="9">
        <f>IFERROR(ROUND(STDEV(G46:G51)/AVERAGE(G46:G51)*100,2),"")</f>
        <v/>
      </c>
      <c r="L50" s="9">
        <f>IFERROR(ROUND(STDEV(J46:J51)/AVERAGE(J46:J51)*100,2),"")</f>
        <v/>
      </c>
      <c r="M50" s="9">
        <f>IFERROR(AVERAGE(J46:J51)-TINV(0.05,COUNT(J46:J51)-1)*STDEV(J46:J51)/SQRT(COUNT(J46:J51)),"")</f>
        <v/>
      </c>
      <c r="N50" s="9">
        <f>IFERROR(AVERAGE(J46:J51)+TINV(0.05,COUNT(J46:J51)-1)*STDEV(J46:J51)/SQRT(COUNT(J46:J51)),"")</f>
        <v/>
      </c>
    </row>
    <row r="51" ht="22" customHeight="1">
      <c r="A51" s="6" t="inlineStr">
        <is>
          <t>IMP-04</t>
        </is>
      </c>
      <c r="B51" s="6" t="inlineStr">
        <is>
          <t>B</t>
        </is>
      </c>
      <c r="C51" s="6" t="n">
        <v>6</v>
      </c>
      <c r="D51" s="7" t="n"/>
      <c r="E51" s="7" t="n"/>
      <c r="F51" s="9">
        <f>IFERROR(D51-E51,"")</f>
        <v/>
      </c>
      <c r="G51" s="7" t="n"/>
      <c r="H51" s="7" t="n"/>
      <c r="I51" s="7" t="n"/>
      <c r="J51" s="9">
        <f>IFERROR(ROUND(I51*20/F51,2),"")</f>
        <v/>
      </c>
      <c r="K51" s="9">
        <f>IFERROR(ROUND(STDEV(G46:G51)/AVERAGE(G46:G51)*100,2),"")</f>
        <v/>
      </c>
      <c r="L51" s="9">
        <f>IFERROR(ROUND(STDEV(J46:J51)/AVERAGE(J46:J51)*100,2),"")</f>
        <v/>
      </c>
      <c r="M51" s="9">
        <f>IFERROR(AVERAGE(J46:J51)-TINV(0.05,COUNT(J46:J51)-1)*STDEV(J46:J51)/SQRT(COUNT(J46:J51)),"")</f>
        <v/>
      </c>
      <c r="N51" s="9">
        <f>IFERROR(AVERAGE(J46:J51)+TINV(0.05,COUNT(J46:J51)-1)*STDEV(J46:J51)/SQRT(COUNT(J46:J51)),"")</f>
        <v/>
      </c>
    </row>
    <row r="52" ht="22" customHeight="1">
      <c r="A52" s="6" t="inlineStr">
        <is>
          <t>IMP-05</t>
        </is>
      </c>
      <c r="B52" s="6" t="inlineStr">
        <is>
          <t>A</t>
        </is>
      </c>
      <c r="C52" s="6" t="n">
        <v>1</v>
      </c>
      <c r="D52" s="7" t="n"/>
      <c r="E52" s="7" t="n"/>
      <c r="F52" s="9">
        <f>IFERROR(D52-E52,"")</f>
        <v/>
      </c>
      <c r="G52" s="7" t="n"/>
      <c r="H52" s="7" t="n"/>
      <c r="I52" s="7" t="n"/>
      <c r="J52" s="9">
        <f>IFERROR(ROUND(I52*20/F52,2),"")</f>
        <v/>
      </c>
      <c r="K52" s="9">
        <f>IFERROR(ROUND(STDEV(G52:G57)/AVERAGE(G52:G57)*100,2),"")</f>
        <v/>
      </c>
      <c r="L52" s="9">
        <f>IFERROR(ROUND(STDEV(J52:J57)/AVERAGE(J52:J57)*100,2),"")</f>
        <v/>
      </c>
      <c r="M52" s="9">
        <f>IFERROR(AVERAGE(J52:J57)-TINV(0.05,COUNT(J52:J57)-1)*STDEV(J52:J57)/SQRT(COUNT(J52:J57)),"")</f>
        <v/>
      </c>
      <c r="N52" s="9">
        <f>IFERROR(AVERAGE(J52:J57)+TINV(0.05,COUNT(J52:J57)-1)*STDEV(J52:J57)/SQRT(COUNT(J52:J57)),"")</f>
        <v/>
      </c>
    </row>
    <row r="53" ht="22" customHeight="1">
      <c r="A53" s="6" t="inlineStr">
        <is>
          <t>IMP-05</t>
        </is>
      </c>
      <c r="B53" s="6" t="inlineStr">
        <is>
          <t>A</t>
        </is>
      </c>
      <c r="C53" s="6" t="n">
        <v>2</v>
      </c>
      <c r="D53" s="7" t="n"/>
      <c r="E53" s="7" t="n"/>
      <c r="F53" s="9">
        <f>IFERROR(D53-E53,"")</f>
        <v/>
      </c>
      <c r="G53" s="7" t="n"/>
      <c r="H53" s="7" t="n"/>
      <c r="I53" s="7" t="n"/>
      <c r="J53" s="9">
        <f>IFERROR(ROUND(I53*20/F53,2),"")</f>
        <v/>
      </c>
      <c r="K53" s="9">
        <f>IFERROR(ROUND(STDEV(G52:G57)/AVERAGE(G52:G57)*100,2),"")</f>
        <v/>
      </c>
      <c r="L53" s="9">
        <f>IFERROR(ROUND(STDEV(J52:J57)/AVERAGE(J52:J57)*100,2),"")</f>
        <v/>
      </c>
      <c r="M53" s="9">
        <f>IFERROR(AVERAGE(J52:J57)-TINV(0.05,COUNT(J52:J57)-1)*STDEV(J52:J57)/SQRT(COUNT(J52:J57)),"")</f>
        <v/>
      </c>
      <c r="N53" s="9">
        <f>IFERROR(AVERAGE(J52:J57)+TINV(0.05,COUNT(J52:J57)-1)*STDEV(J52:J57)/SQRT(COUNT(J52:J57)),"")</f>
        <v/>
      </c>
    </row>
    <row r="54" ht="22" customHeight="1">
      <c r="A54" s="6" t="inlineStr">
        <is>
          <t>IMP-05</t>
        </is>
      </c>
      <c r="B54" s="6" t="inlineStr">
        <is>
          <t>A</t>
        </is>
      </c>
      <c r="C54" s="6" t="n">
        <v>3</v>
      </c>
      <c r="D54" s="7" t="n"/>
      <c r="E54" s="7" t="n"/>
      <c r="F54" s="9">
        <f>IFERROR(D54-E54,"")</f>
        <v/>
      </c>
      <c r="G54" s="7" t="n"/>
      <c r="H54" s="7" t="n"/>
      <c r="I54" s="7" t="n"/>
      <c r="J54" s="9">
        <f>IFERROR(ROUND(I54*20/F54,2),"")</f>
        <v/>
      </c>
      <c r="K54" s="9">
        <f>IFERROR(ROUND(STDEV(G52:G57)/AVERAGE(G52:G57)*100,2),"")</f>
        <v/>
      </c>
      <c r="L54" s="9">
        <f>IFERROR(ROUND(STDEV(J52:J57)/AVERAGE(J52:J57)*100,2),"")</f>
        <v/>
      </c>
      <c r="M54" s="9">
        <f>IFERROR(AVERAGE(J52:J57)-TINV(0.05,COUNT(J52:J57)-1)*STDEV(J52:J57)/SQRT(COUNT(J52:J57)),"")</f>
        <v/>
      </c>
      <c r="N54" s="9">
        <f>IFERROR(AVERAGE(J52:J57)+TINV(0.05,COUNT(J52:J57)-1)*STDEV(J52:J57)/SQRT(COUNT(J52:J57)),"")</f>
        <v/>
      </c>
    </row>
    <row r="55" ht="22" customHeight="1">
      <c r="A55" s="6" t="inlineStr">
        <is>
          <t>IMP-05</t>
        </is>
      </c>
      <c r="B55" s="6" t="inlineStr">
        <is>
          <t>A</t>
        </is>
      </c>
      <c r="C55" s="6" t="n">
        <v>4</v>
      </c>
      <c r="D55" s="7" t="n"/>
      <c r="E55" s="7" t="n"/>
      <c r="F55" s="9">
        <f>IFERROR(D55-E55,"")</f>
        <v/>
      </c>
      <c r="G55" s="7" t="n"/>
      <c r="H55" s="7" t="n"/>
      <c r="I55" s="7" t="n"/>
      <c r="J55" s="9">
        <f>IFERROR(ROUND(I55*20/F55,2),"")</f>
        <v/>
      </c>
      <c r="K55" s="9">
        <f>IFERROR(ROUND(STDEV(G52:G57)/AVERAGE(G52:G57)*100,2),"")</f>
        <v/>
      </c>
      <c r="L55" s="9">
        <f>IFERROR(ROUND(STDEV(J52:J57)/AVERAGE(J52:J57)*100,2),"")</f>
        <v/>
      </c>
      <c r="M55" s="9">
        <f>IFERROR(AVERAGE(J52:J57)-TINV(0.05,COUNT(J52:J57)-1)*STDEV(J52:J57)/SQRT(COUNT(J52:J57)),"")</f>
        <v/>
      </c>
      <c r="N55" s="9">
        <f>IFERROR(AVERAGE(J52:J57)+TINV(0.05,COUNT(J52:J57)-1)*STDEV(J52:J57)/SQRT(COUNT(J52:J57)),"")</f>
        <v/>
      </c>
    </row>
    <row r="56" ht="22" customHeight="1">
      <c r="A56" s="6" t="inlineStr">
        <is>
          <t>IMP-05</t>
        </is>
      </c>
      <c r="B56" s="6" t="inlineStr">
        <is>
          <t>A</t>
        </is>
      </c>
      <c r="C56" s="6" t="n">
        <v>5</v>
      </c>
      <c r="D56" s="7" t="n"/>
      <c r="E56" s="7" t="n"/>
      <c r="F56" s="9">
        <f>IFERROR(D56-E56,"")</f>
        <v/>
      </c>
      <c r="G56" s="7" t="n"/>
      <c r="H56" s="7" t="n"/>
      <c r="I56" s="7" t="n"/>
      <c r="J56" s="9">
        <f>IFERROR(ROUND(I56*20/F56,2),"")</f>
        <v/>
      </c>
      <c r="K56" s="9">
        <f>IFERROR(ROUND(STDEV(G52:G57)/AVERAGE(G52:G57)*100,2),"")</f>
        <v/>
      </c>
      <c r="L56" s="9">
        <f>IFERROR(ROUND(STDEV(J52:J57)/AVERAGE(J52:J57)*100,2),"")</f>
        <v/>
      </c>
      <c r="M56" s="9">
        <f>IFERROR(AVERAGE(J52:J57)-TINV(0.05,COUNT(J52:J57)-1)*STDEV(J52:J57)/SQRT(COUNT(J52:J57)),"")</f>
        <v/>
      </c>
      <c r="N56" s="9">
        <f>IFERROR(AVERAGE(J52:J57)+TINV(0.05,COUNT(J52:J57)-1)*STDEV(J52:J57)/SQRT(COUNT(J52:J57)),"")</f>
        <v/>
      </c>
    </row>
    <row r="57" ht="22" customHeight="1">
      <c r="A57" s="6" t="inlineStr">
        <is>
          <t>IMP-05</t>
        </is>
      </c>
      <c r="B57" s="6" t="inlineStr">
        <is>
          <t>A</t>
        </is>
      </c>
      <c r="C57" s="6" t="n">
        <v>6</v>
      </c>
      <c r="D57" s="7" t="n"/>
      <c r="E57" s="7" t="n"/>
      <c r="F57" s="9">
        <f>IFERROR(D57-E57,"")</f>
        <v/>
      </c>
      <c r="G57" s="7" t="n"/>
      <c r="H57" s="7" t="n"/>
      <c r="I57" s="7" t="n"/>
      <c r="J57" s="9">
        <f>IFERROR(ROUND(I57*20/F57,2),"")</f>
        <v/>
      </c>
      <c r="K57" s="9">
        <f>IFERROR(ROUND(STDEV(G52:G57)/AVERAGE(G52:G57)*100,2),"")</f>
        <v/>
      </c>
      <c r="L57" s="9">
        <f>IFERROR(ROUND(STDEV(J52:J57)/AVERAGE(J52:J57)*100,2),"")</f>
        <v/>
      </c>
      <c r="M57" s="9">
        <f>IFERROR(AVERAGE(J52:J57)-TINV(0.05,COUNT(J52:J57)-1)*STDEV(J52:J57)/SQRT(COUNT(J52:J57)),"")</f>
        <v/>
      </c>
      <c r="N57" s="9">
        <f>IFERROR(AVERAGE(J52:J57)+TINV(0.05,COUNT(J52:J57)-1)*STDEV(J52:J57)/SQRT(COUNT(J52:J57)),"")</f>
        <v/>
      </c>
    </row>
    <row r="58" ht="22" customHeight="1">
      <c r="A58" s="6" t="inlineStr">
        <is>
          <t>IMP-05</t>
        </is>
      </c>
      <c r="B58" s="6" t="inlineStr">
        <is>
          <t>B</t>
        </is>
      </c>
      <c r="C58" s="6" t="n">
        <v>1</v>
      </c>
      <c r="D58" s="7" t="n"/>
      <c r="E58" s="7" t="n"/>
      <c r="F58" s="9">
        <f>IFERROR(D58-E58,"")</f>
        <v/>
      </c>
      <c r="G58" s="7" t="n"/>
      <c r="H58" s="7" t="n"/>
      <c r="I58" s="7" t="n"/>
      <c r="J58" s="9">
        <f>IFERROR(ROUND(I58*20/F58,2),"")</f>
        <v/>
      </c>
      <c r="K58" s="9">
        <f>IFERROR(ROUND(STDEV(G58:G63)/AVERAGE(G58:G63)*100,2),"")</f>
        <v/>
      </c>
      <c r="L58" s="9">
        <f>IFERROR(ROUND(STDEV(J58:J63)/AVERAGE(J58:J63)*100,2),"")</f>
        <v/>
      </c>
      <c r="M58" s="9">
        <f>IFERROR(AVERAGE(J58:J63)-TINV(0.05,COUNT(J58:J63)-1)*STDEV(J58:J63)/SQRT(COUNT(J58:J63)),"")</f>
        <v/>
      </c>
      <c r="N58" s="9">
        <f>IFERROR(AVERAGE(J58:J63)+TINV(0.05,COUNT(J58:J63)-1)*STDEV(J58:J63)/SQRT(COUNT(J58:J63)),"")</f>
        <v/>
      </c>
    </row>
    <row r="59" ht="22" customHeight="1">
      <c r="A59" s="6" t="inlineStr">
        <is>
          <t>IMP-05</t>
        </is>
      </c>
      <c r="B59" s="6" t="inlineStr">
        <is>
          <t>B</t>
        </is>
      </c>
      <c r="C59" s="6" t="n">
        <v>2</v>
      </c>
      <c r="D59" s="7" t="n"/>
      <c r="E59" s="7" t="n"/>
      <c r="F59" s="9">
        <f>IFERROR(D59-E59,"")</f>
        <v/>
      </c>
      <c r="G59" s="7" t="n"/>
      <c r="H59" s="7" t="n"/>
      <c r="I59" s="7" t="n"/>
      <c r="J59" s="9">
        <f>IFERROR(ROUND(I59*20/F59,2),"")</f>
        <v/>
      </c>
      <c r="K59" s="9">
        <f>IFERROR(ROUND(STDEV(G58:G63)/AVERAGE(G58:G63)*100,2),"")</f>
        <v/>
      </c>
      <c r="L59" s="9">
        <f>IFERROR(ROUND(STDEV(J58:J63)/AVERAGE(J58:J63)*100,2),"")</f>
        <v/>
      </c>
      <c r="M59" s="9">
        <f>IFERROR(AVERAGE(J58:J63)-TINV(0.05,COUNT(J58:J63)-1)*STDEV(J58:J63)/SQRT(COUNT(J58:J63)),"")</f>
        <v/>
      </c>
      <c r="N59" s="9">
        <f>IFERROR(AVERAGE(J58:J63)+TINV(0.05,COUNT(J58:J63)-1)*STDEV(J58:J63)/SQRT(COUNT(J58:J63)),"")</f>
        <v/>
      </c>
    </row>
    <row r="60" ht="22" customHeight="1">
      <c r="A60" s="6" t="inlineStr">
        <is>
          <t>IMP-05</t>
        </is>
      </c>
      <c r="B60" s="6" t="inlineStr">
        <is>
          <t>B</t>
        </is>
      </c>
      <c r="C60" s="6" t="n">
        <v>3</v>
      </c>
      <c r="D60" s="7" t="n"/>
      <c r="E60" s="7" t="n"/>
      <c r="F60" s="9">
        <f>IFERROR(D60-E60,"")</f>
        <v/>
      </c>
      <c r="G60" s="7" t="n"/>
      <c r="H60" s="7" t="n"/>
      <c r="I60" s="7" t="n"/>
      <c r="J60" s="9">
        <f>IFERROR(ROUND(I60*20/F60,2),"")</f>
        <v/>
      </c>
      <c r="K60" s="9">
        <f>IFERROR(ROUND(STDEV(G58:G63)/AVERAGE(G58:G63)*100,2),"")</f>
        <v/>
      </c>
      <c r="L60" s="9">
        <f>IFERROR(ROUND(STDEV(J58:J63)/AVERAGE(J58:J63)*100,2),"")</f>
        <v/>
      </c>
      <c r="M60" s="9">
        <f>IFERROR(AVERAGE(J58:J63)-TINV(0.05,COUNT(J58:J63)-1)*STDEV(J58:J63)/SQRT(COUNT(J58:J63)),"")</f>
        <v/>
      </c>
      <c r="N60" s="9">
        <f>IFERROR(AVERAGE(J58:J63)+TINV(0.05,COUNT(J58:J63)-1)*STDEV(J58:J63)/SQRT(COUNT(J58:J63)),"")</f>
        <v/>
      </c>
    </row>
    <row r="61" ht="22" customHeight="1">
      <c r="A61" s="6" t="inlineStr">
        <is>
          <t>IMP-05</t>
        </is>
      </c>
      <c r="B61" s="6" t="inlineStr">
        <is>
          <t>B</t>
        </is>
      </c>
      <c r="C61" s="6" t="n">
        <v>4</v>
      </c>
      <c r="D61" s="7" t="n"/>
      <c r="E61" s="7" t="n"/>
      <c r="F61" s="9">
        <f>IFERROR(D61-E61,"")</f>
        <v/>
      </c>
      <c r="G61" s="7" t="n"/>
      <c r="H61" s="7" t="n"/>
      <c r="I61" s="7" t="n"/>
      <c r="J61" s="9">
        <f>IFERROR(ROUND(I61*20/F61,2),"")</f>
        <v/>
      </c>
      <c r="K61" s="9">
        <f>IFERROR(ROUND(STDEV(G58:G63)/AVERAGE(G58:G63)*100,2),"")</f>
        <v/>
      </c>
      <c r="L61" s="9">
        <f>IFERROR(ROUND(STDEV(J58:J63)/AVERAGE(J58:J63)*100,2),"")</f>
        <v/>
      </c>
      <c r="M61" s="9">
        <f>IFERROR(AVERAGE(J58:J63)-TINV(0.05,COUNT(J58:J63)-1)*STDEV(J58:J63)/SQRT(COUNT(J58:J63)),"")</f>
        <v/>
      </c>
      <c r="N61" s="9">
        <f>IFERROR(AVERAGE(J58:J63)+TINV(0.05,COUNT(J58:J63)-1)*STDEV(J58:J63)/SQRT(COUNT(J58:J63)),"")</f>
        <v/>
      </c>
    </row>
    <row r="62" ht="22" customHeight="1">
      <c r="A62" s="6" t="inlineStr">
        <is>
          <t>IMP-05</t>
        </is>
      </c>
      <c r="B62" s="6" t="inlineStr">
        <is>
          <t>B</t>
        </is>
      </c>
      <c r="C62" s="6" t="n">
        <v>5</v>
      </c>
      <c r="D62" s="7" t="n"/>
      <c r="E62" s="7" t="n"/>
      <c r="F62" s="9">
        <f>IFERROR(D62-E62,"")</f>
        <v/>
      </c>
      <c r="G62" s="7" t="n"/>
      <c r="H62" s="7" t="n"/>
      <c r="I62" s="7" t="n"/>
      <c r="J62" s="9">
        <f>IFERROR(ROUND(I62*20/F62,2),"")</f>
        <v/>
      </c>
      <c r="K62" s="9">
        <f>IFERROR(ROUND(STDEV(G58:G63)/AVERAGE(G58:G63)*100,2),"")</f>
        <v/>
      </c>
      <c r="L62" s="9">
        <f>IFERROR(ROUND(STDEV(J58:J63)/AVERAGE(J58:J63)*100,2),"")</f>
        <v/>
      </c>
      <c r="M62" s="9">
        <f>IFERROR(AVERAGE(J58:J63)-TINV(0.05,COUNT(J58:J63)-1)*STDEV(J58:J63)/SQRT(COUNT(J58:J63)),"")</f>
        <v/>
      </c>
      <c r="N62" s="9">
        <f>IFERROR(AVERAGE(J58:J63)+TINV(0.05,COUNT(J58:J63)-1)*STDEV(J58:J63)/SQRT(COUNT(J58:J63)),"")</f>
        <v/>
      </c>
    </row>
    <row r="63" ht="22" customHeight="1">
      <c r="A63" s="6" t="inlineStr">
        <is>
          <t>IMP-05</t>
        </is>
      </c>
      <c r="B63" s="6" t="inlineStr">
        <is>
          <t>B</t>
        </is>
      </c>
      <c r="C63" s="6" t="n">
        <v>6</v>
      </c>
      <c r="D63" s="7" t="n"/>
      <c r="E63" s="7" t="n"/>
      <c r="F63" s="9">
        <f>IFERROR(D63-E63,"")</f>
        <v/>
      </c>
      <c r="G63" s="7" t="n"/>
      <c r="H63" s="7" t="n"/>
      <c r="I63" s="7" t="n"/>
      <c r="J63" s="9">
        <f>IFERROR(ROUND(I63*20/F63,2),"")</f>
        <v/>
      </c>
      <c r="K63" s="9">
        <f>IFERROR(ROUND(STDEV(G58:G63)/AVERAGE(G58:G63)*100,2),"")</f>
        <v/>
      </c>
      <c r="L63" s="9">
        <f>IFERROR(ROUND(STDEV(J58:J63)/AVERAGE(J58:J63)*100,2),"")</f>
        <v/>
      </c>
      <c r="M63" s="9">
        <f>IFERROR(AVERAGE(J58:J63)-TINV(0.05,COUNT(J58:J63)-1)*STDEV(J58:J63)/SQRT(COUNT(J58:J63)),"")</f>
        <v/>
      </c>
      <c r="N63" s="9">
        <f>IFERROR(AVERAGE(J58:J63)+TINV(0.05,COUNT(J58:J63)-1)*STDEV(J58:J63)/SQRT(COUNT(J58:J63)),"")</f>
        <v/>
      </c>
    </row>
    <row r="64" ht="22" customHeight="1">
      <c r="A64" s="6" t="inlineStr">
        <is>
          <t>IMP-06</t>
        </is>
      </c>
      <c r="B64" s="6" t="inlineStr">
        <is>
          <t>A</t>
        </is>
      </c>
      <c r="C64" s="6" t="n">
        <v>1</v>
      </c>
      <c r="D64" s="7" t="n"/>
      <c r="E64" s="7" t="n"/>
      <c r="F64" s="9">
        <f>IFERROR(D64-E64,"")</f>
        <v/>
      </c>
      <c r="G64" s="7" t="n"/>
      <c r="H64" s="7" t="n"/>
      <c r="I64" s="7" t="n"/>
      <c r="J64" s="9">
        <f>IFERROR(ROUND(I64*20/F64,2),"")</f>
        <v/>
      </c>
      <c r="K64" s="9">
        <f>IFERROR(ROUND(STDEV(G64:G69)/AVERAGE(G64:G69)*100,2),"")</f>
        <v/>
      </c>
      <c r="L64" s="9">
        <f>IFERROR(ROUND(STDEV(J64:J69)/AVERAGE(J64:J69)*100,2),"")</f>
        <v/>
      </c>
      <c r="M64" s="9">
        <f>IFERROR(AVERAGE(J64:J69)-TINV(0.05,COUNT(J64:J69)-1)*STDEV(J64:J69)/SQRT(COUNT(J64:J69)),"")</f>
        <v/>
      </c>
      <c r="N64" s="9">
        <f>IFERROR(AVERAGE(J64:J69)+TINV(0.05,COUNT(J64:J69)-1)*STDEV(J64:J69)/SQRT(COUNT(J64:J69)),"")</f>
        <v/>
      </c>
    </row>
    <row r="65" ht="22" customHeight="1">
      <c r="A65" s="6" t="inlineStr">
        <is>
          <t>IMP-06</t>
        </is>
      </c>
      <c r="B65" s="6" t="inlineStr">
        <is>
          <t>A</t>
        </is>
      </c>
      <c r="C65" s="6" t="n">
        <v>2</v>
      </c>
      <c r="D65" s="7" t="n"/>
      <c r="E65" s="7" t="n"/>
      <c r="F65" s="9">
        <f>IFERROR(D65-E65,"")</f>
        <v/>
      </c>
      <c r="G65" s="7" t="n"/>
      <c r="H65" s="7" t="n"/>
      <c r="I65" s="7" t="n"/>
      <c r="J65" s="9">
        <f>IFERROR(ROUND(I65*20/F65,2),"")</f>
        <v/>
      </c>
      <c r="K65" s="9">
        <f>IFERROR(ROUND(STDEV(G64:G69)/AVERAGE(G64:G69)*100,2),"")</f>
        <v/>
      </c>
      <c r="L65" s="9">
        <f>IFERROR(ROUND(STDEV(J64:J69)/AVERAGE(J64:J69)*100,2),"")</f>
        <v/>
      </c>
      <c r="M65" s="9">
        <f>IFERROR(AVERAGE(J64:J69)-TINV(0.05,COUNT(J64:J69)-1)*STDEV(J64:J69)/SQRT(COUNT(J64:J69)),"")</f>
        <v/>
      </c>
      <c r="N65" s="9">
        <f>IFERROR(AVERAGE(J64:J69)+TINV(0.05,COUNT(J64:J69)-1)*STDEV(J64:J69)/SQRT(COUNT(J64:J69)),"")</f>
        <v/>
      </c>
    </row>
    <row r="66" ht="22" customHeight="1">
      <c r="A66" s="6" t="inlineStr">
        <is>
          <t>IMP-06</t>
        </is>
      </c>
      <c r="B66" s="6" t="inlineStr">
        <is>
          <t>A</t>
        </is>
      </c>
      <c r="C66" s="6" t="n">
        <v>3</v>
      </c>
      <c r="D66" s="7" t="n"/>
      <c r="E66" s="7" t="n"/>
      <c r="F66" s="9">
        <f>IFERROR(D66-E66,"")</f>
        <v/>
      </c>
      <c r="G66" s="7" t="n"/>
      <c r="H66" s="7" t="n"/>
      <c r="I66" s="7" t="n"/>
      <c r="J66" s="9">
        <f>IFERROR(ROUND(I66*20/F66,2),"")</f>
        <v/>
      </c>
      <c r="K66" s="9">
        <f>IFERROR(ROUND(STDEV(G64:G69)/AVERAGE(G64:G69)*100,2),"")</f>
        <v/>
      </c>
      <c r="L66" s="9">
        <f>IFERROR(ROUND(STDEV(J64:J69)/AVERAGE(J64:J69)*100,2),"")</f>
        <v/>
      </c>
      <c r="M66" s="9">
        <f>IFERROR(AVERAGE(J64:J69)-TINV(0.05,COUNT(J64:J69)-1)*STDEV(J64:J69)/SQRT(COUNT(J64:J69)),"")</f>
        <v/>
      </c>
      <c r="N66" s="9">
        <f>IFERROR(AVERAGE(J64:J69)+TINV(0.05,COUNT(J64:J69)-1)*STDEV(J64:J69)/SQRT(COUNT(J64:J69)),"")</f>
        <v/>
      </c>
    </row>
    <row r="67" ht="22" customHeight="1">
      <c r="A67" s="6" t="inlineStr">
        <is>
          <t>IMP-06</t>
        </is>
      </c>
      <c r="B67" s="6" t="inlineStr">
        <is>
          <t>A</t>
        </is>
      </c>
      <c r="C67" s="6" t="n">
        <v>4</v>
      </c>
      <c r="D67" s="7" t="n"/>
      <c r="E67" s="7" t="n"/>
      <c r="F67" s="9">
        <f>IFERROR(D67-E67,"")</f>
        <v/>
      </c>
      <c r="G67" s="7" t="n"/>
      <c r="H67" s="7" t="n"/>
      <c r="I67" s="7" t="n"/>
      <c r="J67" s="9">
        <f>IFERROR(ROUND(I67*20/F67,2),"")</f>
        <v/>
      </c>
      <c r="K67" s="9">
        <f>IFERROR(ROUND(STDEV(G64:G69)/AVERAGE(G64:G69)*100,2),"")</f>
        <v/>
      </c>
      <c r="L67" s="9">
        <f>IFERROR(ROUND(STDEV(J64:J69)/AVERAGE(J64:J69)*100,2),"")</f>
        <v/>
      </c>
      <c r="M67" s="9">
        <f>IFERROR(AVERAGE(J64:J69)-TINV(0.05,COUNT(J64:J69)-1)*STDEV(J64:J69)/SQRT(COUNT(J64:J69)),"")</f>
        <v/>
      </c>
      <c r="N67" s="9">
        <f>IFERROR(AVERAGE(J64:J69)+TINV(0.05,COUNT(J64:J69)-1)*STDEV(J64:J69)/SQRT(COUNT(J64:J69)),"")</f>
        <v/>
      </c>
    </row>
    <row r="68" ht="22" customHeight="1">
      <c r="A68" s="6" t="inlineStr">
        <is>
          <t>IMP-06</t>
        </is>
      </c>
      <c r="B68" s="6" t="inlineStr">
        <is>
          <t>A</t>
        </is>
      </c>
      <c r="C68" s="6" t="n">
        <v>5</v>
      </c>
      <c r="D68" s="7" t="n"/>
      <c r="E68" s="7" t="n"/>
      <c r="F68" s="9">
        <f>IFERROR(D68-E68,"")</f>
        <v/>
      </c>
      <c r="G68" s="7" t="n"/>
      <c r="H68" s="7" t="n"/>
      <c r="I68" s="7" t="n"/>
      <c r="J68" s="9">
        <f>IFERROR(ROUND(I68*20/F68,2),"")</f>
        <v/>
      </c>
      <c r="K68" s="9">
        <f>IFERROR(ROUND(STDEV(G64:G69)/AVERAGE(G64:G69)*100,2),"")</f>
        <v/>
      </c>
      <c r="L68" s="9">
        <f>IFERROR(ROUND(STDEV(J64:J69)/AVERAGE(J64:J69)*100,2),"")</f>
        <v/>
      </c>
      <c r="M68" s="9">
        <f>IFERROR(AVERAGE(J64:J69)-TINV(0.05,COUNT(J64:J69)-1)*STDEV(J64:J69)/SQRT(COUNT(J64:J69)),"")</f>
        <v/>
      </c>
      <c r="N68" s="9">
        <f>IFERROR(AVERAGE(J64:J69)+TINV(0.05,COUNT(J64:J69)-1)*STDEV(J64:J69)/SQRT(COUNT(J64:J69)),"")</f>
        <v/>
      </c>
    </row>
    <row r="69" ht="22" customHeight="1">
      <c r="A69" s="6" t="inlineStr">
        <is>
          <t>IMP-06</t>
        </is>
      </c>
      <c r="B69" s="6" t="inlineStr">
        <is>
          <t>A</t>
        </is>
      </c>
      <c r="C69" s="6" t="n">
        <v>6</v>
      </c>
      <c r="D69" s="7" t="n"/>
      <c r="E69" s="7" t="n"/>
      <c r="F69" s="9">
        <f>IFERROR(D69-E69,"")</f>
        <v/>
      </c>
      <c r="G69" s="7" t="n"/>
      <c r="H69" s="7" t="n"/>
      <c r="I69" s="7" t="n"/>
      <c r="J69" s="9">
        <f>IFERROR(ROUND(I69*20/F69,2),"")</f>
        <v/>
      </c>
      <c r="K69" s="9">
        <f>IFERROR(ROUND(STDEV(G64:G69)/AVERAGE(G64:G69)*100,2),"")</f>
        <v/>
      </c>
      <c r="L69" s="9">
        <f>IFERROR(ROUND(STDEV(J64:J69)/AVERAGE(J64:J69)*100,2),"")</f>
        <v/>
      </c>
      <c r="M69" s="9">
        <f>IFERROR(AVERAGE(J64:J69)-TINV(0.05,COUNT(J64:J69)-1)*STDEV(J64:J69)/SQRT(COUNT(J64:J69)),"")</f>
        <v/>
      </c>
      <c r="N69" s="9">
        <f>IFERROR(AVERAGE(J64:J69)+TINV(0.05,COUNT(J64:J69)-1)*STDEV(J64:J69)/SQRT(COUNT(J64:J69)),"")</f>
        <v/>
      </c>
    </row>
    <row r="70" ht="22" customHeight="1">
      <c r="A70" s="6" t="inlineStr">
        <is>
          <t>IMP-06</t>
        </is>
      </c>
      <c r="B70" s="6" t="inlineStr">
        <is>
          <t>B</t>
        </is>
      </c>
      <c r="C70" s="6" t="n">
        <v>1</v>
      </c>
      <c r="D70" s="7" t="n"/>
      <c r="E70" s="7" t="n"/>
      <c r="F70" s="9">
        <f>IFERROR(D70-E70,"")</f>
        <v/>
      </c>
      <c r="G70" s="7" t="n"/>
      <c r="H70" s="7" t="n"/>
      <c r="I70" s="7" t="n"/>
      <c r="J70" s="9">
        <f>IFERROR(ROUND(I70*20/F70,2),"")</f>
        <v/>
      </c>
      <c r="K70" s="9">
        <f>IFERROR(ROUND(STDEV(G70:G75)/AVERAGE(G70:G75)*100,2),"")</f>
        <v/>
      </c>
      <c r="L70" s="9">
        <f>IFERROR(ROUND(STDEV(J70:J75)/AVERAGE(J70:J75)*100,2),"")</f>
        <v/>
      </c>
      <c r="M70" s="9">
        <f>IFERROR(AVERAGE(J70:J75)-TINV(0.05,COUNT(J70:J75)-1)*STDEV(J70:J75)/SQRT(COUNT(J70:J75)),"")</f>
        <v/>
      </c>
      <c r="N70" s="9">
        <f>IFERROR(AVERAGE(J70:J75)+TINV(0.05,COUNT(J70:J75)-1)*STDEV(J70:J75)/SQRT(COUNT(J70:J75)),"")</f>
        <v/>
      </c>
    </row>
    <row r="71" ht="22" customHeight="1">
      <c r="A71" s="6" t="inlineStr">
        <is>
          <t>IMP-06</t>
        </is>
      </c>
      <c r="B71" s="6" t="inlineStr">
        <is>
          <t>B</t>
        </is>
      </c>
      <c r="C71" s="6" t="n">
        <v>2</v>
      </c>
      <c r="D71" s="7" t="n"/>
      <c r="E71" s="7" t="n"/>
      <c r="F71" s="9">
        <f>IFERROR(D71-E71,"")</f>
        <v/>
      </c>
      <c r="G71" s="7" t="n"/>
      <c r="H71" s="7" t="n"/>
      <c r="I71" s="7" t="n"/>
      <c r="J71" s="9">
        <f>IFERROR(ROUND(I71*20/F71,2),"")</f>
        <v/>
      </c>
      <c r="K71" s="9">
        <f>IFERROR(ROUND(STDEV(G70:G75)/AVERAGE(G70:G75)*100,2),"")</f>
        <v/>
      </c>
      <c r="L71" s="9">
        <f>IFERROR(ROUND(STDEV(J70:J75)/AVERAGE(J70:J75)*100,2),"")</f>
        <v/>
      </c>
      <c r="M71" s="9">
        <f>IFERROR(AVERAGE(J70:J75)-TINV(0.05,COUNT(J70:J75)-1)*STDEV(J70:J75)/SQRT(COUNT(J70:J75)),"")</f>
        <v/>
      </c>
      <c r="N71" s="9">
        <f>IFERROR(AVERAGE(J70:J75)+TINV(0.05,COUNT(J70:J75)-1)*STDEV(J70:J75)/SQRT(COUNT(J70:J75)),"")</f>
        <v/>
      </c>
    </row>
    <row r="72" ht="22" customHeight="1">
      <c r="A72" s="6" t="inlineStr">
        <is>
          <t>IMP-06</t>
        </is>
      </c>
      <c r="B72" s="6" t="inlineStr">
        <is>
          <t>B</t>
        </is>
      </c>
      <c r="C72" s="6" t="n">
        <v>3</v>
      </c>
      <c r="D72" s="7" t="n"/>
      <c r="E72" s="7" t="n"/>
      <c r="F72" s="9">
        <f>IFERROR(D72-E72,"")</f>
        <v/>
      </c>
      <c r="G72" s="7" t="n"/>
      <c r="H72" s="7" t="n"/>
      <c r="I72" s="7" t="n"/>
      <c r="J72" s="9">
        <f>IFERROR(ROUND(I72*20/F72,2),"")</f>
        <v/>
      </c>
      <c r="K72" s="9">
        <f>IFERROR(ROUND(STDEV(G70:G75)/AVERAGE(G70:G75)*100,2),"")</f>
        <v/>
      </c>
      <c r="L72" s="9">
        <f>IFERROR(ROUND(STDEV(J70:J75)/AVERAGE(J70:J75)*100,2),"")</f>
        <v/>
      </c>
      <c r="M72" s="9">
        <f>IFERROR(AVERAGE(J70:J75)-TINV(0.05,COUNT(J70:J75)-1)*STDEV(J70:J75)/SQRT(COUNT(J70:J75)),"")</f>
        <v/>
      </c>
      <c r="N72" s="9">
        <f>IFERROR(AVERAGE(J70:J75)+TINV(0.05,COUNT(J70:J75)-1)*STDEV(J70:J75)/SQRT(COUNT(J70:J75)),"")</f>
        <v/>
      </c>
    </row>
    <row r="73" ht="22" customHeight="1">
      <c r="A73" s="6" t="inlineStr">
        <is>
          <t>IMP-06</t>
        </is>
      </c>
      <c r="B73" s="6" t="inlineStr">
        <is>
          <t>B</t>
        </is>
      </c>
      <c r="C73" s="6" t="n">
        <v>4</v>
      </c>
      <c r="D73" s="7" t="n"/>
      <c r="E73" s="7" t="n"/>
      <c r="F73" s="9">
        <f>IFERROR(D73-E73,"")</f>
        <v/>
      </c>
      <c r="G73" s="7" t="n"/>
      <c r="H73" s="7" t="n"/>
      <c r="I73" s="7" t="n"/>
      <c r="J73" s="9">
        <f>IFERROR(ROUND(I73*20/F73,2),"")</f>
        <v/>
      </c>
      <c r="K73" s="9">
        <f>IFERROR(ROUND(STDEV(G70:G75)/AVERAGE(G70:G75)*100,2),"")</f>
        <v/>
      </c>
      <c r="L73" s="9">
        <f>IFERROR(ROUND(STDEV(J70:J75)/AVERAGE(J70:J75)*100,2),"")</f>
        <v/>
      </c>
      <c r="M73" s="9">
        <f>IFERROR(AVERAGE(J70:J75)-TINV(0.05,COUNT(J70:J75)-1)*STDEV(J70:J75)/SQRT(COUNT(J70:J75)),"")</f>
        <v/>
      </c>
      <c r="N73" s="9">
        <f>IFERROR(AVERAGE(J70:J75)+TINV(0.05,COUNT(J70:J75)-1)*STDEV(J70:J75)/SQRT(COUNT(J70:J75)),"")</f>
        <v/>
      </c>
    </row>
    <row r="74" ht="22" customHeight="1">
      <c r="A74" s="6" t="inlineStr">
        <is>
          <t>IMP-06</t>
        </is>
      </c>
      <c r="B74" s="6" t="inlineStr">
        <is>
          <t>B</t>
        </is>
      </c>
      <c r="C74" s="6" t="n">
        <v>5</v>
      </c>
      <c r="D74" s="7" t="n"/>
      <c r="E74" s="7" t="n"/>
      <c r="F74" s="9">
        <f>IFERROR(D74-E74,"")</f>
        <v/>
      </c>
      <c r="G74" s="7" t="n"/>
      <c r="H74" s="7" t="n"/>
      <c r="I74" s="7" t="n"/>
      <c r="J74" s="9">
        <f>IFERROR(ROUND(I74*20/F74,2),"")</f>
        <v/>
      </c>
      <c r="K74" s="9">
        <f>IFERROR(ROUND(STDEV(G70:G75)/AVERAGE(G70:G75)*100,2),"")</f>
        <v/>
      </c>
      <c r="L74" s="9">
        <f>IFERROR(ROUND(STDEV(J70:J75)/AVERAGE(J70:J75)*100,2),"")</f>
        <v/>
      </c>
      <c r="M74" s="9">
        <f>IFERROR(AVERAGE(J70:J75)-TINV(0.05,COUNT(J70:J75)-1)*STDEV(J70:J75)/SQRT(COUNT(J70:J75)),"")</f>
        <v/>
      </c>
      <c r="N74" s="9">
        <f>IFERROR(AVERAGE(J70:J75)+TINV(0.05,COUNT(J70:J75)-1)*STDEV(J70:J75)/SQRT(COUNT(J70:J75)),"")</f>
        <v/>
      </c>
    </row>
    <row r="75" ht="22" customHeight="1">
      <c r="A75" s="6" t="inlineStr">
        <is>
          <t>IMP-06</t>
        </is>
      </c>
      <c r="B75" s="6" t="inlineStr">
        <is>
          <t>B</t>
        </is>
      </c>
      <c r="C75" s="6" t="n">
        <v>6</v>
      </c>
      <c r="D75" s="7" t="n"/>
      <c r="E75" s="7" t="n"/>
      <c r="F75" s="9">
        <f>IFERROR(D75-E75,"")</f>
        <v/>
      </c>
      <c r="G75" s="7" t="n"/>
      <c r="H75" s="7" t="n"/>
      <c r="I75" s="7" t="n"/>
      <c r="J75" s="9">
        <f>IFERROR(ROUND(I75*20/F75,2),"")</f>
        <v/>
      </c>
      <c r="K75" s="9">
        <f>IFERROR(ROUND(STDEV(G70:G75)/AVERAGE(G70:G75)*100,2),"")</f>
        <v/>
      </c>
      <c r="L75" s="9">
        <f>IFERROR(ROUND(STDEV(J70:J75)/AVERAGE(J70:J75)*100,2),"")</f>
        <v/>
      </c>
      <c r="M75" s="9">
        <f>IFERROR(AVERAGE(J70:J75)-TINV(0.05,COUNT(J70:J75)-1)*STDEV(J70:J75)/SQRT(COUNT(J70:J75)),"")</f>
        <v/>
      </c>
      <c r="N75" s="9">
        <f>IFERROR(AVERAGE(J70:J75)+TINV(0.05,COUNT(J70:J75)-1)*STDEV(J70:J75)/SQRT(COUNT(J70:J75)),"")</f>
        <v/>
      </c>
    </row>
    <row r="76" ht="22" customHeight="1">
      <c r="A76" s="6" t="inlineStr">
        <is>
          <t>IMP-07</t>
        </is>
      </c>
      <c r="B76" s="6" t="inlineStr">
        <is>
          <t>A</t>
        </is>
      </c>
      <c r="C76" s="6" t="n">
        <v>1</v>
      </c>
      <c r="D76" s="7" t="n"/>
      <c r="E76" s="7" t="n"/>
      <c r="F76" s="9">
        <f>IFERROR(D76-E76,"")</f>
        <v/>
      </c>
      <c r="G76" s="7" t="n"/>
      <c r="H76" s="7" t="n"/>
      <c r="I76" s="7" t="n"/>
      <c r="J76" s="9">
        <f>IFERROR(ROUND(I76*20/F76,2),"")</f>
        <v/>
      </c>
      <c r="K76" s="9">
        <f>IFERROR(ROUND(STDEV(G76:G81)/AVERAGE(G76:G81)*100,2),"")</f>
        <v/>
      </c>
      <c r="L76" s="9">
        <f>IFERROR(ROUND(STDEV(J76:J81)/AVERAGE(J76:J81)*100,2),"")</f>
        <v/>
      </c>
      <c r="M76" s="9">
        <f>IFERROR(AVERAGE(J76:J81)-TINV(0.05,COUNT(J76:J81)-1)*STDEV(J76:J81)/SQRT(COUNT(J76:J81)),"")</f>
        <v/>
      </c>
      <c r="N76" s="9">
        <f>IFERROR(AVERAGE(J76:J81)+TINV(0.05,COUNT(J76:J81)-1)*STDEV(J76:J81)/SQRT(COUNT(J76:J81)),"")</f>
        <v/>
      </c>
    </row>
    <row r="77" ht="22" customHeight="1">
      <c r="A77" s="6" t="inlineStr">
        <is>
          <t>IMP-07</t>
        </is>
      </c>
      <c r="B77" s="6" t="inlineStr">
        <is>
          <t>A</t>
        </is>
      </c>
      <c r="C77" s="6" t="n">
        <v>2</v>
      </c>
      <c r="D77" s="7" t="n"/>
      <c r="E77" s="7" t="n"/>
      <c r="F77" s="9">
        <f>IFERROR(D77-E77,"")</f>
        <v/>
      </c>
      <c r="G77" s="7" t="n"/>
      <c r="H77" s="7" t="n"/>
      <c r="I77" s="7" t="n"/>
      <c r="J77" s="9">
        <f>IFERROR(ROUND(I77*20/F77,2),"")</f>
        <v/>
      </c>
      <c r="K77" s="9">
        <f>IFERROR(ROUND(STDEV(G76:G81)/AVERAGE(G76:G81)*100,2),"")</f>
        <v/>
      </c>
      <c r="L77" s="9">
        <f>IFERROR(ROUND(STDEV(J76:J81)/AVERAGE(J76:J81)*100,2),"")</f>
        <v/>
      </c>
      <c r="M77" s="9">
        <f>IFERROR(AVERAGE(J76:J81)-TINV(0.05,COUNT(J76:J81)-1)*STDEV(J76:J81)/SQRT(COUNT(J76:J81)),"")</f>
        <v/>
      </c>
      <c r="N77" s="9">
        <f>IFERROR(AVERAGE(J76:J81)+TINV(0.05,COUNT(J76:J81)-1)*STDEV(J76:J81)/SQRT(COUNT(J76:J81)),"")</f>
        <v/>
      </c>
    </row>
    <row r="78" ht="22" customHeight="1">
      <c r="A78" s="6" t="inlineStr">
        <is>
          <t>IMP-07</t>
        </is>
      </c>
      <c r="B78" s="6" t="inlineStr">
        <is>
          <t>A</t>
        </is>
      </c>
      <c r="C78" s="6" t="n">
        <v>3</v>
      </c>
      <c r="D78" s="7" t="n"/>
      <c r="E78" s="7" t="n"/>
      <c r="F78" s="9">
        <f>IFERROR(D78-E78,"")</f>
        <v/>
      </c>
      <c r="G78" s="7" t="n"/>
      <c r="H78" s="7" t="n"/>
      <c r="I78" s="7" t="n"/>
      <c r="J78" s="9">
        <f>IFERROR(ROUND(I78*20/F78,2),"")</f>
        <v/>
      </c>
      <c r="K78" s="9">
        <f>IFERROR(ROUND(STDEV(G76:G81)/AVERAGE(G76:G81)*100,2),"")</f>
        <v/>
      </c>
      <c r="L78" s="9">
        <f>IFERROR(ROUND(STDEV(J76:J81)/AVERAGE(J76:J81)*100,2),"")</f>
        <v/>
      </c>
      <c r="M78" s="9">
        <f>IFERROR(AVERAGE(J76:J81)-TINV(0.05,COUNT(J76:J81)-1)*STDEV(J76:J81)/SQRT(COUNT(J76:J81)),"")</f>
        <v/>
      </c>
      <c r="N78" s="9">
        <f>IFERROR(AVERAGE(J76:J81)+TINV(0.05,COUNT(J76:J81)-1)*STDEV(J76:J81)/SQRT(COUNT(J76:J81)),"")</f>
        <v/>
      </c>
    </row>
    <row r="79" ht="22" customHeight="1">
      <c r="A79" s="6" t="inlineStr">
        <is>
          <t>IMP-07</t>
        </is>
      </c>
      <c r="B79" s="6" t="inlineStr">
        <is>
          <t>A</t>
        </is>
      </c>
      <c r="C79" s="6" t="n">
        <v>4</v>
      </c>
      <c r="D79" s="7" t="n"/>
      <c r="E79" s="7" t="n"/>
      <c r="F79" s="9">
        <f>IFERROR(D79-E79,"")</f>
        <v/>
      </c>
      <c r="G79" s="7" t="n"/>
      <c r="H79" s="7" t="n"/>
      <c r="I79" s="7" t="n"/>
      <c r="J79" s="9">
        <f>IFERROR(ROUND(I79*20/F79,2),"")</f>
        <v/>
      </c>
      <c r="K79" s="9">
        <f>IFERROR(ROUND(STDEV(G76:G81)/AVERAGE(G76:G81)*100,2),"")</f>
        <v/>
      </c>
      <c r="L79" s="9">
        <f>IFERROR(ROUND(STDEV(J76:J81)/AVERAGE(J76:J81)*100,2),"")</f>
        <v/>
      </c>
      <c r="M79" s="9">
        <f>IFERROR(AVERAGE(J76:J81)-TINV(0.05,COUNT(J76:J81)-1)*STDEV(J76:J81)/SQRT(COUNT(J76:J81)),"")</f>
        <v/>
      </c>
      <c r="N79" s="9">
        <f>IFERROR(AVERAGE(J76:J81)+TINV(0.05,COUNT(J76:J81)-1)*STDEV(J76:J81)/SQRT(COUNT(J76:J81)),"")</f>
        <v/>
      </c>
    </row>
    <row r="80" ht="22" customHeight="1">
      <c r="A80" s="6" t="inlineStr">
        <is>
          <t>IMP-07</t>
        </is>
      </c>
      <c r="B80" s="6" t="inlineStr">
        <is>
          <t>A</t>
        </is>
      </c>
      <c r="C80" s="6" t="n">
        <v>5</v>
      </c>
      <c r="D80" s="7" t="n"/>
      <c r="E80" s="7" t="n"/>
      <c r="F80" s="9">
        <f>IFERROR(D80-E80,"")</f>
        <v/>
      </c>
      <c r="G80" s="7" t="n"/>
      <c r="H80" s="7" t="n"/>
      <c r="I80" s="7" t="n"/>
      <c r="J80" s="9">
        <f>IFERROR(ROUND(I80*20/F80,2),"")</f>
        <v/>
      </c>
      <c r="K80" s="9">
        <f>IFERROR(ROUND(STDEV(G76:G81)/AVERAGE(G76:G81)*100,2),"")</f>
        <v/>
      </c>
      <c r="L80" s="9">
        <f>IFERROR(ROUND(STDEV(J76:J81)/AVERAGE(J76:J81)*100,2),"")</f>
        <v/>
      </c>
      <c r="M80" s="9">
        <f>IFERROR(AVERAGE(J76:J81)-TINV(0.05,COUNT(J76:J81)-1)*STDEV(J76:J81)/SQRT(COUNT(J76:J81)),"")</f>
        <v/>
      </c>
      <c r="N80" s="9">
        <f>IFERROR(AVERAGE(J76:J81)+TINV(0.05,COUNT(J76:J81)-1)*STDEV(J76:J81)/SQRT(COUNT(J76:J81)),"")</f>
        <v/>
      </c>
    </row>
    <row r="81" ht="22" customHeight="1">
      <c r="A81" s="6" t="inlineStr">
        <is>
          <t>IMP-07</t>
        </is>
      </c>
      <c r="B81" s="6" t="inlineStr">
        <is>
          <t>A</t>
        </is>
      </c>
      <c r="C81" s="6" t="n">
        <v>6</v>
      </c>
      <c r="D81" s="7" t="n"/>
      <c r="E81" s="7" t="n"/>
      <c r="F81" s="9">
        <f>IFERROR(D81-E81,"")</f>
        <v/>
      </c>
      <c r="G81" s="7" t="n"/>
      <c r="H81" s="7" t="n"/>
      <c r="I81" s="7" t="n"/>
      <c r="J81" s="9">
        <f>IFERROR(ROUND(I81*20/F81,2),"")</f>
        <v/>
      </c>
      <c r="K81" s="9">
        <f>IFERROR(ROUND(STDEV(G76:G81)/AVERAGE(G76:G81)*100,2),"")</f>
        <v/>
      </c>
      <c r="L81" s="9">
        <f>IFERROR(ROUND(STDEV(J76:J81)/AVERAGE(J76:J81)*100,2),"")</f>
        <v/>
      </c>
      <c r="M81" s="9">
        <f>IFERROR(AVERAGE(J76:J81)-TINV(0.05,COUNT(J76:J81)-1)*STDEV(J76:J81)/SQRT(COUNT(J76:J81)),"")</f>
        <v/>
      </c>
      <c r="N81" s="9">
        <f>IFERROR(AVERAGE(J76:J81)+TINV(0.05,COUNT(J76:J81)-1)*STDEV(J76:J81)/SQRT(COUNT(J76:J81)),"")</f>
        <v/>
      </c>
    </row>
    <row r="82" ht="22" customHeight="1">
      <c r="A82" s="6" t="inlineStr">
        <is>
          <t>IMP-07</t>
        </is>
      </c>
      <c r="B82" s="6" t="inlineStr">
        <is>
          <t>B</t>
        </is>
      </c>
      <c r="C82" s="6" t="n">
        <v>1</v>
      </c>
      <c r="D82" s="7" t="n"/>
      <c r="E82" s="7" t="n"/>
      <c r="F82" s="9">
        <f>IFERROR(D82-E82,"")</f>
        <v/>
      </c>
      <c r="G82" s="7" t="n"/>
      <c r="H82" s="7" t="n"/>
      <c r="I82" s="7" t="n"/>
      <c r="J82" s="9">
        <f>IFERROR(ROUND(I82*20/F82,2),"")</f>
        <v/>
      </c>
      <c r="K82" s="9">
        <f>IFERROR(ROUND(STDEV(G82:G87)/AVERAGE(G82:G87)*100,2),"")</f>
        <v/>
      </c>
      <c r="L82" s="9">
        <f>IFERROR(ROUND(STDEV(J82:J87)/AVERAGE(J82:J87)*100,2),"")</f>
        <v/>
      </c>
      <c r="M82" s="9">
        <f>IFERROR(AVERAGE(J82:J87)-TINV(0.05,COUNT(J82:J87)-1)*STDEV(J82:J87)/SQRT(COUNT(J82:J87)),"")</f>
        <v/>
      </c>
      <c r="N82" s="9">
        <f>IFERROR(AVERAGE(J82:J87)+TINV(0.05,COUNT(J82:J87)-1)*STDEV(J82:J87)/SQRT(COUNT(J82:J87)),"")</f>
        <v/>
      </c>
    </row>
    <row r="83" ht="22" customHeight="1">
      <c r="A83" s="6" t="inlineStr">
        <is>
          <t>IMP-07</t>
        </is>
      </c>
      <c r="B83" s="6" t="inlineStr">
        <is>
          <t>B</t>
        </is>
      </c>
      <c r="C83" s="6" t="n">
        <v>2</v>
      </c>
      <c r="D83" s="7" t="n"/>
      <c r="E83" s="7" t="n"/>
      <c r="F83" s="9">
        <f>IFERROR(D83-E83,"")</f>
        <v/>
      </c>
      <c r="G83" s="7" t="n"/>
      <c r="H83" s="7" t="n"/>
      <c r="I83" s="7" t="n"/>
      <c r="J83" s="9">
        <f>IFERROR(ROUND(I83*20/F83,2),"")</f>
        <v/>
      </c>
      <c r="K83" s="9">
        <f>IFERROR(ROUND(STDEV(G82:G87)/AVERAGE(G82:G87)*100,2),"")</f>
        <v/>
      </c>
      <c r="L83" s="9">
        <f>IFERROR(ROUND(STDEV(J82:J87)/AVERAGE(J82:J87)*100,2),"")</f>
        <v/>
      </c>
      <c r="M83" s="9">
        <f>IFERROR(AVERAGE(J82:J87)-TINV(0.05,COUNT(J82:J87)-1)*STDEV(J82:J87)/SQRT(COUNT(J82:J87)),"")</f>
        <v/>
      </c>
      <c r="N83" s="9">
        <f>IFERROR(AVERAGE(J82:J87)+TINV(0.05,COUNT(J82:J87)-1)*STDEV(J82:J87)/SQRT(COUNT(J82:J87)),"")</f>
        <v/>
      </c>
    </row>
    <row r="84" ht="22" customHeight="1">
      <c r="A84" s="6" t="inlineStr">
        <is>
          <t>IMP-07</t>
        </is>
      </c>
      <c r="B84" s="6" t="inlineStr">
        <is>
          <t>B</t>
        </is>
      </c>
      <c r="C84" s="6" t="n">
        <v>3</v>
      </c>
      <c r="D84" s="7" t="n"/>
      <c r="E84" s="7" t="n"/>
      <c r="F84" s="9">
        <f>IFERROR(D84-E84,"")</f>
        <v/>
      </c>
      <c r="G84" s="7" t="n"/>
      <c r="H84" s="7" t="n"/>
      <c r="I84" s="7" t="n"/>
      <c r="J84" s="9">
        <f>IFERROR(ROUND(I84*20/F84,2),"")</f>
        <v/>
      </c>
      <c r="K84" s="9">
        <f>IFERROR(ROUND(STDEV(G82:G87)/AVERAGE(G82:G87)*100,2),"")</f>
        <v/>
      </c>
      <c r="L84" s="9">
        <f>IFERROR(ROUND(STDEV(J82:J87)/AVERAGE(J82:J87)*100,2),"")</f>
        <v/>
      </c>
      <c r="M84" s="9">
        <f>IFERROR(AVERAGE(J82:J87)-TINV(0.05,COUNT(J82:J87)-1)*STDEV(J82:J87)/SQRT(COUNT(J82:J87)),"")</f>
        <v/>
      </c>
      <c r="N84" s="9">
        <f>IFERROR(AVERAGE(J82:J87)+TINV(0.05,COUNT(J82:J87)-1)*STDEV(J82:J87)/SQRT(COUNT(J82:J87)),"")</f>
        <v/>
      </c>
    </row>
    <row r="85" ht="22" customHeight="1">
      <c r="A85" s="6" t="inlineStr">
        <is>
          <t>IMP-07</t>
        </is>
      </c>
      <c r="B85" s="6" t="inlineStr">
        <is>
          <t>B</t>
        </is>
      </c>
      <c r="C85" s="6" t="n">
        <v>4</v>
      </c>
      <c r="D85" s="7" t="n"/>
      <c r="E85" s="7" t="n"/>
      <c r="F85" s="9">
        <f>IFERROR(D85-E85,"")</f>
        <v/>
      </c>
      <c r="G85" s="7" t="n"/>
      <c r="H85" s="7" t="n"/>
      <c r="I85" s="7" t="n"/>
      <c r="J85" s="9">
        <f>IFERROR(ROUND(I85*20/F85,2),"")</f>
        <v/>
      </c>
      <c r="K85" s="9">
        <f>IFERROR(ROUND(STDEV(G82:G87)/AVERAGE(G82:G87)*100,2),"")</f>
        <v/>
      </c>
      <c r="L85" s="9">
        <f>IFERROR(ROUND(STDEV(J82:J87)/AVERAGE(J82:J87)*100,2),"")</f>
        <v/>
      </c>
      <c r="M85" s="9">
        <f>IFERROR(AVERAGE(J82:J87)-TINV(0.05,COUNT(J82:J87)-1)*STDEV(J82:J87)/SQRT(COUNT(J82:J87)),"")</f>
        <v/>
      </c>
      <c r="N85" s="9">
        <f>IFERROR(AVERAGE(J82:J87)+TINV(0.05,COUNT(J82:J87)-1)*STDEV(J82:J87)/SQRT(COUNT(J82:J87)),"")</f>
        <v/>
      </c>
    </row>
    <row r="86" ht="22" customHeight="1">
      <c r="A86" s="6" t="inlineStr">
        <is>
          <t>IMP-07</t>
        </is>
      </c>
      <c r="B86" s="6" t="inlineStr">
        <is>
          <t>B</t>
        </is>
      </c>
      <c r="C86" s="6" t="n">
        <v>5</v>
      </c>
      <c r="D86" s="7" t="n"/>
      <c r="E86" s="7" t="n"/>
      <c r="F86" s="9">
        <f>IFERROR(D86-E86,"")</f>
        <v/>
      </c>
      <c r="G86" s="7" t="n"/>
      <c r="H86" s="7" t="n"/>
      <c r="I86" s="7" t="n"/>
      <c r="J86" s="9">
        <f>IFERROR(ROUND(I86*20/F86,2),"")</f>
        <v/>
      </c>
      <c r="K86" s="9">
        <f>IFERROR(ROUND(STDEV(G82:G87)/AVERAGE(G82:G87)*100,2),"")</f>
        <v/>
      </c>
      <c r="L86" s="9">
        <f>IFERROR(ROUND(STDEV(J82:J87)/AVERAGE(J82:J87)*100,2),"")</f>
        <v/>
      </c>
      <c r="M86" s="9">
        <f>IFERROR(AVERAGE(J82:J87)-TINV(0.05,COUNT(J82:J87)-1)*STDEV(J82:J87)/SQRT(COUNT(J82:J87)),"")</f>
        <v/>
      </c>
      <c r="N86" s="9">
        <f>IFERROR(AVERAGE(J82:J87)+TINV(0.05,COUNT(J82:J87)-1)*STDEV(J82:J87)/SQRT(COUNT(J82:J87)),"")</f>
        <v/>
      </c>
    </row>
    <row r="87" ht="22" customHeight="1">
      <c r="A87" s="6" t="inlineStr">
        <is>
          <t>IMP-07</t>
        </is>
      </c>
      <c r="B87" s="6" t="inlineStr">
        <is>
          <t>B</t>
        </is>
      </c>
      <c r="C87" s="6" t="n">
        <v>6</v>
      </c>
      <c r="D87" s="7" t="n"/>
      <c r="E87" s="7" t="n"/>
      <c r="F87" s="9">
        <f>IFERROR(D87-E87,"")</f>
        <v/>
      </c>
      <c r="G87" s="7" t="n"/>
      <c r="H87" s="7" t="n"/>
      <c r="I87" s="7" t="n"/>
      <c r="J87" s="9">
        <f>IFERROR(ROUND(I87*20/F87,2),"")</f>
        <v/>
      </c>
      <c r="K87" s="9">
        <f>IFERROR(ROUND(STDEV(G82:G87)/AVERAGE(G82:G87)*100,2),"")</f>
        <v/>
      </c>
      <c r="L87" s="9">
        <f>IFERROR(ROUND(STDEV(J82:J87)/AVERAGE(J82:J87)*100,2),"")</f>
        <v/>
      </c>
      <c r="M87" s="9">
        <f>IFERROR(AVERAGE(J82:J87)-TINV(0.05,COUNT(J82:J87)-1)*STDEV(J82:J87)/SQRT(COUNT(J82:J87)),"")</f>
        <v/>
      </c>
      <c r="N87" s="9">
        <f>IFERROR(AVERAGE(J82:J87)+TINV(0.05,COUNT(J82:J87)-1)*STDEV(J82:J87)/SQRT(COUNT(J82:J87)),"")</f>
        <v/>
      </c>
    </row>
    <row r="88" ht="22" customHeight="1">
      <c r="A88" s="6" t="inlineStr">
        <is>
          <t>IMP-08</t>
        </is>
      </c>
      <c r="B88" s="6" t="inlineStr">
        <is>
          <t>A</t>
        </is>
      </c>
      <c r="C88" s="6" t="n">
        <v>1</v>
      </c>
      <c r="D88" s="7" t="n"/>
      <c r="E88" s="7" t="n"/>
      <c r="F88" s="9">
        <f>IFERROR(D88-E88,"")</f>
        <v/>
      </c>
      <c r="G88" s="7" t="n"/>
      <c r="H88" s="7" t="n"/>
      <c r="I88" s="7" t="n"/>
      <c r="J88" s="9">
        <f>IFERROR(ROUND(I88*20/F88,2),"")</f>
        <v/>
      </c>
      <c r="K88" s="9">
        <f>IFERROR(ROUND(STDEV(G88:G93)/AVERAGE(G88:G93)*100,2),"")</f>
        <v/>
      </c>
      <c r="L88" s="9">
        <f>IFERROR(ROUND(STDEV(J88:J93)/AVERAGE(J88:J93)*100,2),"")</f>
        <v/>
      </c>
      <c r="M88" s="9">
        <f>IFERROR(AVERAGE(J88:J93)-TINV(0.05,COUNT(J88:J93)-1)*STDEV(J88:J93)/SQRT(COUNT(J88:J93)),"")</f>
        <v/>
      </c>
      <c r="N88" s="9">
        <f>IFERROR(AVERAGE(J88:J93)+TINV(0.05,COUNT(J88:J93)-1)*STDEV(J88:J93)/SQRT(COUNT(J88:J93)),"")</f>
        <v/>
      </c>
    </row>
    <row r="89" ht="22" customHeight="1">
      <c r="A89" s="6" t="inlineStr">
        <is>
          <t>IMP-08</t>
        </is>
      </c>
      <c r="B89" s="6" t="inlineStr">
        <is>
          <t>A</t>
        </is>
      </c>
      <c r="C89" s="6" t="n">
        <v>2</v>
      </c>
      <c r="D89" s="7" t="n"/>
      <c r="E89" s="7" t="n"/>
      <c r="F89" s="9">
        <f>IFERROR(D89-E89,"")</f>
        <v/>
      </c>
      <c r="G89" s="7" t="n"/>
      <c r="H89" s="7" t="n"/>
      <c r="I89" s="7" t="n"/>
      <c r="J89" s="9">
        <f>IFERROR(ROUND(I89*20/F89,2),"")</f>
        <v/>
      </c>
      <c r="K89" s="9">
        <f>IFERROR(ROUND(STDEV(G88:G93)/AVERAGE(G88:G93)*100,2),"")</f>
        <v/>
      </c>
      <c r="L89" s="9">
        <f>IFERROR(ROUND(STDEV(J88:J93)/AVERAGE(J88:J93)*100,2),"")</f>
        <v/>
      </c>
      <c r="M89" s="9">
        <f>IFERROR(AVERAGE(J88:J93)-TINV(0.05,COUNT(J88:J93)-1)*STDEV(J88:J93)/SQRT(COUNT(J88:J93)),"")</f>
        <v/>
      </c>
      <c r="N89" s="9">
        <f>IFERROR(AVERAGE(J88:J93)+TINV(0.05,COUNT(J88:J93)-1)*STDEV(J88:J93)/SQRT(COUNT(J88:J93)),"")</f>
        <v/>
      </c>
    </row>
    <row r="90" ht="22" customHeight="1">
      <c r="A90" s="6" t="inlineStr">
        <is>
          <t>IMP-08</t>
        </is>
      </c>
      <c r="B90" s="6" t="inlineStr">
        <is>
          <t>A</t>
        </is>
      </c>
      <c r="C90" s="6" t="n">
        <v>3</v>
      </c>
      <c r="D90" s="7" t="n"/>
      <c r="E90" s="7" t="n"/>
      <c r="F90" s="9">
        <f>IFERROR(D90-E90,"")</f>
        <v/>
      </c>
      <c r="G90" s="7" t="n"/>
      <c r="H90" s="7" t="n"/>
      <c r="I90" s="7" t="n"/>
      <c r="J90" s="9">
        <f>IFERROR(ROUND(I90*20/F90,2),"")</f>
        <v/>
      </c>
      <c r="K90" s="9">
        <f>IFERROR(ROUND(STDEV(G88:G93)/AVERAGE(G88:G93)*100,2),"")</f>
        <v/>
      </c>
      <c r="L90" s="9">
        <f>IFERROR(ROUND(STDEV(J88:J93)/AVERAGE(J88:J93)*100,2),"")</f>
        <v/>
      </c>
      <c r="M90" s="9">
        <f>IFERROR(AVERAGE(J88:J93)-TINV(0.05,COUNT(J88:J93)-1)*STDEV(J88:J93)/SQRT(COUNT(J88:J93)),"")</f>
        <v/>
      </c>
      <c r="N90" s="9">
        <f>IFERROR(AVERAGE(J88:J93)+TINV(0.05,COUNT(J88:J93)-1)*STDEV(J88:J93)/SQRT(COUNT(J88:J93)),"")</f>
        <v/>
      </c>
    </row>
    <row r="91" ht="22" customHeight="1">
      <c r="A91" s="6" t="inlineStr">
        <is>
          <t>IMP-08</t>
        </is>
      </c>
      <c r="B91" s="6" t="inlineStr">
        <is>
          <t>A</t>
        </is>
      </c>
      <c r="C91" s="6" t="n">
        <v>4</v>
      </c>
      <c r="D91" s="7" t="n"/>
      <c r="E91" s="7" t="n"/>
      <c r="F91" s="9">
        <f>IFERROR(D91-E91,"")</f>
        <v/>
      </c>
      <c r="G91" s="7" t="n"/>
      <c r="H91" s="7" t="n"/>
      <c r="I91" s="7" t="n"/>
      <c r="J91" s="9">
        <f>IFERROR(ROUND(I91*20/F91,2),"")</f>
        <v/>
      </c>
      <c r="K91" s="9">
        <f>IFERROR(ROUND(STDEV(G88:G93)/AVERAGE(G88:G93)*100,2),"")</f>
        <v/>
      </c>
      <c r="L91" s="9">
        <f>IFERROR(ROUND(STDEV(J88:J93)/AVERAGE(J88:J93)*100,2),"")</f>
        <v/>
      </c>
      <c r="M91" s="9">
        <f>IFERROR(AVERAGE(J88:J93)-TINV(0.05,COUNT(J88:J93)-1)*STDEV(J88:J93)/SQRT(COUNT(J88:J93)),"")</f>
        <v/>
      </c>
      <c r="N91" s="9">
        <f>IFERROR(AVERAGE(J88:J93)+TINV(0.05,COUNT(J88:J93)-1)*STDEV(J88:J93)/SQRT(COUNT(J88:J93)),"")</f>
        <v/>
      </c>
    </row>
    <row r="92" ht="22" customHeight="1">
      <c r="A92" s="6" t="inlineStr">
        <is>
          <t>IMP-08</t>
        </is>
      </c>
      <c r="B92" s="6" t="inlineStr">
        <is>
          <t>A</t>
        </is>
      </c>
      <c r="C92" s="6" t="n">
        <v>5</v>
      </c>
      <c r="D92" s="7" t="n"/>
      <c r="E92" s="7" t="n"/>
      <c r="F92" s="9">
        <f>IFERROR(D92-E92,"")</f>
        <v/>
      </c>
      <c r="G92" s="7" t="n"/>
      <c r="H92" s="7" t="n"/>
      <c r="I92" s="7" t="n"/>
      <c r="J92" s="9">
        <f>IFERROR(ROUND(I92*20/F92,2),"")</f>
        <v/>
      </c>
      <c r="K92" s="9">
        <f>IFERROR(ROUND(STDEV(G88:G93)/AVERAGE(G88:G93)*100,2),"")</f>
        <v/>
      </c>
      <c r="L92" s="9">
        <f>IFERROR(ROUND(STDEV(J88:J93)/AVERAGE(J88:J93)*100,2),"")</f>
        <v/>
      </c>
      <c r="M92" s="9">
        <f>IFERROR(AVERAGE(J88:J93)-TINV(0.05,COUNT(J88:J93)-1)*STDEV(J88:J93)/SQRT(COUNT(J88:J93)),"")</f>
        <v/>
      </c>
      <c r="N92" s="9">
        <f>IFERROR(AVERAGE(J88:J93)+TINV(0.05,COUNT(J88:J93)-1)*STDEV(J88:J93)/SQRT(COUNT(J88:J93)),"")</f>
        <v/>
      </c>
    </row>
    <row r="93" ht="22" customHeight="1">
      <c r="A93" s="6" t="inlineStr">
        <is>
          <t>IMP-08</t>
        </is>
      </c>
      <c r="B93" s="6" t="inlineStr">
        <is>
          <t>A</t>
        </is>
      </c>
      <c r="C93" s="6" t="n">
        <v>6</v>
      </c>
      <c r="D93" s="7" t="n"/>
      <c r="E93" s="7" t="n"/>
      <c r="F93" s="9">
        <f>IFERROR(D93-E93,"")</f>
        <v/>
      </c>
      <c r="G93" s="7" t="n"/>
      <c r="H93" s="7" t="n"/>
      <c r="I93" s="7" t="n"/>
      <c r="J93" s="9">
        <f>IFERROR(ROUND(I93*20/F93,2),"")</f>
        <v/>
      </c>
      <c r="K93" s="9">
        <f>IFERROR(ROUND(STDEV(G88:G93)/AVERAGE(G88:G93)*100,2),"")</f>
        <v/>
      </c>
      <c r="L93" s="9">
        <f>IFERROR(ROUND(STDEV(J88:J93)/AVERAGE(J88:J93)*100,2),"")</f>
        <v/>
      </c>
      <c r="M93" s="9">
        <f>IFERROR(AVERAGE(J88:J93)-TINV(0.05,COUNT(J88:J93)-1)*STDEV(J88:J93)/SQRT(COUNT(J88:J93)),"")</f>
        <v/>
      </c>
      <c r="N93" s="9">
        <f>IFERROR(AVERAGE(J88:J93)+TINV(0.05,COUNT(J88:J93)-1)*STDEV(J88:J93)/SQRT(COUNT(J88:J93)),"")</f>
        <v/>
      </c>
    </row>
    <row r="94" ht="22" customHeight="1">
      <c r="A94" s="6" t="inlineStr">
        <is>
          <t>IMP-08</t>
        </is>
      </c>
      <c r="B94" s="6" t="inlineStr">
        <is>
          <t>B</t>
        </is>
      </c>
      <c r="C94" s="6" t="n">
        <v>1</v>
      </c>
      <c r="D94" s="7" t="n"/>
      <c r="E94" s="7" t="n"/>
      <c r="F94" s="9">
        <f>IFERROR(D94-E94,"")</f>
        <v/>
      </c>
      <c r="G94" s="7" t="n"/>
      <c r="H94" s="7" t="n"/>
      <c r="I94" s="7" t="n"/>
      <c r="J94" s="9">
        <f>IFERROR(ROUND(I94*20/F94,2),"")</f>
        <v/>
      </c>
      <c r="K94" s="9">
        <f>IFERROR(ROUND(STDEV(G94:G99)/AVERAGE(G94:G99)*100,2),"")</f>
        <v/>
      </c>
      <c r="L94" s="9">
        <f>IFERROR(ROUND(STDEV(J94:J99)/AVERAGE(J94:J99)*100,2),"")</f>
        <v/>
      </c>
      <c r="M94" s="9">
        <f>IFERROR(AVERAGE(J94:J99)-TINV(0.05,COUNT(J94:J99)-1)*STDEV(J94:J99)/SQRT(COUNT(J94:J99)),"")</f>
        <v/>
      </c>
      <c r="N94" s="9">
        <f>IFERROR(AVERAGE(J94:J99)+TINV(0.05,COUNT(J94:J99)-1)*STDEV(J94:J99)/SQRT(COUNT(J94:J99)),"")</f>
        <v/>
      </c>
    </row>
    <row r="95" ht="22" customHeight="1">
      <c r="A95" s="6" t="inlineStr">
        <is>
          <t>IMP-08</t>
        </is>
      </c>
      <c r="B95" s="6" t="inlineStr">
        <is>
          <t>B</t>
        </is>
      </c>
      <c r="C95" s="6" t="n">
        <v>2</v>
      </c>
      <c r="D95" s="7" t="n"/>
      <c r="E95" s="7" t="n"/>
      <c r="F95" s="9">
        <f>IFERROR(D95-E95,"")</f>
        <v/>
      </c>
      <c r="G95" s="7" t="n"/>
      <c r="H95" s="7" t="n"/>
      <c r="I95" s="7" t="n"/>
      <c r="J95" s="9">
        <f>IFERROR(ROUND(I95*20/F95,2),"")</f>
        <v/>
      </c>
      <c r="K95" s="9">
        <f>IFERROR(ROUND(STDEV(G94:G99)/AVERAGE(G94:G99)*100,2),"")</f>
        <v/>
      </c>
      <c r="L95" s="9">
        <f>IFERROR(ROUND(STDEV(J94:J99)/AVERAGE(J94:J99)*100,2),"")</f>
        <v/>
      </c>
      <c r="M95" s="9">
        <f>IFERROR(AVERAGE(J94:J99)-TINV(0.05,COUNT(J94:J99)-1)*STDEV(J94:J99)/SQRT(COUNT(J94:J99)),"")</f>
        <v/>
      </c>
      <c r="N95" s="9">
        <f>IFERROR(AVERAGE(J94:J99)+TINV(0.05,COUNT(J94:J99)-1)*STDEV(J94:J99)/SQRT(COUNT(J94:J99)),"")</f>
        <v/>
      </c>
    </row>
    <row r="96" ht="22" customHeight="1">
      <c r="A96" s="6" t="inlineStr">
        <is>
          <t>IMP-08</t>
        </is>
      </c>
      <c r="B96" s="6" t="inlineStr">
        <is>
          <t>B</t>
        </is>
      </c>
      <c r="C96" s="6" t="n">
        <v>3</v>
      </c>
      <c r="D96" s="7" t="n"/>
      <c r="E96" s="7" t="n"/>
      <c r="F96" s="9">
        <f>IFERROR(D96-E96,"")</f>
        <v/>
      </c>
      <c r="G96" s="7" t="n"/>
      <c r="H96" s="7" t="n"/>
      <c r="I96" s="7" t="n"/>
      <c r="J96" s="9">
        <f>IFERROR(ROUND(I96*20/F96,2),"")</f>
        <v/>
      </c>
      <c r="K96" s="9">
        <f>IFERROR(ROUND(STDEV(G94:G99)/AVERAGE(G94:G99)*100,2),"")</f>
        <v/>
      </c>
      <c r="L96" s="9">
        <f>IFERROR(ROUND(STDEV(J94:J99)/AVERAGE(J94:J99)*100,2),"")</f>
        <v/>
      </c>
      <c r="M96" s="9">
        <f>IFERROR(AVERAGE(J94:J99)-TINV(0.05,COUNT(J94:J99)-1)*STDEV(J94:J99)/SQRT(COUNT(J94:J99)),"")</f>
        <v/>
      </c>
      <c r="N96" s="9">
        <f>IFERROR(AVERAGE(J94:J99)+TINV(0.05,COUNT(J94:J99)-1)*STDEV(J94:J99)/SQRT(COUNT(J94:J99)),"")</f>
        <v/>
      </c>
    </row>
    <row r="97" ht="22" customHeight="1">
      <c r="A97" s="6" t="inlineStr">
        <is>
          <t>IMP-08</t>
        </is>
      </c>
      <c r="B97" s="6" t="inlineStr">
        <is>
          <t>B</t>
        </is>
      </c>
      <c r="C97" s="6" t="n">
        <v>4</v>
      </c>
      <c r="D97" s="7" t="n"/>
      <c r="E97" s="7" t="n"/>
      <c r="F97" s="9">
        <f>IFERROR(D97-E97,"")</f>
        <v/>
      </c>
      <c r="G97" s="7" t="n"/>
      <c r="H97" s="7" t="n"/>
      <c r="I97" s="7" t="n"/>
      <c r="J97" s="9">
        <f>IFERROR(ROUND(I97*20/F97,2),"")</f>
        <v/>
      </c>
      <c r="K97" s="9">
        <f>IFERROR(ROUND(STDEV(G94:G99)/AVERAGE(G94:G99)*100,2),"")</f>
        <v/>
      </c>
      <c r="L97" s="9">
        <f>IFERROR(ROUND(STDEV(J94:J99)/AVERAGE(J94:J99)*100,2),"")</f>
        <v/>
      </c>
      <c r="M97" s="9">
        <f>IFERROR(AVERAGE(J94:J99)-TINV(0.05,COUNT(J94:J99)-1)*STDEV(J94:J99)/SQRT(COUNT(J94:J99)),"")</f>
        <v/>
      </c>
      <c r="N97" s="9">
        <f>IFERROR(AVERAGE(J94:J99)+TINV(0.05,COUNT(J94:J99)-1)*STDEV(J94:J99)/SQRT(COUNT(J94:J99)),"")</f>
        <v/>
      </c>
    </row>
    <row r="98" ht="22" customHeight="1">
      <c r="A98" s="6" t="inlineStr">
        <is>
          <t>IMP-08</t>
        </is>
      </c>
      <c r="B98" s="6" t="inlineStr">
        <is>
          <t>B</t>
        </is>
      </c>
      <c r="C98" s="6" t="n">
        <v>5</v>
      </c>
      <c r="D98" s="7" t="n"/>
      <c r="E98" s="7" t="n"/>
      <c r="F98" s="9">
        <f>IFERROR(D98-E98,"")</f>
        <v/>
      </c>
      <c r="G98" s="7" t="n"/>
      <c r="H98" s="7" t="n"/>
      <c r="I98" s="7" t="n"/>
      <c r="J98" s="9">
        <f>IFERROR(ROUND(I98*20/F98,2),"")</f>
        <v/>
      </c>
      <c r="K98" s="9">
        <f>IFERROR(ROUND(STDEV(G94:G99)/AVERAGE(G94:G99)*100,2),"")</f>
        <v/>
      </c>
      <c r="L98" s="9">
        <f>IFERROR(ROUND(STDEV(J94:J99)/AVERAGE(J94:J99)*100,2),"")</f>
        <v/>
      </c>
      <c r="M98" s="9">
        <f>IFERROR(AVERAGE(J94:J99)-TINV(0.05,COUNT(J94:J99)-1)*STDEV(J94:J99)/SQRT(COUNT(J94:J99)),"")</f>
        <v/>
      </c>
      <c r="N98" s="9">
        <f>IFERROR(AVERAGE(J94:J99)+TINV(0.05,COUNT(J94:J99)-1)*STDEV(J94:J99)/SQRT(COUNT(J94:J99)),"")</f>
        <v/>
      </c>
    </row>
    <row r="99" ht="22" customHeight="1">
      <c r="A99" s="6" t="inlineStr">
        <is>
          <t>IMP-08</t>
        </is>
      </c>
      <c r="B99" s="6" t="inlineStr">
        <is>
          <t>B</t>
        </is>
      </c>
      <c r="C99" s="6" t="n">
        <v>6</v>
      </c>
      <c r="D99" s="7" t="n"/>
      <c r="E99" s="7" t="n"/>
      <c r="F99" s="9">
        <f>IFERROR(D99-E99,"")</f>
        <v/>
      </c>
      <c r="G99" s="7" t="n"/>
      <c r="H99" s="7" t="n"/>
      <c r="I99" s="7" t="n"/>
      <c r="J99" s="9">
        <f>IFERROR(ROUND(I99*20/F99,2),"")</f>
        <v/>
      </c>
      <c r="K99" s="9">
        <f>IFERROR(ROUND(STDEV(G94:G99)/AVERAGE(G94:G99)*100,2),"")</f>
        <v/>
      </c>
      <c r="L99" s="9">
        <f>IFERROR(ROUND(STDEV(J94:J99)/AVERAGE(J94:J99)*100,2),"")</f>
        <v/>
      </c>
      <c r="M99" s="9">
        <f>IFERROR(AVERAGE(J94:J99)-TINV(0.05,COUNT(J94:J99)-1)*STDEV(J94:J99)/SQRT(COUNT(J94:J99)),"")</f>
        <v/>
      </c>
      <c r="N99" s="9">
        <f>IFERROR(AVERAGE(J94:J99)+TINV(0.05,COUNT(J94:J99)-1)*STDEV(J94:J99)/SQRT(COUNT(J94:J99)),"")</f>
        <v/>
      </c>
    </row>
    <row r="100" ht="22" customHeight="1">
      <c r="A100" s="6" t="inlineStr">
        <is>
          <t>IMP-09</t>
        </is>
      </c>
      <c r="B100" s="6" t="inlineStr">
        <is>
          <t>A</t>
        </is>
      </c>
      <c r="C100" s="6" t="n">
        <v>1</v>
      </c>
      <c r="D100" s="7" t="n"/>
      <c r="E100" s="7" t="n"/>
      <c r="F100" s="9">
        <f>IFERROR(D100-E100,"")</f>
        <v/>
      </c>
      <c r="G100" s="7" t="n"/>
      <c r="H100" s="7" t="n"/>
      <c r="I100" s="7" t="n"/>
      <c r="J100" s="9">
        <f>IFERROR(ROUND(I100*20/F100,2),"")</f>
        <v/>
      </c>
      <c r="K100" s="9">
        <f>IFERROR(ROUND(STDEV(G100:G105)/AVERAGE(G100:G105)*100,2),"")</f>
        <v/>
      </c>
      <c r="L100" s="9">
        <f>IFERROR(ROUND(STDEV(J100:J105)/AVERAGE(J100:J105)*100,2),"")</f>
        <v/>
      </c>
      <c r="M100" s="9">
        <f>IFERROR(AVERAGE(J100:J105)-TINV(0.05,COUNT(J100:J105)-1)*STDEV(J100:J105)/SQRT(COUNT(J100:J105)),"")</f>
        <v/>
      </c>
      <c r="N100" s="9">
        <f>IFERROR(AVERAGE(J100:J105)+TINV(0.05,COUNT(J100:J105)-1)*STDEV(J100:J105)/SQRT(COUNT(J100:J105)),"")</f>
        <v/>
      </c>
    </row>
    <row r="101" ht="22" customHeight="1">
      <c r="A101" s="6" t="inlineStr">
        <is>
          <t>IMP-09</t>
        </is>
      </c>
      <c r="B101" s="6" t="inlineStr">
        <is>
          <t>A</t>
        </is>
      </c>
      <c r="C101" s="6" t="n">
        <v>2</v>
      </c>
      <c r="D101" s="7" t="n"/>
      <c r="E101" s="7" t="n"/>
      <c r="F101" s="9">
        <f>IFERROR(D101-E101,"")</f>
        <v/>
      </c>
      <c r="G101" s="7" t="n"/>
      <c r="H101" s="7" t="n"/>
      <c r="I101" s="7" t="n"/>
      <c r="J101" s="9">
        <f>IFERROR(ROUND(I101*20/F101,2),"")</f>
        <v/>
      </c>
      <c r="K101" s="9">
        <f>IFERROR(ROUND(STDEV(G100:G105)/AVERAGE(G100:G105)*100,2),"")</f>
        <v/>
      </c>
      <c r="L101" s="9">
        <f>IFERROR(ROUND(STDEV(J100:J105)/AVERAGE(J100:J105)*100,2),"")</f>
        <v/>
      </c>
      <c r="M101" s="9">
        <f>IFERROR(AVERAGE(J100:J105)-TINV(0.05,COUNT(J100:J105)-1)*STDEV(J100:J105)/SQRT(COUNT(J100:J105)),"")</f>
        <v/>
      </c>
      <c r="N101" s="9">
        <f>IFERROR(AVERAGE(J100:J105)+TINV(0.05,COUNT(J100:J105)-1)*STDEV(J100:J105)/SQRT(COUNT(J100:J105)),"")</f>
        <v/>
      </c>
    </row>
    <row r="102" ht="22" customHeight="1">
      <c r="A102" s="6" t="inlineStr">
        <is>
          <t>IMP-09</t>
        </is>
      </c>
      <c r="B102" s="6" t="inlineStr">
        <is>
          <t>A</t>
        </is>
      </c>
      <c r="C102" s="6" t="n">
        <v>3</v>
      </c>
      <c r="D102" s="7" t="n"/>
      <c r="E102" s="7" t="n"/>
      <c r="F102" s="9">
        <f>IFERROR(D102-E102,"")</f>
        <v/>
      </c>
      <c r="G102" s="7" t="n"/>
      <c r="H102" s="7" t="n"/>
      <c r="I102" s="7" t="n"/>
      <c r="J102" s="9">
        <f>IFERROR(ROUND(I102*20/F102,2),"")</f>
        <v/>
      </c>
      <c r="K102" s="9">
        <f>IFERROR(ROUND(STDEV(G100:G105)/AVERAGE(G100:G105)*100,2),"")</f>
        <v/>
      </c>
      <c r="L102" s="9">
        <f>IFERROR(ROUND(STDEV(J100:J105)/AVERAGE(J100:J105)*100,2),"")</f>
        <v/>
      </c>
      <c r="M102" s="9">
        <f>IFERROR(AVERAGE(J100:J105)-TINV(0.05,COUNT(J100:J105)-1)*STDEV(J100:J105)/SQRT(COUNT(J100:J105)),"")</f>
        <v/>
      </c>
      <c r="N102" s="9">
        <f>IFERROR(AVERAGE(J100:J105)+TINV(0.05,COUNT(J100:J105)-1)*STDEV(J100:J105)/SQRT(COUNT(J100:J105)),"")</f>
        <v/>
      </c>
    </row>
    <row r="103" ht="22" customHeight="1">
      <c r="A103" s="6" t="inlineStr">
        <is>
          <t>IMP-09</t>
        </is>
      </c>
      <c r="B103" s="6" t="inlineStr">
        <is>
          <t>A</t>
        </is>
      </c>
      <c r="C103" s="6" t="n">
        <v>4</v>
      </c>
      <c r="D103" s="7" t="n"/>
      <c r="E103" s="7" t="n"/>
      <c r="F103" s="9">
        <f>IFERROR(D103-E103,"")</f>
        <v/>
      </c>
      <c r="G103" s="7" t="n"/>
      <c r="H103" s="7" t="n"/>
      <c r="I103" s="7" t="n"/>
      <c r="J103" s="9">
        <f>IFERROR(ROUND(I103*20/F103,2),"")</f>
        <v/>
      </c>
      <c r="K103" s="9">
        <f>IFERROR(ROUND(STDEV(G100:G105)/AVERAGE(G100:G105)*100,2),"")</f>
        <v/>
      </c>
      <c r="L103" s="9">
        <f>IFERROR(ROUND(STDEV(J100:J105)/AVERAGE(J100:J105)*100,2),"")</f>
        <v/>
      </c>
      <c r="M103" s="9">
        <f>IFERROR(AVERAGE(J100:J105)-TINV(0.05,COUNT(J100:J105)-1)*STDEV(J100:J105)/SQRT(COUNT(J100:J105)),"")</f>
        <v/>
      </c>
      <c r="N103" s="9">
        <f>IFERROR(AVERAGE(J100:J105)+TINV(0.05,COUNT(J100:J105)-1)*STDEV(J100:J105)/SQRT(COUNT(J100:J105)),"")</f>
        <v/>
      </c>
    </row>
    <row r="104" ht="22" customHeight="1">
      <c r="A104" s="6" t="inlineStr">
        <is>
          <t>IMP-09</t>
        </is>
      </c>
      <c r="B104" s="6" t="inlineStr">
        <is>
          <t>A</t>
        </is>
      </c>
      <c r="C104" s="6" t="n">
        <v>5</v>
      </c>
      <c r="D104" s="7" t="n"/>
      <c r="E104" s="7" t="n"/>
      <c r="F104" s="9">
        <f>IFERROR(D104-E104,"")</f>
        <v/>
      </c>
      <c r="G104" s="7" t="n"/>
      <c r="H104" s="7" t="n"/>
      <c r="I104" s="7" t="n"/>
      <c r="J104" s="9">
        <f>IFERROR(ROUND(I104*20/F104,2),"")</f>
        <v/>
      </c>
      <c r="K104" s="9">
        <f>IFERROR(ROUND(STDEV(G100:G105)/AVERAGE(G100:G105)*100,2),"")</f>
        <v/>
      </c>
      <c r="L104" s="9">
        <f>IFERROR(ROUND(STDEV(J100:J105)/AVERAGE(J100:J105)*100,2),"")</f>
        <v/>
      </c>
      <c r="M104" s="9">
        <f>IFERROR(AVERAGE(J100:J105)-TINV(0.05,COUNT(J100:J105)-1)*STDEV(J100:J105)/SQRT(COUNT(J100:J105)),"")</f>
        <v/>
      </c>
      <c r="N104" s="9">
        <f>IFERROR(AVERAGE(J100:J105)+TINV(0.05,COUNT(J100:J105)-1)*STDEV(J100:J105)/SQRT(COUNT(J100:J105)),"")</f>
        <v/>
      </c>
    </row>
    <row r="105" ht="22" customHeight="1">
      <c r="A105" s="6" t="inlineStr">
        <is>
          <t>IMP-09</t>
        </is>
      </c>
      <c r="B105" s="6" t="inlineStr">
        <is>
          <t>A</t>
        </is>
      </c>
      <c r="C105" s="6" t="n">
        <v>6</v>
      </c>
      <c r="D105" s="7" t="n"/>
      <c r="E105" s="7" t="n"/>
      <c r="F105" s="9">
        <f>IFERROR(D105-E105,"")</f>
        <v/>
      </c>
      <c r="G105" s="7" t="n"/>
      <c r="H105" s="7" t="n"/>
      <c r="I105" s="7" t="n"/>
      <c r="J105" s="9">
        <f>IFERROR(ROUND(I105*20/F105,2),"")</f>
        <v/>
      </c>
      <c r="K105" s="9">
        <f>IFERROR(ROUND(STDEV(G100:G105)/AVERAGE(G100:G105)*100,2),"")</f>
        <v/>
      </c>
      <c r="L105" s="9">
        <f>IFERROR(ROUND(STDEV(J100:J105)/AVERAGE(J100:J105)*100,2),"")</f>
        <v/>
      </c>
      <c r="M105" s="9">
        <f>IFERROR(AVERAGE(J100:J105)-TINV(0.05,COUNT(J100:J105)-1)*STDEV(J100:J105)/SQRT(COUNT(J100:J105)),"")</f>
        <v/>
      </c>
      <c r="N105" s="9">
        <f>IFERROR(AVERAGE(J100:J105)+TINV(0.05,COUNT(J100:J105)-1)*STDEV(J100:J105)/SQRT(COUNT(J100:J105)),"")</f>
        <v/>
      </c>
    </row>
    <row r="106" ht="22" customHeight="1">
      <c r="A106" s="6" t="inlineStr">
        <is>
          <t>IMP-09</t>
        </is>
      </c>
      <c r="B106" s="6" t="inlineStr">
        <is>
          <t>B</t>
        </is>
      </c>
      <c r="C106" s="6" t="n">
        <v>1</v>
      </c>
      <c r="D106" s="7" t="n"/>
      <c r="E106" s="7" t="n"/>
      <c r="F106" s="9">
        <f>IFERROR(D106-E106,"")</f>
        <v/>
      </c>
      <c r="G106" s="7" t="n"/>
      <c r="H106" s="7" t="n"/>
      <c r="I106" s="7" t="n"/>
      <c r="J106" s="9">
        <f>IFERROR(ROUND(I106*20/F106,2),"")</f>
        <v/>
      </c>
      <c r="K106" s="9">
        <f>IFERROR(ROUND(STDEV(G106:G111)/AVERAGE(G106:G111)*100,2),"")</f>
        <v/>
      </c>
      <c r="L106" s="9">
        <f>IFERROR(ROUND(STDEV(J106:J111)/AVERAGE(J106:J111)*100,2),"")</f>
        <v/>
      </c>
      <c r="M106" s="9">
        <f>IFERROR(AVERAGE(J106:J111)-TINV(0.05,COUNT(J106:J111)-1)*STDEV(J106:J111)/SQRT(COUNT(J106:J111)),"")</f>
        <v/>
      </c>
      <c r="N106" s="9">
        <f>IFERROR(AVERAGE(J106:J111)+TINV(0.05,COUNT(J106:J111)-1)*STDEV(J106:J111)/SQRT(COUNT(J106:J111)),"")</f>
        <v/>
      </c>
    </row>
    <row r="107" ht="22" customHeight="1">
      <c r="A107" s="6" t="inlineStr">
        <is>
          <t>IMP-09</t>
        </is>
      </c>
      <c r="B107" s="6" t="inlineStr">
        <is>
          <t>B</t>
        </is>
      </c>
      <c r="C107" s="6" t="n">
        <v>2</v>
      </c>
      <c r="D107" s="7" t="n"/>
      <c r="E107" s="7" t="n"/>
      <c r="F107" s="9">
        <f>IFERROR(D107-E107,"")</f>
        <v/>
      </c>
      <c r="G107" s="7" t="n"/>
      <c r="H107" s="7" t="n"/>
      <c r="I107" s="7" t="n"/>
      <c r="J107" s="9">
        <f>IFERROR(ROUND(I107*20/F107,2),"")</f>
        <v/>
      </c>
      <c r="K107" s="9">
        <f>IFERROR(ROUND(STDEV(G106:G111)/AVERAGE(G106:G111)*100,2),"")</f>
        <v/>
      </c>
      <c r="L107" s="9">
        <f>IFERROR(ROUND(STDEV(J106:J111)/AVERAGE(J106:J111)*100,2),"")</f>
        <v/>
      </c>
      <c r="M107" s="9">
        <f>IFERROR(AVERAGE(J106:J111)-TINV(0.05,COUNT(J106:J111)-1)*STDEV(J106:J111)/SQRT(COUNT(J106:J111)),"")</f>
        <v/>
      </c>
      <c r="N107" s="9">
        <f>IFERROR(AVERAGE(J106:J111)+TINV(0.05,COUNT(J106:J111)-1)*STDEV(J106:J111)/SQRT(COUNT(J106:J111)),"")</f>
        <v/>
      </c>
    </row>
    <row r="108" ht="22" customHeight="1">
      <c r="A108" s="6" t="inlineStr">
        <is>
          <t>IMP-09</t>
        </is>
      </c>
      <c r="B108" s="6" t="inlineStr">
        <is>
          <t>B</t>
        </is>
      </c>
      <c r="C108" s="6" t="n">
        <v>3</v>
      </c>
      <c r="D108" s="7" t="n"/>
      <c r="E108" s="7" t="n"/>
      <c r="F108" s="9">
        <f>IFERROR(D108-E108,"")</f>
        <v/>
      </c>
      <c r="G108" s="7" t="n"/>
      <c r="H108" s="7" t="n"/>
      <c r="I108" s="7" t="n"/>
      <c r="J108" s="9">
        <f>IFERROR(ROUND(I108*20/F108,2),"")</f>
        <v/>
      </c>
      <c r="K108" s="9">
        <f>IFERROR(ROUND(STDEV(G106:G111)/AVERAGE(G106:G111)*100,2),"")</f>
        <v/>
      </c>
      <c r="L108" s="9">
        <f>IFERROR(ROUND(STDEV(J106:J111)/AVERAGE(J106:J111)*100,2),"")</f>
        <v/>
      </c>
      <c r="M108" s="9">
        <f>IFERROR(AVERAGE(J106:J111)-TINV(0.05,COUNT(J106:J111)-1)*STDEV(J106:J111)/SQRT(COUNT(J106:J111)),"")</f>
        <v/>
      </c>
      <c r="N108" s="9">
        <f>IFERROR(AVERAGE(J106:J111)+TINV(0.05,COUNT(J106:J111)-1)*STDEV(J106:J111)/SQRT(COUNT(J106:J111)),"")</f>
        <v/>
      </c>
    </row>
    <row r="109" ht="22" customHeight="1">
      <c r="A109" s="6" t="inlineStr">
        <is>
          <t>IMP-09</t>
        </is>
      </c>
      <c r="B109" s="6" t="inlineStr">
        <is>
          <t>B</t>
        </is>
      </c>
      <c r="C109" s="6" t="n">
        <v>4</v>
      </c>
      <c r="D109" s="7" t="n"/>
      <c r="E109" s="7" t="n"/>
      <c r="F109" s="9">
        <f>IFERROR(D109-E109,"")</f>
        <v/>
      </c>
      <c r="G109" s="7" t="n"/>
      <c r="H109" s="7" t="n"/>
      <c r="I109" s="7" t="n"/>
      <c r="J109" s="9">
        <f>IFERROR(ROUND(I109*20/F109,2),"")</f>
        <v/>
      </c>
      <c r="K109" s="9">
        <f>IFERROR(ROUND(STDEV(G106:G111)/AVERAGE(G106:G111)*100,2),"")</f>
        <v/>
      </c>
      <c r="L109" s="9">
        <f>IFERROR(ROUND(STDEV(J106:J111)/AVERAGE(J106:J111)*100,2),"")</f>
        <v/>
      </c>
      <c r="M109" s="9">
        <f>IFERROR(AVERAGE(J106:J111)-TINV(0.05,COUNT(J106:J111)-1)*STDEV(J106:J111)/SQRT(COUNT(J106:J111)),"")</f>
        <v/>
      </c>
      <c r="N109" s="9">
        <f>IFERROR(AVERAGE(J106:J111)+TINV(0.05,COUNT(J106:J111)-1)*STDEV(J106:J111)/SQRT(COUNT(J106:J111)),"")</f>
        <v/>
      </c>
    </row>
    <row r="110" ht="22" customHeight="1">
      <c r="A110" s="6" t="inlineStr">
        <is>
          <t>IMP-09</t>
        </is>
      </c>
      <c r="B110" s="6" t="inlineStr">
        <is>
          <t>B</t>
        </is>
      </c>
      <c r="C110" s="6" t="n">
        <v>5</v>
      </c>
      <c r="D110" s="7" t="n"/>
      <c r="E110" s="7" t="n"/>
      <c r="F110" s="9">
        <f>IFERROR(D110-E110,"")</f>
        <v/>
      </c>
      <c r="G110" s="7" t="n"/>
      <c r="H110" s="7" t="n"/>
      <c r="I110" s="7" t="n"/>
      <c r="J110" s="9">
        <f>IFERROR(ROUND(I110*20/F110,2),"")</f>
        <v/>
      </c>
      <c r="K110" s="9">
        <f>IFERROR(ROUND(STDEV(G106:G111)/AVERAGE(G106:G111)*100,2),"")</f>
        <v/>
      </c>
      <c r="L110" s="9">
        <f>IFERROR(ROUND(STDEV(J106:J111)/AVERAGE(J106:J111)*100,2),"")</f>
        <v/>
      </c>
      <c r="M110" s="9">
        <f>IFERROR(AVERAGE(J106:J111)-TINV(0.05,COUNT(J106:J111)-1)*STDEV(J106:J111)/SQRT(COUNT(J106:J111)),"")</f>
        <v/>
      </c>
      <c r="N110" s="9">
        <f>IFERROR(AVERAGE(J106:J111)+TINV(0.05,COUNT(J106:J111)-1)*STDEV(J106:J111)/SQRT(COUNT(J106:J111)),"")</f>
        <v/>
      </c>
    </row>
    <row r="111" ht="22" customHeight="1">
      <c r="A111" s="6" t="inlineStr">
        <is>
          <t>IMP-09</t>
        </is>
      </c>
      <c r="B111" s="6" t="inlineStr">
        <is>
          <t>B</t>
        </is>
      </c>
      <c r="C111" s="6" t="n">
        <v>6</v>
      </c>
      <c r="D111" s="7" t="n"/>
      <c r="E111" s="7" t="n"/>
      <c r="F111" s="9">
        <f>IFERROR(D111-E111,"")</f>
        <v/>
      </c>
      <c r="G111" s="7" t="n"/>
      <c r="H111" s="7" t="n"/>
      <c r="I111" s="7" t="n"/>
      <c r="J111" s="9">
        <f>IFERROR(ROUND(I111*20/F111,2),"")</f>
        <v/>
      </c>
      <c r="K111" s="9">
        <f>IFERROR(ROUND(STDEV(G106:G111)/AVERAGE(G106:G111)*100,2),"")</f>
        <v/>
      </c>
      <c r="L111" s="9">
        <f>IFERROR(ROUND(STDEV(J106:J111)/AVERAGE(J106:J111)*100,2),"")</f>
        <v/>
      </c>
      <c r="M111" s="9">
        <f>IFERROR(AVERAGE(J106:J111)-TINV(0.05,COUNT(J106:J111)-1)*STDEV(J106:J111)/SQRT(COUNT(J106:J111)),"")</f>
        <v/>
      </c>
      <c r="N111" s="9">
        <f>IFERROR(AVERAGE(J106:J111)+TINV(0.05,COUNT(J106:J111)-1)*STDEV(J106:J111)/SQRT(COUNT(J106:J111)),"")</f>
        <v/>
      </c>
    </row>
    <row r="112" ht="22" customHeight="1">
      <c r="A112" s="6" t="inlineStr">
        <is>
          <t>IMP-10</t>
        </is>
      </c>
      <c r="B112" s="6" t="inlineStr">
        <is>
          <t>A</t>
        </is>
      </c>
      <c r="C112" s="6" t="n">
        <v>1</v>
      </c>
      <c r="D112" s="7" t="n"/>
      <c r="E112" s="7" t="n"/>
      <c r="F112" s="9">
        <f>IFERROR(D112-E112,"")</f>
        <v/>
      </c>
      <c r="G112" s="7" t="n"/>
      <c r="H112" s="7" t="n"/>
      <c r="I112" s="7" t="n"/>
      <c r="J112" s="9">
        <f>IFERROR(ROUND(I112*20/F112,2),"")</f>
        <v/>
      </c>
      <c r="K112" s="9">
        <f>IFERROR(ROUND(STDEV(G112:G117)/AVERAGE(G112:G117)*100,2),"")</f>
        <v/>
      </c>
      <c r="L112" s="9">
        <f>IFERROR(ROUND(STDEV(J112:J117)/AVERAGE(J112:J117)*100,2),"")</f>
        <v/>
      </c>
      <c r="M112" s="9">
        <f>IFERROR(AVERAGE(J112:J117)-TINV(0.05,COUNT(J112:J117)-1)*STDEV(J112:J117)/SQRT(COUNT(J112:J117)),"")</f>
        <v/>
      </c>
      <c r="N112" s="9">
        <f>IFERROR(AVERAGE(J112:J117)+TINV(0.05,COUNT(J112:J117)-1)*STDEV(J112:J117)/SQRT(COUNT(J112:J117)),"")</f>
        <v/>
      </c>
    </row>
    <row r="113" ht="22" customHeight="1">
      <c r="A113" s="6" t="inlineStr">
        <is>
          <t>IMP-10</t>
        </is>
      </c>
      <c r="B113" s="6" t="inlineStr">
        <is>
          <t>A</t>
        </is>
      </c>
      <c r="C113" s="6" t="n">
        <v>2</v>
      </c>
      <c r="D113" s="7" t="n"/>
      <c r="E113" s="7" t="n"/>
      <c r="F113" s="9">
        <f>IFERROR(D113-E113,"")</f>
        <v/>
      </c>
      <c r="G113" s="7" t="n"/>
      <c r="H113" s="7" t="n"/>
      <c r="I113" s="7" t="n"/>
      <c r="J113" s="9">
        <f>IFERROR(ROUND(I113*20/F113,2),"")</f>
        <v/>
      </c>
      <c r="K113" s="9">
        <f>IFERROR(ROUND(STDEV(G112:G117)/AVERAGE(G112:G117)*100,2),"")</f>
        <v/>
      </c>
      <c r="L113" s="9">
        <f>IFERROR(ROUND(STDEV(J112:J117)/AVERAGE(J112:J117)*100,2),"")</f>
        <v/>
      </c>
      <c r="M113" s="9">
        <f>IFERROR(AVERAGE(J112:J117)-TINV(0.05,COUNT(J112:J117)-1)*STDEV(J112:J117)/SQRT(COUNT(J112:J117)),"")</f>
        <v/>
      </c>
      <c r="N113" s="9">
        <f>IFERROR(AVERAGE(J112:J117)+TINV(0.05,COUNT(J112:J117)-1)*STDEV(J112:J117)/SQRT(COUNT(J112:J117)),"")</f>
        <v/>
      </c>
    </row>
    <row r="114" ht="22" customHeight="1">
      <c r="A114" s="6" t="inlineStr">
        <is>
          <t>IMP-10</t>
        </is>
      </c>
      <c r="B114" s="6" t="inlineStr">
        <is>
          <t>A</t>
        </is>
      </c>
      <c r="C114" s="6" t="n">
        <v>3</v>
      </c>
      <c r="D114" s="7" t="n"/>
      <c r="E114" s="7" t="n"/>
      <c r="F114" s="9">
        <f>IFERROR(D114-E114,"")</f>
        <v/>
      </c>
      <c r="G114" s="7" t="n"/>
      <c r="H114" s="7" t="n"/>
      <c r="I114" s="7" t="n"/>
      <c r="J114" s="9">
        <f>IFERROR(ROUND(I114*20/F114,2),"")</f>
        <v/>
      </c>
      <c r="K114" s="9">
        <f>IFERROR(ROUND(STDEV(G112:G117)/AVERAGE(G112:G117)*100,2),"")</f>
        <v/>
      </c>
      <c r="L114" s="9">
        <f>IFERROR(ROUND(STDEV(J112:J117)/AVERAGE(J112:J117)*100,2),"")</f>
        <v/>
      </c>
      <c r="M114" s="9">
        <f>IFERROR(AVERAGE(J112:J117)-TINV(0.05,COUNT(J112:J117)-1)*STDEV(J112:J117)/SQRT(COUNT(J112:J117)),"")</f>
        <v/>
      </c>
      <c r="N114" s="9">
        <f>IFERROR(AVERAGE(J112:J117)+TINV(0.05,COUNT(J112:J117)-1)*STDEV(J112:J117)/SQRT(COUNT(J112:J117)),"")</f>
        <v/>
      </c>
    </row>
    <row r="115" ht="22" customHeight="1">
      <c r="A115" s="6" t="inlineStr">
        <is>
          <t>IMP-10</t>
        </is>
      </c>
      <c r="B115" s="6" t="inlineStr">
        <is>
          <t>A</t>
        </is>
      </c>
      <c r="C115" s="6" t="n">
        <v>4</v>
      </c>
      <c r="D115" s="7" t="n"/>
      <c r="E115" s="7" t="n"/>
      <c r="F115" s="9">
        <f>IFERROR(D115-E115,"")</f>
        <v/>
      </c>
      <c r="G115" s="7" t="n"/>
      <c r="H115" s="7" t="n"/>
      <c r="I115" s="7" t="n"/>
      <c r="J115" s="9">
        <f>IFERROR(ROUND(I115*20/F115,2),"")</f>
        <v/>
      </c>
      <c r="K115" s="9">
        <f>IFERROR(ROUND(STDEV(G112:G117)/AVERAGE(G112:G117)*100,2),"")</f>
        <v/>
      </c>
      <c r="L115" s="9">
        <f>IFERROR(ROUND(STDEV(J112:J117)/AVERAGE(J112:J117)*100,2),"")</f>
        <v/>
      </c>
      <c r="M115" s="9">
        <f>IFERROR(AVERAGE(J112:J117)-TINV(0.05,COUNT(J112:J117)-1)*STDEV(J112:J117)/SQRT(COUNT(J112:J117)),"")</f>
        <v/>
      </c>
      <c r="N115" s="9">
        <f>IFERROR(AVERAGE(J112:J117)+TINV(0.05,COUNT(J112:J117)-1)*STDEV(J112:J117)/SQRT(COUNT(J112:J117)),"")</f>
        <v/>
      </c>
    </row>
    <row r="116" ht="22" customHeight="1">
      <c r="A116" s="6" t="inlineStr">
        <is>
          <t>IMP-10</t>
        </is>
      </c>
      <c r="B116" s="6" t="inlineStr">
        <is>
          <t>A</t>
        </is>
      </c>
      <c r="C116" s="6" t="n">
        <v>5</v>
      </c>
      <c r="D116" s="7" t="n"/>
      <c r="E116" s="7" t="n"/>
      <c r="F116" s="9">
        <f>IFERROR(D116-E116,"")</f>
        <v/>
      </c>
      <c r="G116" s="7" t="n"/>
      <c r="H116" s="7" t="n"/>
      <c r="I116" s="7" t="n"/>
      <c r="J116" s="9">
        <f>IFERROR(ROUND(I116*20/F116,2),"")</f>
        <v/>
      </c>
      <c r="K116" s="9">
        <f>IFERROR(ROUND(STDEV(G112:G117)/AVERAGE(G112:G117)*100,2),"")</f>
        <v/>
      </c>
      <c r="L116" s="9">
        <f>IFERROR(ROUND(STDEV(J112:J117)/AVERAGE(J112:J117)*100,2),"")</f>
        <v/>
      </c>
      <c r="M116" s="9">
        <f>IFERROR(AVERAGE(J112:J117)-TINV(0.05,COUNT(J112:J117)-1)*STDEV(J112:J117)/SQRT(COUNT(J112:J117)),"")</f>
        <v/>
      </c>
      <c r="N116" s="9">
        <f>IFERROR(AVERAGE(J112:J117)+TINV(0.05,COUNT(J112:J117)-1)*STDEV(J112:J117)/SQRT(COUNT(J112:J117)),"")</f>
        <v/>
      </c>
    </row>
    <row r="117" ht="22" customHeight="1">
      <c r="A117" s="6" t="inlineStr">
        <is>
          <t>IMP-10</t>
        </is>
      </c>
      <c r="B117" s="6" t="inlineStr">
        <is>
          <t>A</t>
        </is>
      </c>
      <c r="C117" s="6" t="n">
        <v>6</v>
      </c>
      <c r="D117" s="7" t="n"/>
      <c r="E117" s="7" t="n"/>
      <c r="F117" s="9">
        <f>IFERROR(D117-E117,"")</f>
        <v/>
      </c>
      <c r="G117" s="7" t="n"/>
      <c r="H117" s="7" t="n"/>
      <c r="I117" s="7" t="n"/>
      <c r="J117" s="9">
        <f>IFERROR(ROUND(I117*20/F117,2),"")</f>
        <v/>
      </c>
      <c r="K117" s="9">
        <f>IFERROR(ROUND(STDEV(G112:G117)/AVERAGE(G112:G117)*100,2),"")</f>
        <v/>
      </c>
      <c r="L117" s="9">
        <f>IFERROR(ROUND(STDEV(J112:J117)/AVERAGE(J112:J117)*100,2),"")</f>
        <v/>
      </c>
      <c r="M117" s="9">
        <f>IFERROR(AVERAGE(J112:J117)-TINV(0.05,COUNT(J112:J117)-1)*STDEV(J112:J117)/SQRT(COUNT(J112:J117)),"")</f>
        <v/>
      </c>
      <c r="N117" s="9">
        <f>IFERROR(AVERAGE(J112:J117)+TINV(0.05,COUNT(J112:J117)-1)*STDEV(J112:J117)/SQRT(COUNT(J112:J117)),"")</f>
        <v/>
      </c>
    </row>
    <row r="118" ht="22" customHeight="1">
      <c r="A118" s="6" t="inlineStr">
        <is>
          <t>IMP-10</t>
        </is>
      </c>
      <c r="B118" s="6" t="inlineStr">
        <is>
          <t>B</t>
        </is>
      </c>
      <c r="C118" s="6" t="n">
        <v>1</v>
      </c>
      <c r="D118" s="7" t="n"/>
      <c r="E118" s="7" t="n"/>
      <c r="F118" s="9">
        <f>IFERROR(D118-E118,"")</f>
        <v/>
      </c>
      <c r="G118" s="7" t="n"/>
      <c r="H118" s="7" t="n"/>
      <c r="I118" s="7" t="n"/>
      <c r="J118" s="9">
        <f>IFERROR(ROUND(I118*20/F118,2),"")</f>
        <v/>
      </c>
      <c r="K118" s="9">
        <f>IFERROR(ROUND(STDEV(G118:G123)/AVERAGE(G118:G123)*100,2),"")</f>
        <v/>
      </c>
      <c r="L118" s="9">
        <f>IFERROR(ROUND(STDEV(J118:J123)/AVERAGE(J118:J123)*100,2),"")</f>
        <v/>
      </c>
      <c r="M118" s="9">
        <f>IFERROR(AVERAGE(J118:J123)-TINV(0.05,COUNT(J118:J123)-1)*STDEV(J118:J123)/SQRT(COUNT(J118:J123)),"")</f>
        <v/>
      </c>
      <c r="N118" s="9">
        <f>IFERROR(AVERAGE(J118:J123)+TINV(0.05,COUNT(J118:J123)-1)*STDEV(J118:J123)/SQRT(COUNT(J118:J123)),"")</f>
        <v/>
      </c>
    </row>
    <row r="119" ht="22" customHeight="1">
      <c r="A119" s="6" t="inlineStr">
        <is>
          <t>IMP-10</t>
        </is>
      </c>
      <c r="B119" s="6" t="inlineStr">
        <is>
          <t>B</t>
        </is>
      </c>
      <c r="C119" s="6" t="n">
        <v>2</v>
      </c>
      <c r="D119" s="7" t="n"/>
      <c r="E119" s="7" t="n"/>
      <c r="F119" s="9">
        <f>IFERROR(D119-E119,"")</f>
        <v/>
      </c>
      <c r="G119" s="7" t="n"/>
      <c r="H119" s="7" t="n"/>
      <c r="I119" s="7" t="n"/>
      <c r="J119" s="9">
        <f>IFERROR(ROUND(I119*20/F119,2),"")</f>
        <v/>
      </c>
      <c r="K119" s="9">
        <f>IFERROR(ROUND(STDEV(G118:G123)/AVERAGE(G118:G123)*100,2),"")</f>
        <v/>
      </c>
      <c r="L119" s="9">
        <f>IFERROR(ROUND(STDEV(J118:J123)/AVERAGE(J118:J123)*100,2),"")</f>
        <v/>
      </c>
      <c r="M119" s="9">
        <f>IFERROR(AVERAGE(J118:J123)-TINV(0.05,COUNT(J118:J123)-1)*STDEV(J118:J123)/SQRT(COUNT(J118:J123)),"")</f>
        <v/>
      </c>
      <c r="N119" s="9">
        <f>IFERROR(AVERAGE(J118:J123)+TINV(0.05,COUNT(J118:J123)-1)*STDEV(J118:J123)/SQRT(COUNT(J118:J123)),"")</f>
        <v/>
      </c>
    </row>
    <row r="120" ht="22" customHeight="1">
      <c r="A120" s="6" t="inlineStr">
        <is>
          <t>IMP-10</t>
        </is>
      </c>
      <c r="B120" s="6" t="inlineStr">
        <is>
          <t>B</t>
        </is>
      </c>
      <c r="C120" s="6" t="n">
        <v>3</v>
      </c>
      <c r="D120" s="7" t="n"/>
      <c r="E120" s="7" t="n"/>
      <c r="F120" s="9">
        <f>IFERROR(D120-E120,"")</f>
        <v/>
      </c>
      <c r="G120" s="7" t="n"/>
      <c r="H120" s="7" t="n"/>
      <c r="I120" s="7" t="n"/>
      <c r="J120" s="9">
        <f>IFERROR(ROUND(I120*20/F120,2),"")</f>
        <v/>
      </c>
      <c r="K120" s="9">
        <f>IFERROR(ROUND(STDEV(G118:G123)/AVERAGE(G118:G123)*100,2),"")</f>
        <v/>
      </c>
      <c r="L120" s="9">
        <f>IFERROR(ROUND(STDEV(J118:J123)/AVERAGE(J118:J123)*100,2),"")</f>
        <v/>
      </c>
      <c r="M120" s="9">
        <f>IFERROR(AVERAGE(J118:J123)-TINV(0.05,COUNT(J118:J123)-1)*STDEV(J118:J123)/SQRT(COUNT(J118:J123)),"")</f>
        <v/>
      </c>
      <c r="N120" s="9">
        <f>IFERROR(AVERAGE(J118:J123)+TINV(0.05,COUNT(J118:J123)-1)*STDEV(J118:J123)/SQRT(COUNT(J118:J123)),"")</f>
        <v/>
      </c>
    </row>
    <row r="121" ht="22" customHeight="1">
      <c r="A121" s="6" t="inlineStr">
        <is>
          <t>IMP-10</t>
        </is>
      </c>
      <c r="B121" s="6" t="inlineStr">
        <is>
          <t>B</t>
        </is>
      </c>
      <c r="C121" s="6" t="n">
        <v>4</v>
      </c>
      <c r="D121" s="7" t="n"/>
      <c r="E121" s="7" t="n"/>
      <c r="F121" s="9">
        <f>IFERROR(D121-E121,"")</f>
        <v/>
      </c>
      <c r="G121" s="7" t="n"/>
      <c r="H121" s="7" t="n"/>
      <c r="I121" s="7" t="n"/>
      <c r="J121" s="9">
        <f>IFERROR(ROUND(I121*20/F121,2),"")</f>
        <v/>
      </c>
      <c r="K121" s="9">
        <f>IFERROR(ROUND(STDEV(G118:G123)/AVERAGE(G118:G123)*100,2),"")</f>
        <v/>
      </c>
      <c r="L121" s="9">
        <f>IFERROR(ROUND(STDEV(J118:J123)/AVERAGE(J118:J123)*100,2),"")</f>
        <v/>
      </c>
      <c r="M121" s="9">
        <f>IFERROR(AVERAGE(J118:J123)-TINV(0.05,COUNT(J118:J123)-1)*STDEV(J118:J123)/SQRT(COUNT(J118:J123)),"")</f>
        <v/>
      </c>
      <c r="N121" s="9">
        <f>IFERROR(AVERAGE(J118:J123)+TINV(0.05,COUNT(J118:J123)-1)*STDEV(J118:J123)/SQRT(COUNT(J118:J123)),"")</f>
        <v/>
      </c>
    </row>
    <row r="122" ht="22" customHeight="1">
      <c r="A122" s="6" t="inlineStr">
        <is>
          <t>IMP-10</t>
        </is>
      </c>
      <c r="B122" s="6" t="inlineStr">
        <is>
          <t>B</t>
        </is>
      </c>
      <c r="C122" s="6" t="n">
        <v>5</v>
      </c>
      <c r="D122" s="7" t="n"/>
      <c r="E122" s="7" t="n"/>
      <c r="F122" s="9">
        <f>IFERROR(D122-E122,"")</f>
        <v/>
      </c>
      <c r="G122" s="7" t="n"/>
      <c r="H122" s="7" t="n"/>
      <c r="I122" s="7" t="n"/>
      <c r="J122" s="9">
        <f>IFERROR(ROUND(I122*20/F122,2),"")</f>
        <v/>
      </c>
      <c r="K122" s="9">
        <f>IFERROR(ROUND(STDEV(G118:G123)/AVERAGE(G118:G123)*100,2),"")</f>
        <v/>
      </c>
      <c r="L122" s="9">
        <f>IFERROR(ROUND(STDEV(J118:J123)/AVERAGE(J118:J123)*100,2),"")</f>
        <v/>
      </c>
      <c r="M122" s="9">
        <f>IFERROR(AVERAGE(J118:J123)-TINV(0.05,COUNT(J118:J123)-1)*STDEV(J118:J123)/SQRT(COUNT(J118:J123)),"")</f>
        <v/>
      </c>
      <c r="N122" s="9">
        <f>IFERROR(AVERAGE(J118:J123)+TINV(0.05,COUNT(J118:J123)-1)*STDEV(J118:J123)/SQRT(COUNT(J118:J123)),"")</f>
        <v/>
      </c>
    </row>
    <row r="123" ht="22" customHeight="1">
      <c r="A123" s="6" t="inlineStr">
        <is>
          <t>IMP-10</t>
        </is>
      </c>
      <c r="B123" s="6" t="inlineStr">
        <is>
          <t>B</t>
        </is>
      </c>
      <c r="C123" s="6" t="n">
        <v>6</v>
      </c>
      <c r="D123" s="7" t="n"/>
      <c r="E123" s="7" t="n"/>
      <c r="F123" s="9">
        <f>IFERROR(D123-E123,"")</f>
        <v/>
      </c>
      <c r="G123" s="7" t="n"/>
      <c r="H123" s="7" t="n"/>
      <c r="I123" s="7" t="n"/>
      <c r="J123" s="9">
        <f>IFERROR(ROUND(I123*20/F123,2),"")</f>
        <v/>
      </c>
      <c r="K123" s="9">
        <f>IFERROR(ROUND(STDEV(G118:G123)/AVERAGE(G118:G123)*100,2),"")</f>
        <v/>
      </c>
      <c r="L123" s="9">
        <f>IFERROR(ROUND(STDEV(J118:J123)/AVERAGE(J118:J123)*100,2),"")</f>
        <v/>
      </c>
      <c r="M123" s="9">
        <f>IFERROR(AVERAGE(J118:J123)-TINV(0.05,COUNT(J118:J123)-1)*STDEV(J118:J123)/SQRT(COUNT(J118:J123)),"")</f>
        <v/>
      </c>
      <c r="N123" s="9">
        <f>IFERROR(AVERAGE(J118:J123)+TINV(0.05,COUNT(J118:J123)-1)*STDEV(J118:J123)/SQRT(COUNT(J118:J123)),"")</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N1"/>
  </mergeCells>
  <conditionalFormatting sqref="A4:A123">
    <cfRule type="expression" priority="1" dxfId="0">
      <formula>AND(A4&lt;&gt;"",COUNTIF($A$4:$A$123,A4)&gt;20)</formula>
    </cfRule>
  </conditionalFormatting>
  <dataValidations count="1">
    <dataValidation sqref="D4 E4 F4 G4 H4 I4 J4 D5 E5 F5 G5 H5 I5 J5 D6 E6 F6 G6 H6 I6 J6 D7 E7 F7 G7 H7 I7 J7 D8 E8 F8 G8 H8 I8 J8 D9 E9 F9 G9 H9 I9 J9 D10 E10 F10 G10 H10 I10 J10 D11 E11 F11 G11 H11 I11 J11 D12 E12 F12 G12 H12 I12 J12 D13 E13 F13 G13 H13 I13 J13 D14 E14 F14 G14 H14 I14 J14 D15 E15 F15 G15 H15 I15 J15 D16 E16 F16 G16 H16 I16 J16 D17 E17 F17 G17 H17 I17 J17 D18 E18 F18 G18 H18 I18 J18 D19 E19 F19 G19 H19 I19 J19 D20 E20 F20 G20 H20 I20 J20 D21 E21 F21 G21 H21 I21 J21 D22 E22 F22 G22 H22 I22 J22 D23 E23 F23 G23 H23 I23 J23 D24 E24 F24 G24 H24 I24 J24 D25 E25 F25 G25 H25 I25 J25 D26 E26 F26 G26 H26 I26 J26 D27 E27 F27 G27 H27 I27 J27 D28 E28 F28 G28 H28 I28 J28 D29 E29 F29 G29 H29 I29 J29 D30 E30 F30 G30 H30 I30 J30 D31 E31 F31 G31 H31 I31 J31 D32 E32 F32 G32 H32 I32 J32 D33 E33 F33 G33 H33 I33 J33 D34 E34 F34 G34 H34 I34 J34 D35 E35 F35 G35 H35 I35 J35 D36 E36 F36 G36 H36 I36 J36 D37 E37 F37 G37 H37 I37 J37 D38 E38 F38 G38 H38 I38 J38 D39 E39 F39 G39 H39 I39 J39 D40 E40 F40 G40 H40 I40 J40 D41 E41 F41 G41 H41 I41 J41 D42 E42 F42 G42 H42 I42 J42 D43 E43 F43 G43 H43 I43 J43 D44 E44 F44 G44 H44 I44 J44 D45 E45 F45 G45 H45 I45 J45 D46 E46 F46 G46 H46 I46 J46 D47 E47 F47 G47 H47 I47 J47 D48 E48 F48 G48 H48 I48 J48 D49 E49 F49 G49 H49 I49 J49 D50 E50 F50 G50 H50 I50 J50 D51 E51 F51 G51 H51 I51 J51 D52 E52 F52 G52 H52 I52 J52 D53 E53 F53 G53 H53 I53 J53 D54 E54 F54 G54 H54 I54 J54 D55 E55 F55 G55 H55 I55 J55 D56 E56 F56 G56 H56 I56 J56 D57 E57 F57 G57 H57 I57 J57 D58 E58 F58 G58 H58 I58 J58 D59 E59 F59 G59 H59 I59 J59 D60 E60 F60 G60 H60 I60 J60 D61 E61 F61 G61 H61 I61 J61 D62 E62 F62 G62 H62 I62 J62 D63 E63 F63 G63 H63 I63 J63 D64 E64 F64 G64 H64 I64 J64 D65 E65 F65 G65 H65 I65 J65 D66 E66 F66 G66 H66 I66 J66 D67 E67 F67 G67 H67 I67 J67 D68 E68 F68 G68 H68 I68 J68 D69 E69 F69 G69 H69 I69 J69 D70 E70 F70 G70 H70 I70 J70 D71 E71 F71 G71 H71 I71 J71 D72 E72 F72 G72 H72 I72 J72 D73 E73 F73 G73 H73 I73 J73 D74 E74 F74 G74 H74 I74 J74 D75 E75 F75 G75 H75 I75 J75 D76 E76 F76 G76 H76 I76 J76 D77 E77 F77 G77 H77 I77 J77 D78 E78 F78 G78 H78 I78 J78 D79 E79 F79 G79 H79 I79 J79 D80 E80 F80 G80 H80 I80 J80 D81 E81 F81 G81 H81 I81 J81 D82 E82 F82 G82 H82 I82 J82 D83 E83 F83 G83 H83 I83 J83 D84 E84 F84 G84 H84 I84 J84 D85 E85 F85 G85 H85 I85 J85 D86 E86 F86 G86 H86 I86 J86 D87 E87 F87 G87 H87 I87 J87 D88 E88 F88 G88 H88 I88 J88 D89 E89 F89 G89 H89 I89 J89 D90 E90 F90 G90 H90 I90 J90 D91 E91 F91 G91 H91 I91 J91 D92 E92 F92 G92 H92 I92 J92 D93 E93 F93 G93 H93 I93 J93 D94 E94 F94 G94 H94 I94 J94 D95 E95 F95 G95 H95 I95 J95 D96 E96 F96 G96 H96 I96 J96 D97 E97 F97 G97 H97 I97 J97 D98 E98 F98 G98 H98 I98 J98 D99 E99 F99 G99 H99 I99 J99 D100 E100 F100 G100 H100 I100 J100 D101 E101 F101 G101 H101 I101 J101 D102 E102 F102 G102 H102 I102 J102 D103 E103 F103 G103 H103 I103 J103 D104 E104 F104 G104 H104 I104 J104 D105 E105 F105 G105 H105 I105 J105 D106 E106 F106 G106 H106 I106 J106 D107 E107 F107 G107 H107 I107 J107 D108 E108 F108 G108 H108 I108 J108 D109 E109 F109 G109 H109 I109 J109 D110 E110 F110 G110 H110 I110 J110 D111 E111 F111 G111 H111 I111 J111 D112 E112 F112 G112 H112 I112 J112 D113 E113 F113 G113 H113 I113 J113 D114 E114 F114 G114 H114 I114 J114 D115 E115 F115 G115 H115 I115 J115 D116 E116 F116 G116 H116 I116 J116 D117 E117 F117 G117 H117 I117 J117 D118 E118 F118 G118 H118 I118 J118 D119 E119 F119 G119 H119 I119 J119 D120 E120 F120 G120 H120 I120 J120 D121 E121 F121 G121 H121 I121 J121 D122 E122 F122 G122 H122 I122 J122 D123 E123 F123 G123 H123 I123 J12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53"/>
  <sheetViews>
    <sheetView workbookViewId="0">
      <selection activeCell="A1" sqref="A1"/>
    </sheetView>
  </sheetViews>
  <sheetFormatPr baseColWidth="8" defaultRowHeight="15"/>
  <cols>
    <col width="14" customWidth="1" min="1" max="1"/>
    <col width="15" customWidth="1" min="2" max="2"/>
    <col width="14" customWidth="1" min="3" max="3"/>
    <col width="10" customWidth="1" min="4" max="4"/>
    <col width="18" customWidth="1" min="5" max="5"/>
    <col width="18" customWidth="1" min="6" max="6"/>
    <col width="23" customWidth="1" min="7" max="7"/>
    <col width="16" customWidth="1" min="8" max="8"/>
    <col width="16" customWidth="1" min="9" max="9"/>
    <col width="16" customWidth="1" min="10" max="10"/>
    <col width="16" customWidth="1" min="11" max="11"/>
    <col width="20" customWidth="1" min="12" max="12"/>
    <col width="18" customWidth="1" min="13" max="13"/>
  </cols>
  <sheetData>
    <row r="1" ht="30" customHeight="1">
      <c r="A1" s="1" t="inlineStr">
        <is>
          <t>准确度结果</t>
        </is>
      </c>
    </row>
    <row r="2" ht="30" customHeight="1">
      <c r="A2" s="4" t="inlineStr">
        <is>
          <t>impurity_id</t>
        </is>
      </c>
      <c r="B2" s="4" t="inlineStr">
        <is>
          <t>record_type</t>
        </is>
      </c>
      <c r="C2" s="4" t="inlineStr">
        <is>
          <t>level</t>
        </is>
      </c>
      <c r="D2" s="4" t="inlineStr">
        <is>
          <t>sequence</t>
        </is>
      </c>
      <c r="E2" s="4" t="inlineStr">
        <is>
          <t>api_weight</t>
        </is>
      </c>
      <c r="F2" s="4" t="inlineStr">
        <is>
          <t>peak_area</t>
        </is>
      </c>
      <c r="G2" s="4" t="inlineStr">
        <is>
          <t>measured_concentration</t>
        </is>
      </c>
      <c r="H2" s="4" t="inlineStr">
        <is>
          <t>measured_amount</t>
        </is>
      </c>
      <c r="I2" s="4" t="inlineStr">
        <is>
          <t>blank_amount</t>
        </is>
      </c>
      <c r="J2" s="4" t="inlineStr">
        <is>
          <t>added_amount</t>
        </is>
      </c>
      <c r="K2" s="4" t="inlineStr">
        <is>
          <t>recovery</t>
        </is>
      </c>
      <c r="L2" s="4" t="inlineStr">
        <is>
          <t>average_recovery</t>
        </is>
      </c>
      <c r="M2" s="4" t="inlineStr">
        <is>
          <t>recovery_rsd</t>
        </is>
      </c>
    </row>
    <row r="3" ht="30" customHeight="1">
      <c r="A3" s="5" t="inlineStr">
        <is>
          <t>杂质编号</t>
        </is>
      </c>
      <c r="B3" s="5" t="inlineStr">
        <is>
          <t>记录类型</t>
        </is>
      </c>
      <c r="C3" s="5" t="inlineStr">
        <is>
          <t>加标水平</t>
        </is>
      </c>
      <c r="D3" s="5" t="inlineStr">
        <is>
          <t>No.</t>
        </is>
      </c>
      <c r="E3" s="5" t="inlineStr">
        <is>
          <t>API质量（mg）</t>
        </is>
      </c>
      <c r="F3" s="5" t="inlineStr">
        <is>
          <t>峰面积</t>
        </is>
      </c>
      <c r="G3" s="5" t="inlineStr">
        <is>
          <t>测得浓度（ng/ml）</t>
        </is>
      </c>
      <c r="H3" s="5" t="inlineStr">
        <is>
          <t>测得量</t>
        </is>
      </c>
      <c r="I3" s="5" t="inlineStr">
        <is>
          <t>空白量</t>
        </is>
      </c>
      <c r="J3" s="5" t="inlineStr">
        <is>
          <t>加入量</t>
        </is>
      </c>
      <c r="K3" s="5" t="inlineStr">
        <is>
          <t>回收率（%）</t>
        </is>
      </c>
      <c r="L3" s="5" t="inlineStr">
        <is>
          <t>平均回收率（%）</t>
        </is>
      </c>
      <c r="M3" s="5" t="inlineStr">
        <is>
          <t>回收率RSD（%）</t>
        </is>
      </c>
    </row>
    <row r="4" ht="22" customHeight="1">
      <c r="A4" s="6" t="inlineStr">
        <is>
          <t>IMP-01</t>
        </is>
      </c>
      <c r="B4" s="6" t="inlineStr">
        <is>
          <t>BLANK</t>
        </is>
      </c>
      <c r="C4" s="6" t="inlineStr"/>
      <c r="D4" s="6" t="n">
        <v>1</v>
      </c>
      <c r="E4" s="7" t="n"/>
      <c r="F4" s="7" t="n"/>
      <c r="G4" s="7" t="n"/>
      <c r="H4" s="9">
        <f>IFERROR(G4*20/E4,"")</f>
        <v/>
      </c>
      <c r="I4" s="9">
        <f>IF(B4="BLANK",H4,IFERROR(AVERAGE(H4:H6),""))</f>
        <v/>
      </c>
      <c r="J4" s="6" t="n"/>
      <c r="K4" s="9">
        <f>IF(OR(B4&lt;&gt;"SPIKED",J4=""),"",IFERROR((H4-I4)/J4*100,""))</f>
        <v/>
      </c>
      <c r="L4" s="9">
        <f>IFERROR(AVERAGE(K7:K18),"")</f>
        <v/>
      </c>
      <c r="M4" s="9">
        <f>IFERROR(STDEV(K7:K18)/L4*100,"")</f>
        <v/>
      </c>
    </row>
    <row r="5" ht="22" customHeight="1">
      <c r="A5" s="6" t="inlineStr">
        <is>
          <t>IMP-01</t>
        </is>
      </c>
      <c r="B5" s="6" t="inlineStr">
        <is>
          <t>BLANK</t>
        </is>
      </c>
      <c r="C5" s="6" t="inlineStr"/>
      <c r="D5" s="6" t="n">
        <v>2</v>
      </c>
      <c r="E5" s="7" t="n"/>
      <c r="F5" s="7" t="n"/>
      <c r="G5" s="7" t="n"/>
      <c r="H5" s="9">
        <f>IFERROR(G5*20/E5,"")</f>
        <v/>
      </c>
      <c r="I5" s="9">
        <f>IF(B5="BLANK",H5,IFERROR(AVERAGE(H4:H6),""))</f>
        <v/>
      </c>
      <c r="J5" s="6" t="n"/>
      <c r="K5" s="9">
        <f>IF(OR(B5&lt;&gt;"SPIKED",J5=""),"",IFERROR((H5-I5)/J5*100,""))</f>
        <v/>
      </c>
      <c r="L5" s="9">
        <f>IFERROR(AVERAGE(K7:K18),"")</f>
        <v/>
      </c>
      <c r="M5" s="9">
        <f>IFERROR(STDEV(K7:K18)/L5*100,"")</f>
        <v/>
      </c>
    </row>
    <row r="6" ht="22" customHeight="1">
      <c r="A6" s="6" t="inlineStr">
        <is>
          <t>IMP-01</t>
        </is>
      </c>
      <c r="B6" s="6" t="inlineStr">
        <is>
          <t>BLANK</t>
        </is>
      </c>
      <c r="C6" s="6" t="inlineStr"/>
      <c r="D6" s="6" t="n">
        <v>3</v>
      </c>
      <c r="E6" s="7" t="n"/>
      <c r="F6" s="7" t="n"/>
      <c r="G6" s="7" t="n"/>
      <c r="H6" s="9">
        <f>IFERROR(G6*20/E6,"")</f>
        <v/>
      </c>
      <c r="I6" s="9">
        <f>IF(B6="BLANK",H6,IFERROR(AVERAGE(H4:H6),""))</f>
        <v/>
      </c>
      <c r="J6" s="6" t="n"/>
      <c r="K6" s="9">
        <f>IF(OR(B6&lt;&gt;"SPIKED",J6=""),"",IFERROR((H6-I6)/J6*100,""))</f>
        <v/>
      </c>
      <c r="L6" s="9">
        <f>IFERROR(AVERAGE(K7:K18),"")</f>
        <v/>
      </c>
      <c r="M6" s="9">
        <f>IFERROR(STDEV(K7:K18)/L6*100,"")</f>
        <v/>
      </c>
    </row>
    <row r="7" ht="22" customHeight="1">
      <c r="A7" s="6" t="inlineStr">
        <is>
          <t>IMP-01</t>
        </is>
      </c>
      <c r="B7" s="6" t="inlineStr">
        <is>
          <t>SPIKED</t>
        </is>
      </c>
      <c r="C7" s="6" t="inlineStr">
        <is>
          <t>LOQ</t>
        </is>
      </c>
      <c r="D7" s="6" t="n">
        <v>1</v>
      </c>
      <c r="E7" s="7" t="n"/>
      <c r="F7" s="7" t="n"/>
      <c r="G7" s="7" t="n"/>
      <c r="H7" s="9">
        <f>IFERROR(G7*20/E7,"")</f>
        <v/>
      </c>
      <c r="I7" s="9">
        <f>IF(B7="BLANK",H7,IFERROR(AVERAGE(H4:H6),""))</f>
        <v/>
      </c>
      <c r="J7" s="7" t="n"/>
      <c r="K7" s="9">
        <f>IF(OR(B7&lt;&gt;"SPIKED",J7=""),"",IFERROR((H7-I7)/J7*100,""))</f>
        <v/>
      </c>
      <c r="L7" s="9">
        <f>IFERROR(AVERAGE(K7:K18),"")</f>
        <v/>
      </c>
      <c r="M7" s="9">
        <f>IFERROR(STDEV(K7:K18)/L7*100,"")</f>
        <v/>
      </c>
    </row>
    <row r="8" ht="22" customHeight="1">
      <c r="A8" s="6" t="inlineStr">
        <is>
          <t>IMP-01</t>
        </is>
      </c>
      <c r="B8" s="6" t="inlineStr">
        <is>
          <t>SPIKED</t>
        </is>
      </c>
      <c r="C8" s="6" t="inlineStr">
        <is>
          <t>LOQ</t>
        </is>
      </c>
      <c r="D8" s="6" t="n">
        <v>2</v>
      </c>
      <c r="E8" s="7" t="n"/>
      <c r="F8" s="7" t="n"/>
      <c r="G8" s="7" t="n"/>
      <c r="H8" s="9">
        <f>IFERROR(G8*20/E8,"")</f>
        <v/>
      </c>
      <c r="I8" s="9">
        <f>IF(B8="BLANK",H8,IFERROR(AVERAGE(H4:H6),""))</f>
        <v/>
      </c>
      <c r="J8" s="7" t="n"/>
      <c r="K8" s="9">
        <f>IF(OR(B8&lt;&gt;"SPIKED",J8=""),"",IFERROR((H8-I8)/J8*100,""))</f>
        <v/>
      </c>
      <c r="L8" s="9">
        <f>IFERROR(AVERAGE(K7:K18),"")</f>
        <v/>
      </c>
      <c r="M8" s="9">
        <f>IFERROR(STDEV(K7:K18)/L8*100,"")</f>
        <v/>
      </c>
    </row>
    <row r="9" ht="22" customHeight="1">
      <c r="A9" s="6" t="inlineStr">
        <is>
          <t>IMP-01</t>
        </is>
      </c>
      <c r="B9" s="6" t="inlineStr">
        <is>
          <t>SPIKED</t>
        </is>
      </c>
      <c r="C9" s="6" t="inlineStr">
        <is>
          <t>LOQ</t>
        </is>
      </c>
      <c r="D9" s="6" t="n">
        <v>3</v>
      </c>
      <c r="E9" s="7" t="n"/>
      <c r="F9" s="7" t="n"/>
      <c r="G9" s="7" t="n"/>
      <c r="H9" s="9">
        <f>IFERROR(G9*20/E9,"")</f>
        <v/>
      </c>
      <c r="I9" s="9">
        <f>IF(B9="BLANK",H9,IFERROR(AVERAGE(H4:H6),""))</f>
        <v/>
      </c>
      <c r="J9" s="7" t="n"/>
      <c r="K9" s="9">
        <f>IF(OR(B9&lt;&gt;"SPIKED",J9=""),"",IFERROR((H9-I9)/J9*100,""))</f>
        <v/>
      </c>
      <c r="L9" s="9">
        <f>IFERROR(AVERAGE(K7:K18),"")</f>
        <v/>
      </c>
      <c r="M9" s="9">
        <f>IFERROR(STDEV(K7:K18)/L9*100,"")</f>
        <v/>
      </c>
    </row>
    <row r="10" ht="22" customHeight="1">
      <c r="A10" s="6" t="inlineStr">
        <is>
          <t>IMP-01</t>
        </is>
      </c>
      <c r="B10" s="6" t="inlineStr">
        <is>
          <t>SPIKED</t>
        </is>
      </c>
      <c r="C10" s="6" t="inlineStr">
        <is>
          <t>50%</t>
        </is>
      </c>
      <c r="D10" s="6" t="n">
        <v>1</v>
      </c>
      <c r="E10" s="7" t="n"/>
      <c r="F10" s="7" t="n"/>
      <c r="G10" s="7" t="n"/>
      <c r="H10" s="9">
        <f>IFERROR(G10*20/E10,"")</f>
        <v/>
      </c>
      <c r="I10" s="9">
        <f>IF(B10="BLANK",H10,IFERROR(AVERAGE(H4:H6),""))</f>
        <v/>
      </c>
      <c r="J10" s="7" t="n"/>
      <c r="K10" s="9">
        <f>IF(OR(B10&lt;&gt;"SPIKED",J10=""),"",IFERROR((H10-I10)/J10*100,""))</f>
        <v/>
      </c>
      <c r="L10" s="9">
        <f>IFERROR(AVERAGE(K7:K18),"")</f>
        <v/>
      </c>
      <c r="M10" s="9">
        <f>IFERROR(STDEV(K7:K18)/L10*100,"")</f>
        <v/>
      </c>
    </row>
    <row r="11" ht="22" customHeight="1">
      <c r="A11" s="6" t="inlineStr">
        <is>
          <t>IMP-01</t>
        </is>
      </c>
      <c r="B11" s="6" t="inlineStr">
        <is>
          <t>SPIKED</t>
        </is>
      </c>
      <c r="C11" s="6" t="inlineStr">
        <is>
          <t>50%</t>
        </is>
      </c>
      <c r="D11" s="6" t="n">
        <v>2</v>
      </c>
      <c r="E11" s="7" t="n"/>
      <c r="F11" s="7" t="n"/>
      <c r="G11" s="7" t="n"/>
      <c r="H11" s="9">
        <f>IFERROR(G11*20/E11,"")</f>
        <v/>
      </c>
      <c r="I11" s="9">
        <f>IF(B11="BLANK",H11,IFERROR(AVERAGE(H4:H6),""))</f>
        <v/>
      </c>
      <c r="J11" s="7" t="n"/>
      <c r="K11" s="9">
        <f>IF(OR(B11&lt;&gt;"SPIKED",J11=""),"",IFERROR((H11-I11)/J11*100,""))</f>
        <v/>
      </c>
      <c r="L11" s="9">
        <f>IFERROR(AVERAGE(K7:K18),"")</f>
        <v/>
      </c>
      <c r="M11" s="9">
        <f>IFERROR(STDEV(K7:K18)/L11*100,"")</f>
        <v/>
      </c>
    </row>
    <row r="12" ht="22" customHeight="1">
      <c r="A12" s="6" t="inlineStr">
        <is>
          <t>IMP-01</t>
        </is>
      </c>
      <c r="B12" s="6" t="inlineStr">
        <is>
          <t>SPIKED</t>
        </is>
      </c>
      <c r="C12" s="6" t="inlineStr">
        <is>
          <t>50%</t>
        </is>
      </c>
      <c r="D12" s="6" t="n">
        <v>3</v>
      </c>
      <c r="E12" s="7" t="n"/>
      <c r="F12" s="7" t="n"/>
      <c r="G12" s="7" t="n"/>
      <c r="H12" s="9">
        <f>IFERROR(G12*20/E12,"")</f>
        <v/>
      </c>
      <c r="I12" s="9">
        <f>IF(B12="BLANK",H12,IFERROR(AVERAGE(H4:H6),""))</f>
        <v/>
      </c>
      <c r="J12" s="7" t="n"/>
      <c r="K12" s="9">
        <f>IF(OR(B12&lt;&gt;"SPIKED",J12=""),"",IFERROR((H12-I12)/J12*100,""))</f>
        <v/>
      </c>
      <c r="L12" s="9">
        <f>IFERROR(AVERAGE(K7:K18),"")</f>
        <v/>
      </c>
      <c r="M12" s="9">
        <f>IFERROR(STDEV(K7:K18)/L12*100,"")</f>
        <v/>
      </c>
    </row>
    <row r="13" ht="22" customHeight="1">
      <c r="A13" s="6" t="inlineStr">
        <is>
          <t>IMP-01</t>
        </is>
      </c>
      <c r="B13" s="6" t="inlineStr">
        <is>
          <t>SPIKED</t>
        </is>
      </c>
      <c r="C13" s="6" t="inlineStr">
        <is>
          <t>100%</t>
        </is>
      </c>
      <c r="D13" s="6" t="n">
        <v>1</v>
      </c>
      <c r="E13" s="7" t="n"/>
      <c r="F13" s="7" t="n"/>
      <c r="G13" s="7" t="n"/>
      <c r="H13" s="9">
        <f>IFERROR(G13*20/E13,"")</f>
        <v/>
      </c>
      <c r="I13" s="9">
        <f>IF(B13="BLANK",H13,IFERROR(AVERAGE(H4:H6),""))</f>
        <v/>
      </c>
      <c r="J13" s="7" t="n"/>
      <c r="K13" s="9">
        <f>IF(OR(B13&lt;&gt;"SPIKED",J13=""),"",IFERROR((H13-I13)/J13*100,""))</f>
        <v/>
      </c>
      <c r="L13" s="9">
        <f>IFERROR(AVERAGE(K7:K18),"")</f>
        <v/>
      </c>
      <c r="M13" s="9">
        <f>IFERROR(STDEV(K7:K18)/L13*100,"")</f>
        <v/>
      </c>
    </row>
    <row r="14" ht="22" customHeight="1">
      <c r="A14" s="6" t="inlineStr">
        <is>
          <t>IMP-01</t>
        </is>
      </c>
      <c r="B14" s="6" t="inlineStr">
        <is>
          <t>SPIKED</t>
        </is>
      </c>
      <c r="C14" s="6" t="inlineStr">
        <is>
          <t>100%</t>
        </is>
      </c>
      <c r="D14" s="6" t="n">
        <v>2</v>
      </c>
      <c r="E14" s="7" t="n"/>
      <c r="F14" s="7" t="n"/>
      <c r="G14" s="7" t="n"/>
      <c r="H14" s="9">
        <f>IFERROR(G14*20/E14,"")</f>
        <v/>
      </c>
      <c r="I14" s="9">
        <f>IF(B14="BLANK",H14,IFERROR(AVERAGE(H4:H6),""))</f>
        <v/>
      </c>
      <c r="J14" s="7" t="n"/>
      <c r="K14" s="9">
        <f>IF(OR(B14&lt;&gt;"SPIKED",J14=""),"",IFERROR((H14-I14)/J14*100,""))</f>
        <v/>
      </c>
      <c r="L14" s="9">
        <f>IFERROR(AVERAGE(K7:K18),"")</f>
        <v/>
      </c>
      <c r="M14" s="9">
        <f>IFERROR(STDEV(K7:K18)/L14*100,"")</f>
        <v/>
      </c>
    </row>
    <row r="15" ht="22" customHeight="1">
      <c r="A15" s="6" t="inlineStr">
        <is>
          <t>IMP-01</t>
        </is>
      </c>
      <c r="B15" s="6" t="inlineStr">
        <is>
          <t>SPIKED</t>
        </is>
      </c>
      <c r="C15" s="6" t="inlineStr">
        <is>
          <t>100%</t>
        </is>
      </c>
      <c r="D15" s="6" t="n">
        <v>3</v>
      </c>
      <c r="E15" s="7" t="n"/>
      <c r="F15" s="7" t="n"/>
      <c r="G15" s="7" t="n"/>
      <c r="H15" s="9">
        <f>IFERROR(G15*20/E15,"")</f>
        <v/>
      </c>
      <c r="I15" s="9">
        <f>IF(B15="BLANK",H15,IFERROR(AVERAGE(H4:H6),""))</f>
        <v/>
      </c>
      <c r="J15" s="7" t="n"/>
      <c r="K15" s="9">
        <f>IF(OR(B15&lt;&gt;"SPIKED",J15=""),"",IFERROR((H15-I15)/J15*100,""))</f>
        <v/>
      </c>
      <c r="L15" s="9">
        <f>IFERROR(AVERAGE(K7:K18),"")</f>
        <v/>
      </c>
      <c r="M15" s="9">
        <f>IFERROR(STDEV(K7:K18)/L15*100,"")</f>
        <v/>
      </c>
    </row>
    <row r="16" ht="22" customHeight="1">
      <c r="A16" s="6" t="inlineStr">
        <is>
          <t>IMP-01</t>
        </is>
      </c>
      <c r="B16" s="6" t="inlineStr">
        <is>
          <t>SPIKED</t>
        </is>
      </c>
      <c r="C16" s="6" t="inlineStr">
        <is>
          <t>150%</t>
        </is>
      </c>
      <c r="D16" s="6" t="n">
        <v>1</v>
      </c>
      <c r="E16" s="7" t="n"/>
      <c r="F16" s="7" t="n"/>
      <c r="G16" s="7" t="n"/>
      <c r="H16" s="9">
        <f>IFERROR(G16*20/E16,"")</f>
        <v/>
      </c>
      <c r="I16" s="9">
        <f>IF(B16="BLANK",H16,IFERROR(AVERAGE(H4:H6),""))</f>
        <v/>
      </c>
      <c r="J16" s="7" t="n"/>
      <c r="K16" s="9">
        <f>IF(OR(B16&lt;&gt;"SPIKED",J16=""),"",IFERROR((H16-I16)/J16*100,""))</f>
        <v/>
      </c>
      <c r="L16" s="9">
        <f>IFERROR(AVERAGE(K7:K18),"")</f>
        <v/>
      </c>
      <c r="M16" s="9">
        <f>IFERROR(STDEV(K7:K18)/L16*100,"")</f>
        <v/>
      </c>
    </row>
    <row r="17" ht="22" customHeight="1">
      <c r="A17" s="6" t="inlineStr">
        <is>
          <t>IMP-01</t>
        </is>
      </c>
      <c r="B17" s="6" t="inlineStr">
        <is>
          <t>SPIKED</t>
        </is>
      </c>
      <c r="C17" s="6" t="inlineStr">
        <is>
          <t>150%</t>
        </is>
      </c>
      <c r="D17" s="6" t="n">
        <v>2</v>
      </c>
      <c r="E17" s="7" t="n"/>
      <c r="F17" s="7" t="n"/>
      <c r="G17" s="7" t="n"/>
      <c r="H17" s="9">
        <f>IFERROR(G17*20/E17,"")</f>
        <v/>
      </c>
      <c r="I17" s="9">
        <f>IF(B17="BLANK",H17,IFERROR(AVERAGE(H4:H6),""))</f>
        <v/>
      </c>
      <c r="J17" s="7" t="n"/>
      <c r="K17" s="9">
        <f>IF(OR(B17&lt;&gt;"SPIKED",J17=""),"",IFERROR((H17-I17)/J17*100,""))</f>
        <v/>
      </c>
      <c r="L17" s="9">
        <f>IFERROR(AVERAGE(K7:K18),"")</f>
        <v/>
      </c>
      <c r="M17" s="9">
        <f>IFERROR(STDEV(K7:K18)/L17*100,"")</f>
        <v/>
      </c>
    </row>
    <row r="18" ht="22" customHeight="1">
      <c r="A18" s="6" t="inlineStr">
        <is>
          <t>IMP-01</t>
        </is>
      </c>
      <c r="B18" s="6" t="inlineStr">
        <is>
          <t>SPIKED</t>
        </is>
      </c>
      <c r="C18" s="6" t="inlineStr">
        <is>
          <t>150%</t>
        </is>
      </c>
      <c r="D18" s="6" t="n">
        <v>3</v>
      </c>
      <c r="E18" s="7" t="n"/>
      <c r="F18" s="7" t="n"/>
      <c r="G18" s="7" t="n"/>
      <c r="H18" s="9">
        <f>IFERROR(G18*20/E18,"")</f>
        <v/>
      </c>
      <c r="I18" s="9">
        <f>IF(B18="BLANK",H18,IFERROR(AVERAGE(H4:H6),""))</f>
        <v/>
      </c>
      <c r="J18" s="7" t="n"/>
      <c r="K18" s="9">
        <f>IF(OR(B18&lt;&gt;"SPIKED",J18=""),"",IFERROR((H18-I18)/J18*100,""))</f>
        <v/>
      </c>
      <c r="L18" s="9">
        <f>IFERROR(AVERAGE(K7:K18),"")</f>
        <v/>
      </c>
      <c r="M18" s="9">
        <f>IFERROR(STDEV(K7:K18)/L18*100,"")</f>
        <v/>
      </c>
    </row>
    <row r="19" ht="22" customHeight="1">
      <c r="A19" s="6" t="inlineStr">
        <is>
          <t>IMP-02</t>
        </is>
      </c>
      <c r="B19" s="6" t="inlineStr">
        <is>
          <t>BLANK</t>
        </is>
      </c>
      <c r="C19" s="6" t="inlineStr"/>
      <c r="D19" s="6" t="n">
        <v>1</v>
      </c>
      <c r="E19" s="7" t="n"/>
      <c r="F19" s="7" t="n"/>
      <c r="G19" s="7" t="n"/>
      <c r="H19" s="9">
        <f>IFERROR(G19*20/E19,"")</f>
        <v/>
      </c>
      <c r="I19" s="9">
        <f>IF(B19="BLANK",H19,IFERROR(AVERAGE(H19:H21),""))</f>
        <v/>
      </c>
      <c r="J19" s="6" t="n"/>
      <c r="K19" s="9">
        <f>IF(OR(B19&lt;&gt;"SPIKED",J19=""),"",IFERROR((H19-I19)/J19*100,""))</f>
        <v/>
      </c>
      <c r="L19" s="9">
        <f>IFERROR(AVERAGE(K22:K33),"")</f>
        <v/>
      </c>
      <c r="M19" s="9">
        <f>IFERROR(STDEV(K22:K33)/L19*100,"")</f>
        <v/>
      </c>
    </row>
    <row r="20" ht="22" customHeight="1">
      <c r="A20" s="6" t="inlineStr">
        <is>
          <t>IMP-02</t>
        </is>
      </c>
      <c r="B20" s="6" t="inlineStr">
        <is>
          <t>BLANK</t>
        </is>
      </c>
      <c r="C20" s="6" t="inlineStr"/>
      <c r="D20" s="6" t="n">
        <v>2</v>
      </c>
      <c r="E20" s="7" t="n"/>
      <c r="F20" s="7" t="n"/>
      <c r="G20" s="7" t="n"/>
      <c r="H20" s="9">
        <f>IFERROR(G20*20/E20,"")</f>
        <v/>
      </c>
      <c r="I20" s="9">
        <f>IF(B20="BLANK",H20,IFERROR(AVERAGE(H19:H21),""))</f>
        <v/>
      </c>
      <c r="J20" s="6" t="n"/>
      <c r="K20" s="9">
        <f>IF(OR(B20&lt;&gt;"SPIKED",J20=""),"",IFERROR((H20-I20)/J20*100,""))</f>
        <v/>
      </c>
      <c r="L20" s="9">
        <f>IFERROR(AVERAGE(K22:K33),"")</f>
        <v/>
      </c>
      <c r="M20" s="9">
        <f>IFERROR(STDEV(K22:K33)/L20*100,"")</f>
        <v/>
      </c>
    </row>
    <row r="21" ht="22" customHeight="1">
      <c r="A21" s="6" t="inlineStr">
        <is>
          <t>IMP-02</t>
        </is>
      </c>
      <c r="B21" s="6" t="inlineStr">
        <is>
          <t>BLANK</t>
        </is>
      </c>
      <c r="C21" s="6" t="inlineStr"/>
      <c r="D21" s="6" t="n">
        <v>3</v>
      </c>
      <c r="E21" s="7" t="n"/>
      <c r="F21" s="7" t="n"/>
      <c r="G21" s="7" t="n"/>
      <c r="H21" s="9">
        <f>IFERROR(G21*20/E21,"")</f>
        <v/>
      </c>
      <c r="I21" s="9">
        <f>IF(B21="BLANK",H21,IFERROR(AVERAGE(H19:H21),""))</f>
        <v/>
      </c>
      <c r="J21" s="6" t="n"/>
      <c r="K21" s="9">
        <f>IF(OR(B21&lt;&gt;"SPIKED",J21=""),"",IFERROR((H21-I21)/J21*100,""))</f>
        <v/>
      </c>
      <c r="L21" s="9">
        <f>IFERROR(AVERAGE(K22:K33),"")</f>
        <v/>
      </c>
      <c r="M21" s="9">
        <f>IFERROR(STDEV(K22:K33)/L21*100,"")</f>
        <v/>
      </c>
    </row>
    <row r="22" ht="22" customHeight="1">
      <c r="A22" s="6" t="inlineStr">
        <is>
          <t>IMP-02</t>
        </is>
      </c>
      <c r="B22" s="6" t="inlineStr">
        <is>
          <t>SPIKED</t>
        </is>
      </c>
      <c r="C22" s="6" t="inlineStr">
        <is>
          <t>LOQ</t>
        </is>
      </c>
      <c r="D22" s="6" t="n">
        <v>1</v>
      </c>
      <c r="E22" s="7" t="n"/>
      <c r="F22" s="7" t="n"/>
      <c r="G22" s="7" t="n"/>
      <c r="H22" s="9">
        <f>IFERROR(G22*20/E22,"")</f>
        <v/>
      </c>
      <c r="I22" s="9">
        <f>IF(B22="BLANK",H22,IFERROR(AVERAGE(H19:H21),""))</f>
        <v/>
      </c>
      <c r="J22" s="7" t="n"/>
      <c r="K22" s="9">
        <f>IF(OR(B22&lt;&gt;"SPIKED",J22=""),"",IFERROR((H22-I22)/J22*100,""))</f>
        <v/>
      </c>
      <c r="L22" s="9">
        <f>IFERROR(AVERAGE(K22:K33),"")</f>
        <v/>
      </c>
      <c r="M22" s="9">
        <f>IFERROR(STDEV(K22:K33)/L22*100,"")</f>
        <v/>
      </c>
    </row>
    <row r="23" ht="22" customHeight="1">
      <c r="A23" s="6" t="inlineStr">
        <is>
          <t>IMP-02</t>
        </is>
      </c>
      <c r="B23" s="6" t="inlineStr">
        <is>
          <t>SPIKED</t>
        </is>
      </c>
      <c r="C23" s="6" t="inlineStr">
        <is>
          <t>LOQ</t>
        </is>
      </c>
      <c r="D23" s="6" t="n">
        <v>2</v>
      </c>
      <c r="E23" s="7" t="n"/>
      <c r="F23" s="7" t="n"/>
      <c r="G23" s="7" t="n"/>
      <c r="H23" s="9">
        <f>IFERROR(G23*20/E23,"")</f>
        <v/>
      </c>
      <c r="I23" s="9">
        <f>IF(B23="BLANK",H23,IFERROR(AVERAGE(H19:H21),""))</f>
        <v/>
      </c>
      <c r="J23" s="7" t="n"/>
      <c r="K23" s="9">
        <f>IF(OR(B23&lt;&gt;"SPIKED",J23=""),"",IFERROR((H23-I23)/J23*100,""))</f>
        <v/>
      </c>
      <c r="L23" s="9">
        <f>IFERROR(AVERAGE(K22:K33),"")</f>
        <v/>
      </c>
      <c r="M23" s="9">
        <f>IFERROR(STDEV(K22:K33)/L23*100,"")</f>
        <v/>
      </c>
    </row>
    <row r="24" ht="22" customHeight="1">
      <c r="A24" s="6" t="inlineStr">
        <is>
          <t>IMP-02</t>
        </is>
      </c>
      <c r="B24" s="6" t="inlineStr">
        <is>
          <t>SPIKED</t>
        </is>
      </c>
      <c r="C24" s="6" t="inlineStr">
        <is>
          <t>LOQ</t>
        </is>
      </c>
      <c r="D24" s="6" t="n">
        <v>3</v>
      </c>
      <c r="E24" s="7" t="n"/>
      <c r="F24" s="7" t="n"/>
      <c r="G24" s="7" t="n"/>
      <c r="H24" s="9">
        <f>IFERROR(G24*20/E24,"")</f>
        <v/>
      </c>
      <c r="I24" s="9">
        <f>IF(B24="BLANK",H24,IFERROR(AVERAGE(H19:H21),""))</f>
        <v/>
      </c>
      <c r="J24" s="7" t="n"/>
      <c r="K24" s="9">
        <f>IF(OR(B24&lt;&gt;"SPIKED",J24=""),"",IFERROR((H24-I24)/J24*100,""))</f>
        <v/>
      </c>
      <c r="L24" s="9">
        <f>IFERROR(AVERAGE(K22:K33),"")</f>
        <v/>
      </c>
      <c r="M24" s="9">
        <f>IFERROR(STDEV(K22:K33)/L24*100,"")</f>
        <v/>
      </c>
    </row>
    <row r="25" ht="22" customHeight="1">
      <c r="A25" s="6" t="inlineStr">
        <is>
          <t>IMP-02</t>
        </is>
      </c>
      <c r="B25" s="6" t="inlineStr">
        <is>
          <t>SPIKED</t>
        </is>
      </c>
      <c r="C25" s="6" t="inlineStr">
        <is>
          <t>50%</t>
        </is>
      </c>
      <c r="D25" s="6" t="n">
        <v>1</v>
      </c>
      <c r="E25" s="7" t="n"/>
      <c r="F25" s="7" t="n"/>
      <c r="G25" s="7" t="n"/>
      <c r="H25" s="9">
        <f>IFERROR(G25*20/E25,"")</f>
        <v/>
      </c>
      <c r="I25" s="9">
        <f>IF(B25="BLANK",H25,IFERROR(AVERAGE(H19:H21),""))</f>
        <v/>
      </c>
      <c r="J25" s="7" t="n"/>
      <c r="K25" s="9">
        <f>IF(OR(B25&lt;&gt;"SPIKED",J25=""),"",IFERROR((H25-I25)/J25*100,""))</f>
        <v/>
      </c>
      <c r="L25" s="9">
        <f>IFERROR(AVERAGE(K22:K33),"")</f>
        <v/>
      </c>
      <c r="M25" s="9">
        <f>IFERROR(STDEV(K22:K33)/L25*100,"")</f>
        <v/>
      </c>
    </row>
    <row r="26" ht="22" customHeight="1">
      <c r="A26" s="6" t="inlineStr">
        <is>
          <t>IMP-02</t>
        </is>
      </c>
      <c r="B26" s="6" t="inlineStr">
        <is>
          <t>SPIKED</t>
        </is>
      </c>
      <c r="C26" s="6" t="inlineStr">
        <is>
          <t>50%</t>
        </is>
      </c>
      <c r="D26" s="6" t="n">
        <v>2</v>
      </c>
      <c r="E26" s="7" t="n"/>
      <c r="F26" s="7" t="n"/>
      <c r="G26" s="7" t="n"/>
      <c r="H26" s="9">
        <f>IFERROR(G26*20/E26,"")</f>
        <v/>
      </c>
      <c r="I26" s="9">
        <f>IF(B26="BLANK",H26,IFERROR(AVERAGE(H19:H21),""))</f>
        <v/>
      </c>
      <c r="J26" s="7" t="n"/>
      <c r="K26" s="9">
        <f>IF(OR(B26&lt;&gt;"SPIKED",J26=""),"",IFERROR((H26-I26)/J26*100,""))</f>
        <v/>
      </c>
      <c r="L26" s="9">
        <f>IFERROR(AVERAGE(K22:K33),"")</f>
        <v/>
      </c>
      <c r="M26" s="9">
        <f>IFERROR(STDEV(K22:K33)/L26*100,"")</f>
        <v/>
      </c>
    </row>
    <row r="27" ht="22" customHeight="1">
      <c r="A27" s="6" t="inlineStr">
        <is>
          <t>IMP-02</t>
        </is>
      </c>
      <c r="B27" s="6" t="inlineStr">
        <is>
          <t>SPIKED</t>
        </is>
      </c>
      <c r="C27" s="6" t="inlineStr">
        <is>
          <t>50%</t>
        </is>
      </c>
      <c r="D27" s="6" t="n">
        <v>3</v>
      </c>
      <c r="E27" s="7" t="n"/>
      <c r="F27" s="7" t="n"/>
      <c r="G27" s="7" t="n"/>
      <c r="H27" s="9">
        <f>IFERROR(G27*20/E27,"")</f>
        <v/>
      </c>
      <c r="I27" s="9">
        <f>IF(B27="BLANK",H27,IFERROR(AVERAGE(H19:H21),""))</f>
        <v/>
      </c>
      <c r="J27" s="7" t="n"/>
      <c r="K27" s="9">
        <f>IF(OR(B27&lt;&gt;"SPIKED",J27=""),"",IFERROR((H27-I27)/J27*100,""))</f>
        <v/>
      </c>
      <c r="L27" s="9">
        <f>IFERROR(AVERAGE(K22:K33),"")</f>
        <v/>
      </c>
      <c r="M27" s="9">
        <f>IFERROR(STDEV(K22:K33)/L27*100,"")</f>
        <v/>
      </c>
    </row>
    <row r="28" ht="22" customHeight="1">
      <c r="A28" s="6" t="inlineStr">
        <is>
          <t>IMP-02</t>
        </is>
      </c>
      <c r="B28" s="6" t="inlineStr">
        <is>
          <t>SPIKED</t>
        </is>
      </c>
      <c r="C28" s="6" t="inlineStr">
        <is>
          <t>100%</t>
        </is>
      </c>
      <c r="D28" s="6" t="n">
        <v>1</v>
      </c>
      <c r="E28" s="7" t="n"/>
      <c r="F28" s="7" t="n"/>
      <c r="G28" s="7" t="n"/>
      <c r="H28" s="9">
        <f>IFERROR(G28*20/E28,"")</f>
        <v/>
      </c>
      <c r="I28" s="9">
        <f>IF(B28="BLANK",H28,IFERROR(AVERAGE(H19:H21),""))</f>
        <v/>
      </c>
      <c r="J28" s="7" t="n"/>
      <c r="K28" s="9">
        <f>IF(OR(B28&lt;&gt;"SPIKED",J28=""),"",IFERROR((H28-I28)/J28*100,""))</f>
        <v/>
      </c>
      <c r="L28" s="9">
        <f>IFERROR(AVERAGE(K22:K33),"")</f>
        <v/>
      </c>
      <c r="M28" s="9">
        <f>IFERROR(STDEV(K22:K33)/L28*100,"")</f>
        <v/>
      </c>
    </row>
    <row r="29" ht="22" customHeight="1">
      <c r="A29" s="6" t="inlineStr">
        <is>
          <t>IMP-02</t>
        </is>
      </c>
      <c r="B29" s="6" t="inlineStr">
        <is>
          <t>SPIKED</t>
        </is>
      </c>
      <c r="C29" s="6" t="inlineStr">
        <is>
          <t>100%</t>
        </is>
      </c>
      <c r="D29" s="6" t="n">
        <v>2</v>
      </c>
      <c r="E29" s="7" t="n"/>
      <c r="F29" s="7" t="n"/>
      <c r="G29" s="7" t="n"/>
      <c r="H29" s="9">
        <f>IFERROR(G29*20/E29,"")</f>
        <v/>
      </c>
      <c r="I29" s="9">
        <f>IF(B29="BLANK",H29,IFERROR(AVERAGE(H19:H21),""))</f>
        <v/>
      </c>
      <c r="J29" s="7" t="n"/>
      <c r="K29" s="9">
        <f>IF(OR(B29&lt;&gt;"SPIKED",J29=""),"",IFERROR((H29-I29)/J29*100,""))</f>
        <v/>
      </c>
      <c r="L29" s="9">
        <f>IFERROR(AVERAGE(K22:K33),"")</f>
        <v/>
      </c>
      <c r="M29" s="9">
        <f>IFERROR(STDEV(K22:K33)/L29*100,"")</f>
        <v/>
      </c>
    </row>
    <row r="30" ht="22" customHeight="1">
      <c r="A30" s="6" t="inlineStr">
        <is>
          <t>IMP-02</t>
        </is>
      </c>
      <c r="B30" s="6" t="inlineStr">
        <is>
          <t>SPIKED</t>
        </is>
      </c>
      <c r="C30" s="6" t="inlineStr">
        <is>
          <t>100%</t>
        </is>
      </c>
      <c r="D30" s="6" t="n">
        <v>3</v>
      </c>
      <c r="E30" s="7" t="n"/>
      <c r="F30" s="7" t="n"/>
      <c r="G30" s="7" t="n"/>
      <c r="H30" s="9">
        <f>IFERROR(G30*20/E30,"")</f>
        <v/>
      </c>
      <c r="I30" s="9">
        <f>IF(B30="BLANK",H30,IFERROR(AVERAGE(H19:H21),""))</f>
        <v/>
      </c>
      <c r="J30" s="7" t="n"/>
      <c r="K30" s="9">
        <f>IF(OR(B30&lt;&gt;"SPIKED",J30=""),"",IFERROR((H30-I30)/J30*100,""))</f>
        <v/>
      </c>
      <c r="L30" s="9">
        <f>IFERROR(AVERAGE(K22:K33),"")</f>
        <v/>
      </c>
      <c r="M30" s="9">
        <f>IFERROR(STDEV(K22:K33)/L30*100,"")</f>
        <v/>
      </c>
    </row>
    <row r="31" ht="22" customHeight="1">
      <c r="A31" s="6" t="inlineStr">
        <is>
          <t>IMP-02</t>
        </is>
      </c>
      <c r="B31" s="6" t="inlineStr">
        <is>
          <t>SPIKED</t>
        </is>
      </c>
      <c r="C31" s="6" t="inlineStr">
        <is>
          <t>150%</t>
        </is>
      </c>
      <c r="D31" s="6" t="n">
        <v>1</v>
      </c>
      <c r="E31" s="7" t="n"/>
      <c r="F31" s="7" t="n"/>
      <c r="G31" s="7" t="n"/>
      <c r="H31" s="9">
        <f>IFERROR(G31*20/E31,"")</f>
        <v/>
      </c>
      <c r="I31" s="9">
        <f>IF(B31="BLANK",H31,IFERROR(AVERAGE(H19:H21),""))</f>
        <v/>
      </c>
      <c r="J31" s="7" t="n"/>
      <c r="K31" s="9">
        <f>IF(OR(B31&lt;&gt;"SPIKED",J31=""),"",IFERROR((H31-I31)/J31*100,""))</f>
        <v/>
      </c>
      <c r="L31" s="9">
        <f>IFERROR(AVERAGE(K22:K33),"")</f>
        <v/>
      </c>
      <c r="M31" s="9">
        <f>IFERROR(STDEV(K22:K33)/L31*100,"")</f>
        <v/>
      </c>
    </row>
    <row r="32" ht="22" customHeight="1">
      <c r="A32" s="6" t="inlineStr">
        <is>
          <t>IMP-02</t>
        </is>
      </c>
      <c r="B32" s="6" t="inlineStr">
        <is>
          <t>SPIKED</t>
        </is>
      </c>
      <c r="C32" s="6" t="inlineStr">
        <is>
          <t>150%</t>
        </is>
      </c>
      <c r="D32" s="6" t="n">
        <v>2</v>
      </c>
      <c r="E32" s="7" t="n"/>
      <c r="F32" s="7" t="n"/>
      <c r="G32" s="7" t="n"/>
      <c r="H32" s="9">
        <f>IFERROR(G32*20/E32,"")</f>
        <v/>
      </c>
      <c r="I32" s="9">
        <f>IF(B32="BLANK",H32,IFERROR(AVERAGE(H19:H21),""))</f>
        <v/>
      </c>
      <c r="J32" s="7" t="n"/>
      <c r="K32" s="9">
        <f>IF(OR(B32&lt;&gt;"SPIKED",J32=""),"",IFERROR((H32-I32)/J32*100,""))</f>
        <v/>
      </c>
      <c r="L32" s="9">
        <f>IFERROR(AVERAGE(K22:K33),"")</f>
        <v/>
      </c>
      <c r="M32" s="9">
        <f>IFERROR(STDEV(K22:K33)/L32*100,"")</f>
        <v/>
      </c>
    </row>
    <row r="33" ht="22" customHeight="1">
      <c r="A33" s="6" t="inlineStr">
        <is>
          <t>IMP-02</t>
        </is>
      </c>
      <c r="B33" s="6" t="inlineStr">
        <is>
          <t>SPIKED</t>
        </is>
      </c>
      <c r="C33" s="6" t="inlineStr">
        <is>
          <t>150%</t>
        </is>
      </c>
      <c r="D33" s="6" t="n">
        <v>3</v>
      </c>
      <c r="E33" s="7" t="n"/>
      <c r="F33" s="7" t="n"/>
      <c r="G33" s="7" t="n"/>
      <c r="H33" s="9">
        <f>IFERROR(G33*20/E33,"")</f>
        <v/>
      </c>
      <c r="I33" s="9">
        <f>IF(B33="BLANK",H33,IFERROR(AVERAGE(H19:H21),""))</f>
        <v/>
      </c>
      <c r="J33" s="7" t="n"/>
      <c r="K33" s="9">
        <f>IF(OR(B33&lt;&gt;"SPIKED",J33=""),"",IFERROR((H33-I33)/J33*100,""))</f>
        <v/>
      </c>
      <c r="L33" s="9">
        <f>IFERROR(AVERAGE(K22:K33),"")</f>
        <v/>
      </c>
      <c r="M33" s="9">
        <f>IFERROR(STDEV(K22:K33)/L33*100,"")</f>
        <v/>
      </c>
    </row>
    <row r="34" ht="22" customHeight="1">
      <c r="A34" s="6" t="inlineStr">
        <is>
          <t>IMP-03</t>
        </is>
      </c>
      <c r="B34" s="6" t="inlineStr">
        <is>
          <t>BLANK</t>
        </is>
      </c>
      <c r="C34" s="6" t="inlineStr"/>
      <c r="D34" s="6" t="n">
        <v>1</v>
      </c>
      <c r="E34" s="7" t="n"/>
      <c r="F34" s="7" t="n"/>
      <c r="G34" s="7" t="n"/>
      <c r="H34" s="9">
        <f>IFERROR(G34*20/E34,"")</f>
        <v/>
      </c>
      <c r="I34" s="9">
        <f>IF(B34="BLANK",H34,IFERROR(AVERAGE(H34:H36),""))</f>
        <v/>
      </c>
      <c r="J34" s="6" t="n"/>
      <c r="K34" s="9">
        <f>IF(OR(B34&lt;&gt;"SPIKED",J34=""),"",IFERROR((H34-I34)/J34*100,""))</f>
        <v/>
      </c>
      <c r="L34" s="9">
        <f>IFERROR(AVERAGE(K37:K48),"")</f>
        <v/>
      </c>
      <c r="M34" s="9">
        <f>IFERROR(STDEV(K37:K48)/L34*100,"")</f>
        <v/>
      </c>
    </row>
    <row r="35" ht="22" customHeight="1">
      <c r="A35" s="6" t="inlineStr">
        <is>
          <t>IMP-03</t>
        </is>
      </c>
      <c r="B35" s="6" t="inlineStr">
        <is>
          <t>BLANK</t>
        </is>
      </c>
      <c r="C35" s="6" t="inlineStr"/>
      <c r="D35" s="6" t="n">
        <v>2</v>
      </c>
      <c r="E35" s="7" t="n"/>
      <c r="F35" s="7" t="n"/>
      <c r="G35" s="7" t="n"/>
      <c r="H35" s="9">
        <f>IFERROR(G35*20/E35,"")</f>
        <v/>
      </c>
      <c r="I35" s="9">
        <f>IF(B35="BLANK",H35,IFERROR(AVERAGE(H34:H36),""))</f>
        <v/>
      </c>
      <c r="J35" s="6" t="n"/>
      <c r="K35" s="9">
        <f>IF(OR(B35&lt;&gt;"SPIKED",J35=""),"",IFERROR((H35-I35)/J35*100,""))</f>
        <v/>
      </c>
      <c r="L35" s="9">
        <f>IFERROR(AVERAGE(K37:K48),"")</f>
        <v/>
      </c>
      <c r="M35" s="9">
        <f>IFERROR(STDEV(K37:K48)/L35*100,"")</f>
        <v/>
      </c>
    </row>
    <row r="36" ht="22" customHeight="1">
      <c r="A36" s="6" t="inlineStr">
        <is>
          <t>IMP-03</t>
        </is>
      </c>
      <c r="B36" s="6" t="inlineStr">
        <is>
          <t>BLANK</t>
        </is>
      </c>
      <c r="C36" s="6" t="inlineStr"/>
      <c r="D36" s="6" t="n">
        <v>3</v>
      </c>
      <c r="E36" s="7" t="n"/>
      <c r="F36" s="7" t="n"/>
      <c r="G36" s="7" t="n"/>
      <c r="H36" s="9">
        <f>IFERROR(G36*20/E36,"")</f>
        <v/>
      </c>
      <c r="I36" s="9">
        <f>IF(B36="BLANK",H36,IFERROR(AVERAGE(H34:H36),""))</f>
        <v/>
      </c>
      <c r="J36" s="6" t="n"/>
      <c r="K36" s="9">
        <f>IF(OR(B36&lt;&gt;"SPIKED",J36=""),"",IFERROR((H36-I36)/J36*100,""))</f>
        <v/>
      </c>
      <c r="L36" s="9">
        <f>IFERROR(AVERAGE(K37:K48),"")</f>
        <v/>
      </c>
      <c r="M36" s="9">
        <f>IFERROR(STDEV(K37:K48)/L36*100,"")</f>
        <v/>
      </c>
    </row>
    <row r="37" ht="22" customHeight="1">
      <c r="A37" s="6" t="inlineStr">
        <is>
          <t>IMP-03</t>
        </is>
      </c>
      <c r="B37" s="6" t="inlineStr">
        <is>
          <t>SPIKED</t>
        </is>
      </c>
      <c r="C37" s="6" t="inlineStr">
        <is>
          <t>LOQ</t>
        </is>
      </c>
      <c r="D37" s="6" t="n">
        <v>1</v>
      </c>
      <c r="E37" s="7" t="n"/>
      <c r="F37" s="7" t="n"/>
      <c r="G37" s="7" t="n"/>
      <c r="H37" s="9">
        <f>IFERROR(G37*20/E37,"")</f>
        <v/>
      </c>
      <c r="I37" s="9">
        <f>IF(B37="BLANK",H37,IFERROR(AVERAGE(H34:H36),""))</f>
        <v/>
      </c>
      <c r="J37" s="7" t="n"/>
      <c r="K37" s="9">
        <f>IF(OR(B37&lt;&gt;"SPIKED",J37=""),"",IFERROR((H37-I37)/J37*100,""))</f>
        <v/>
      </c>
      <c r="L37" s="9">
        <f>IFERROR(AVERAGE(K37:K48),"")</f>
        <v/>
      </c>
      <c r="M37" s="9">
        <f>IFERROR(STDEV(K37:K48)/L37*100,"")</f>
        <v/>
      </c>
    </row>
    <row r="38" ht="22" customHeight="1">
      <c r="A38" s="6" t="inlineStr">
        <is>
          <t>IMP-03</t>
        </is>
      </c>
      <c r="B38" s="6" t="inlineStr">
        <is>
          <t>SPIKED</t>
        </is>
      </c>
      <c r="C38" s="6" t="inlineStr">
        <is>
          <t>LOQ</t>
        </is>
      </c>
      <c r="D38" s="6" t="n">
        <v>2</v>
      </c>
      <c r="E38" s="7" t="n"/>
      <c r="F38" s="7" t="n"/>
      <c r="G38" s="7" t="n"/>
      <c r="H38" s="9">
        <f>IFERROR(G38*20/E38,"")</f>
        <v/>
      </c>
      <c r="I38" s="9">
        <f>IF(B38="BLANK",H38,IFERROR(AVERAGE(H34:H36),""))</f>
        <v/>
      </c>
      <c r="J38" s="7" t="n"/>
      <c r="K38" s="9">
        <f>IF(OR(B38&lt;&gt;"SPIKED",J38=""),"",IFERROR((H38-I38)/J38*100,""))</f>
        <v/>
      </c>
      <c r="L38" s="9">
        <f>IFERROR(AVERAGE(K37:K48),"")</f>
        <v/>
      </c>
      <c r="M38" s="9">
        <f>IFERROR(STDEV(K37:K48)/L38*100,"")</f>
        <v/>
      </c>
    </row>
    <row r="39" ht="22" customHeight="1">
      <c r="A39" s="6" t="inlineStr">
        <is>
          <t>IMP-03</t>
        </is>
      </c>
      <c r="B39" s="6" t="inlineStr">
        <is>
          <t>SPIKED</t>
        </is>
      </c>
      <c r="C39" s="6" t="inlineStr">
        <is>
          <t>LOQ</t>
        </is>
      </c>
      <c r="D39" s="6" t="n">
        <v>3</v>
      </c>
      <c r="E39" s="7" t="n"/>
      <c r="F39" s="7" t="n"/>
      <c r="G39" s="7" t="n"/>
      <c r="H39" s="9">
        <f>IFERROR(G39*20/E39,"")</f>
        <v/>
      </c>
      <c r="I39" s="9">
        <f>IF(B39="BLANK",H39,IFERROR(AVERAGE(H34:H36),""))</f>
        <v/>
      </c>
      <c r="J39" s="7" t="n"/>
      <c r="K39" s="9">
        <f>IF(OR(B39&lt;&gt;"SPIKED",J39=""),"",IFERROR((H39-I39)/J39*100,""))</f>
        <v/>
      </c>
      <c r="L39" s="9">
        <f>IFERROR(AVERAGE(K37:K48),"")</f>
        <v/>
      </c>
      <c r="M39" s="9">
        <f>IFERROR(STDEV(K37:K48)/L39*100,"")</f>
        <v/>
      </c>
    </row>
    <row r="40" ht="22" customHeight="1">
      <c r="A40" s="6" t="inlineStr">
        <is>
          <t>IMP-03</t>
        </is>
      </c>
      <c r="B40" s="6" t="inlineStr">
        <is>
          <t>SPIKED</t>
        </is>
      </c>
      <c r="C40" s="6" t="inlineStr">
        <is>
          <t>50%</t>
        </is>
      </c>
      <c r="D40" s="6" t="n">
        <v>1</v>
      </c>
      <c r="E40" s="7" t="n"/>
      <c r="F40" s="7" t="n"/>
      <c r="G40" s="7" t="n"/>
      <c r="H40" s="9">
        <f>IFERROR(G40*20/E40,"")</f>
        <v/>
      </c>
      <c r="I40" s="9">
        <f>IF(B40="BLANK",H40,IFERROR(AVERAGE(H34:H36),""))</f>
        <v/>
      </c>
      <c r="J40" s="7" t="n"/>
      <c r="K40" s="9">
        <f>IF(OR(B40&lt;&gt;"SPIKED",J40=""),"",IFERROR((H40-I40)/J40*100,""))</f>
        <v/>
      </c>
      <c r="L40" s="9">
        <f>IFERROR(AVERAGE(K37:K48),"")</f>
        <v/>
      </c>
      <c r="M40" s="9">
        <f>IFERROR(STDEV(K37:K48)/L40*100,"")</f>
        <v/>
      </c>
    </row>
    <row r="41" ht="22" customHeight="1">
      <c r="A41" s="6" t="inlineStr">
        <is>
          <t>IMP-03</t>
        </is>
      </c>
      <c r="B41" s="6" t="inlineStr">
        <is>
          <t>SPIKED</t>
        </is>
      </c>
      <c r="C41" s="6" t="inlineStr">
        <is>
          <t>50%</t>
        </is>
      </c>
      <c r="D41" s="6" t="n">
        <v>2</v>
      </c>
      <c r="E41" s="7" t="n"/>
      <c r="F41" s="7" t="n"/>
      <c r="G41" s="7" t="n"/>
      <c r="H41" s="9">
        <f>IFERROR(G41*20/E41,"")</f>
        <v/>
      </c>
      <c r="I41" s="9">
        <f>IF(B41="BLANK",H41,IFERROR(AVERAGE(H34:H36),""))</f>
        <v/>
      </c>
      <c r="J41" s="7" t="n"/>
      <c r="K41" s="9">
        <f>IF(OR(B41&lt;&gt;"SPIKED",J41=""),"",IFERROR((H41-I41)/J41*100,""))</f>
        <v/>
      </c>
      <c r="L41" s="9">
        <f>IFERROR(AVERAGE(K37:K48),"")</f>
        <v/>
      </c>
      <c r="M41" s="9">
        <f>IFERROR(STDEV(K37:K48)/L41*100,"")</f>
        <v/>
      </c>
    </row>
    <row r="42" ht="22" customHeight="1">
      <c r="A42" s="6" t="inlineStr">
        <is>
          <t>IMP-03</t>
        </is>
      </c>
      <c r="B42" s="6" t="inlineStr">
        <is>
          <t>SPIKED</t>
        </is>
      </c>
      <c r="C42" s="6" t="inlineStr">
        <is>
          <t>50%</t>
        </is>
      </c>
      <c r="D42" s="6" t="n">
        <v>3</v>
      </c>
      <c r="E42" s="7" t="n"/>
      <c r="F42" s="7" t="n"/>
      <c r="G42" s="7" t="n"/>
      <c r="H42" s="9">
        <f>IFERROR(G42*20/E42,"")</f>
        <v/>
      </c>
      <c r="I42" s="9">
        <f>IF(B42="BLANK",H42,IFERROR(AVERAGE(H34:H36),""))</f>
        <v/>
      </c>
      <c r="J42" s="7" t="n"/>
      <c r="K42" s="9">
        <f>IF(OR(B42&lt;&gt;"SPIKED",J42=""),"",IFERROR((H42-I42)/J42*100,""))</f>
        <v/>
      </c>
      <c r="L42" s="9">
        <f>IFERROR(AVERAGE(K37:K48),"")</f>
        <v/>
      </c>
      <c r="M42" s="9">
        <f>IFERROR(STDEV(K37:K48)/L42*100,"")</f>
        <v/>
      </c>
    </row>
    <row r="43" ht="22" customHeight="1">
      <c r="A43" s="6" t="inlineStr">
        <is>
          <t>IMP-03</t>
        </is>
      </c>
      <c r="B43" s="6" t="inlineStr">
        <is>
          <t>SPIKED</t>
        </is>
      </c>
      <c r="C43" s="6" t="inlineStr">
        <is>
          <t>100%</t>
        </is>
      </c>
      <c r="D43" s="6" t="n">
        <v>1</v>
      </c>
      <c r="E43" s="7" t="n"/>
      <c r="F43" s="7" t="n"/>
      <c r="G43" s="7" t="n"/>
      <c r="H43" s="9">
        <f>IFERROR(G43*20/E43,"")</f>
        <v/>
      </c>
      <c r="I43" s="9">
        <f>IF(B43="BLANK",H43,IFERROR(AVERAGE(H34:H36),""))</f>
        <v/>
      </c>
      <c r="J43" s="7" t="n"/>
      <c r="K43" s="9">
        <f>IF(OR(B43&lt;&gt;"SPIKED",J43=""),"",IFERROR((H43-I43)/J43*100,""))</f>
        <v/>
      </c>
      <c r="L43" s="9">
        <f>IFERROR(AVERAGE(K37:K48),"")</f>
        <v/>
      </c>
      <c r="M43" s="9">
        <f>IFERROR(STDEV(K37:K48)/L43*100,"")</f>
        <v/>
      </c>
    </row>
    <row r="44" ht="22" customHeight="1">
      <c r="A44" s="6" t="inlineStr">
        <is>
          <t>IMP-03</t>
        </is>
      </c>
      <c r="B44" s="6" t="inlineStr">
        <is>
          <t>SPIKED</t>
        </is>
      </c>
      <c r="C44" s="6" t="inlineStr">
        <is>
          <t>100%</t>
        </is>
      </c>
      <c r="D44" s="6" t="n">
        <v>2</v>
      </c>
      <c r="E44" s="7" t="n"/>
      <c r="F44" s="7" t="n"/>
      <c r="G44" s="7" t="n"/>
      <c r="H44" s="9">
        <f>IFERROR(G44*20/E44,"")</f>
        <v/>
      </c>
      <c r="I44" s="9">
        <f>IF(B44="BLANK",H44,IFERROR(AVERAGE(H34:H36),""))</f>
        <v/>
      </c>
      <c r="J44" s="7" t="n"/>
      <c r="K44" s="9">
        <f>IF(OR(B44&lt;&gt;"SPIKED",J44=""),"",IFERROR((H44-I44)/J44*100,""))</f>
        <v/>
      </c>
      <c r="L44" s="9">
        <f>IFERROR(AVERAGE(K37:K48),"")</f>
        <v/>
      </c>
      <c r="M44" s="9">
        <f>IFERROR(STDEV(K37:K48)/L44*100,"")</f>
        <v/>
      </c>
    </row>
    <row r="45" ht="22" customHeight="1">
      <c r="A45" s="6" t="inlineStr">
        <is>
          <t>IMP-03</t>
        </is>
      </c>
      <c r="B45" s="6" t="inlineStr">
        <is>
          <t>SPIKED</t>
        </is>
      </c>
      <c r="C45" s="6" t="inlineStr">
        <is>
          <t>100%</t>
        </is>
      </c>
      <c r="D45" s="6" t="n">
        <v>3</v>
      </c>
      <c r="E45" s="7" t="n"/>
      <c r="F45" s="7" t="n"/>
      <c r="G45" s="7" t="n"/>
      <c r="H45" s="9">
        <f>IFERROR(G45*20/E45,"")</f>
        <v/>
      </c>
      <c r="I45" s="9">
        <f>IF(B45="BLANK",H45,IFERROR(AVERAGE(H34:H36),""))</f>
        <v/>
      </c>
      <c r="J45" s="7" t="n"/>
      <c r="K45" s="9">
        <f>IF(OR(B45&lt;&gt;"SPIKED",J45=""),"",IFERROR((H45-I45)/J45*100,""))</f>
        <v/>
      </c>
      <c r="L45" s="9">
        <f>IFERROR(AVERAGE(K37:K48),"")</f>
        <v/>
      </c>
      <c r="M45" s="9">
        <f>IFERROR(STDEV(K37:K48)/L45*100,"")</f>
        <v/>
      </c>
    </row>
    <row r="46" ht="22" customHeight="1">
      <c r="A46" s="6" t="inlineStr">
        <is>
          <t>IMP-03</t>
        </is>
      </c>
      <c r="B46" s="6" t="inlineStr">
        <is>
          <t>SPIKED</t>
        </is>
      </c>
      <c r="C46" s="6" t="inlineStr">
        <is>
          <t>150%</t>
        </is>
      </c>
      <c r="D46" s="6" t="n">
        <v>1</v>
      </c>
      <c r="E46" s="7" t="n"/>
      <c r="F46" s="7" t="n"/>
      <c r="G46" s="7" t="n"/>
      <c r="H46" s="9">
        <f>IFERROR(G46*20/E46,"")</f>
        <v/>
      </c>
      <c r="I46" s="9">
        <f>IF(B46="BLANK",H46,IFERROR(AVERAGE(H34:H36),""))</f>
        <v/>
      </c>
      <c r="J46" s="7" t="n"/>
      <c r="K46" s="9">
        <f>IF(OR(B46&lt;&gt;"SPIKED",J46=""),"",IFERROR((H46-I46)/J46*100,""))</f>
        <v/>
      </c>
      <c r="L46" s="9">
        <f>IFERROR(AVERAGE(K37:K48),"")</f>
        <v/>
      </c>
      <c r="M46" s="9">
        <f>IFERROR(STDEV(K37:K48)/L46*100,"")</f>
        <v/>
      </c>
    </row>
    <row r="47" ht="22" customHeight="1">
      <c r="A47" s="6" t="inlineStr">
        <is>
          <t>IMP-03</t>
        </is>
      </c>
      <c r="B47" s="6" t="inlineStr">
        <is>
          <t>SPIKED</t>
        </is>
      </c>
      <c r="C47" s="6" t="inlineStr">
        <is>
          <t>150%</t>
        </is>
      </c>
      <c r="D47" s="6" t="n">
        <v>2</v>
      </c>
      <c r="E47" s="7" t="n"/>
      <c r="F47" s="7" t="n"/>
      <c r="G47" s="7" t="n"/>
      <c r="H47" s="9">
        <f>IFERROR(G47*20/E47,"")</f>
        <v/>
      </c>
      <c r="I47" s="9">
        <f>IF(B47="BLANK",H47,IFERROR(AVERAGE(H34:H36),""))</f>
        <v/>
      </c>
      <c r="J47" s="7" t="n"/>
      <c r="K47" s="9">
        <f>IF(OR(B47&lt;&gt;"SPIKED",J47=""),"",IFERROR((H47-I47)/J47*100,""))</f>
        <v/>
      </c>
      <c r="L47" s="9">
        <f>IFERROR(AVERAGE(K37:K48),"")</f>
        <v/>
      </c>
      <c r="M47" s="9">
        <f>IFERROR(STDEV(K37:K48)/L47*100,"")</f>
        <v/>
      </c>
    </row>
    <row r="48" ht="22" customHeight="1">
      <c r="A48" s="6" t="inlineStr">
        <is>
          <t>IMP-03</t>
        </is>
      </c>
      <c r="B48" s="6" t="inlineStr">
        <is>
          <t>SPIKED</t>
        </is>
      </c>
      <c r="C48" s="6" t="inlineStr">
        <is>
          <t>150%</t>
        </is>
      </c>
      <c r="D48" s="6" t="n">
        <v>3</v>
      </c>
      <c r="E48" s="7" t="n"/>
      <c r="F48" s="7" t="n"/>
      <c r="G48" s="7" t="n"/>
      <c r="H48" s="9">
        <f>IFERROR(G48*20/E48,"")</f>
        <v/>
      </c>
      <c r="I48" s="9">
        <f>IF(B48="BLANK",H48,IFERROR(AVERAGE(H34:H36),""))</f>
        <v/>
      </c>
      <c r="J48" s="7" t="n"/>
      <c r="K48" s="9">
        <f>IF(OR(B48&lt;&gt;"SPIKED",J48=""),"",IFERROR((H48-I48)/J48*100,""))</f>
        <v/>
      </c>
      <c r="L48" s="9">
        <f>IFERROR(AVERAGE(K37:K48),"")</f>
        <v/>
      </c>
      <c r="M48" s="9">
        <f>IFERROR(STDEV(K37:K48)/L48*100,"")</f>
        <v/>
      </c>
    </row>
    <row r="49" ht="22" customHeight="1">
      <c r="A49" s="6" t="inlineStr">
        <is>
          <t>IMP-04</t>
        </is>
      </c>
      <c r="B49" s="6" t="inlineStr">
        <is>
          <t>BLANK</t>
        </is>
      </c>
      <c r="C49" s="6" t="inlineStr"/>
      <c r="D49" s="6" t="n">
        <v>1</v>
      </c>
      <c r="E49" s="7" t="n"/>
      <c r="F49" s="7" t="n"/>
      <c r="G49" s="7" t="n"/>
      <c r="H49" s="9">
        <f>IFERROR(G49*20/E49,"")</f>
        <v/>
      </c>
      <c r="I49" s="9">
        <f>IF(B49="BLANK",H49,IFERROR(AVERAGE(H49:H51),""))</f>
        <v/>
      </c>
      <c r="J49" s="6" t="n"/>
      <c r="K49" s="9">
        <f>IF(OR(B49&lt;&gt;"SPIKED",J49=""),"",IFERROR((H49-I49)/J49*100,""))</f>
        <v/>
      </c>
      <c r="L49" s="9">
        <f>IFERROR(AVERAGE(K52:K63),"")</f>
        <v/>
      </c>
      <c r="M49" s="9">
        <f>IFERROR(STDEV(K52:K63)/L49*100,"")</f>
        <v/>
      </c>
    </row>
    <row r="50" ht="22" customHeight="1">
      <c r="A50" s="6" t="inlineStr">
        <is>
          <t>IMP-04</t>
        </is>
      </c>
      <c r="B50" s="6" t="inlineStr">
        <is>
          <t>BLANK</t>
        </is>
      </c>
      <c r="C50" s="6" t="inlineStr"/>
      <c r="D50" s="6" t="n">
        <v>2</v>
      </c>
      <c r="E50" s="7" t="n"/>
      <c r="F50" s="7" t="n"/>
      <c r="G50" s="7" t="n"/>
      <c r="H50" s="9">
        <f>IFERROR(G50*20/E50,"")</f>
        <v/>
      </c>
      <c r="I50" s="9">
        <f>IF(B50="BLANK",H50,IFERROR(AVERAGE(H49:H51),""))</f>
        <v/>
      </c>
      <c r="J50" s="6" t="n"/>
      <c r="K50" s="9">
        <f>IF(OR(B50&lt;&gt;"SPIKED",J50=""),"",IFERROR((H50-I50)/J50*100,""))</f>
        <v/>
      </c>
      <c r="L50" s="9">
        <f>IFERROR(AVERAGE(K52:K63),"")</f>
        <v/>
      </c>
      <c r="M50" s="9">
        <f>IFERROR(STDEV(K52:K63)/L50*100,"")</f>
        <v/>
      </c>
    </row>
    <row r="51" ht="22" customHeight="1">
      <c r="A51" s="6" t="inlineStr">
        <is>
          <t>IMP-04</t>
        </is>
      </c>
      <c r="B51" s="6" t="inlineStr">
        <is>
          <t>BLANK</t>
        </is>
      </c>
      <c r="C51" s="6" t="inlineStr"/>
      <c r="D51" s="6" t="n">
        <v>3</v>
      </c>
      <c r="E51" s="7" t="n"/>
      <c r="F51" s="7" t="n"/>
      <c r="G51" s="7" t="n"/>
      <c r="H51" s="9">
        <f>IFERROR(G51*20/E51,"")</f>
        <v/>
      </c>
      <c r="I51" s="9">
        <f>IF(B51="BLANK",H51,IFERROR(AVERAGE(H49:H51),""))</f>
        <v/>
      </c>
      <c r="J51" s="6" t="n"/>
      <c r="K51" s="9">
        <f>IF(OR(B51&lt;&gt;"SPIKED",J51=""),"",IFERROR((H51-I51)/J51*100,""))</f>
        <v/>
      </c>
      <c r="L51" s="9">
        <f>IFERROR(AVERAGE(K52:K63),"")</f>
        <v/>
      </c>
      <c r="M51" s="9">
        <f>IFERROR(STDEV(K52:K63)/L51*100,"")</f>
        <v/>
      </c>
    </row>
    <row r="52" ht="22" customHeight="1">
      <c r="A52" s="6" t="inlineStr">
        <is>
          <t>IMP-04</t>
        </is>
      </c>
      <c r="B52" s="6" t="inlineStr">
        <is>
          <t>SPIKED</t>
        </is>
      </c>
      <c r="C52" s="6" t="inlineStr">
        <is>
          <t>LOQ</t>
        </is>
      </c>
      <c r="D52" s="6" t="n">
        <v>1</v>
      </c>
      <c r="E52" s="7" t="n"/>
      <c r="F52" s="7" t="n"/>
      <c r="G52" s="7" t="n"/>
      <c r="H52" s="9">
        <f>IFERROR(G52*20/E52,"")</f>
        <v/>
      </c>
      <c r="I52" s="9">
        <f>IF(B52="BLANK",H52,IFERROR(AVERAGE(H49:H51),""))</f>
        <v/>
      </c>
      <c r="J52" s="7" t="n"/>
      <c r="K52" s="9">
        <f>IF(OR(B52&lt;&gt;"SPIKED",J52=""),"",IFERROR((H52-I52)/J52*100,""))</f>
        <v/>
      </c>
      <c r="L52" s="9">
        <f>IFERROR(AVERAGE(K52:K63),"")</f>
        <v/>
      </c>
      <c r="M52" s="9">
        <f>IFERROR(STDEV(K52:K63)/L52*100,"")</f>
        <v/>
      </c>
    </row>
    <row r="53" ht="22" customHeight="1">
      <c r="A53" s="6" t="inlineStr">
        <is>
          <t>IMP-04</t>
        </is>
      </c>
      <c r="B53" s="6" t="inlineStr">
        <is>
          <t>SPIKED</t>
        </is>
      </c>
      <c r="C53" s="6" t="inlineStr">
        <is>
          <t>LOQ</t>
        </is>
      </c>
      <c r="D53" s="6" t="n">
        <v>2</v>
      </c>
      <c r="E53" s="7" t="n"/>
      <c r="F53" s="7" t="n"/>
      <c r="G53" s="7" t="n"/>
      <c r="H53" s="9">
        <f>IFERROR(G53*20/E53,"")</f>
        <v/>
      </c>
      <c r="I53" s="9">
        <f>IF(B53="BLANK",H53,IFERROR(AVERAGE(H49:H51),""))</f>
        <v/>
      </c>
      <c r="J53" s="7" t="n"/>
      <c r="K53" s="9">
        <f>IF(OR(B53&lt;&gt;"SPIKED",J53=""),"",IFERROR((H53-I53)/J53*100,""))</f>
        <v/>
      </c>
      <c r="L53" s="9">
        <f>IFERROR(AVERAGE(K52:K63),"")</f>
        <v/>
      </c>
      <c r="M53" s="9">
        <f>IFERROR(STDEV(K52:K63)/L53*100,"")</f>
        <v/>
      </c>
    </row>
    <row r="54" ht="22" customHeight="1">
      <c r="A54" s="6" t="inlineStr">
        <is>
          <t>IMP-04</t>
        </is>
      </c>
      <c r="B54" s="6" t="inlineStr">
        <is>
          <t>SPIKED</t>
        </is>
      </c>
      <c r="C54" s="6" t="inlineStr">
        <is>
          <t>LOQ</t>
        </is>
      </c>
      <c r="D54" s="6" t="n">
        <v>3</v>
      </c>
      <c r="E54" s="7" t="n"/>
      <c r="F54" s="7" t="n"/>
      <c r="G54" s="7" t="n"/>
      <c r="H54" s="9">
        <f>IFERROR(G54*20/E54,"")</f>
        <v/>
      </c>
      <c r="I54" s="9">
        <f>IF(B54="BLANK",H54,IFERROR(AVERAGE(H49:H51),""))</f>
        <v/>
      </c>
      <c r="J54" s="7" t="n"/>
      <c r="K54" s="9">
        <f>IF(OR(B54&lt;&gt;"SPIKED",J54=""),"",IFERROR((H54-I54)/J54*100,""))</f>
        <v/>
      </c>
      <c r="L54" s="9">
        <f>IFERROR(AVERAGE(K52:K63),"")</f>
        <v/>
      </c>
      <c r="M54" s="9">
        <f>IFERROR(STDEV(K52:K63)/L54*100,"")</f>
        <v/>
      </c>
    </row>
    <row r="55" ht="22" customHeight="1">
      <c r="A55" s="6" t="inlineStr">
        <is>
          <t>IMP-04</t>
        </is>
      </c>
      <c r="B55" s="6" t="inlineStr">
        <is>
          <t>SPIKED</t>
        </is>
      </c>
      <c r="C55" s="6" t="inlineStr">
        <is>
          <t>50%</t>
        </is>
      </c>
      <c r="D55" s="6" t="n">
        <v>1</v>
      </c>
      <c r="E55" s="7" t="n"/>
      <c r="F55" s="7" t="n"/>
      <c r="G55" s="7" t="n"/>
      <c r="H55" s="9">
        <f>IFERROR(G55*20/E55,"")</f>
        <v/>
      </c>
      <c r="I55" s="9">
        <f>IF(B55="BLANK",H55,IFERROR(AVERAGE(H49:H51),""))</f>
        <v/>
      </c>
      <c r="J55" s="7" t="n"/>
      <c r="K55" s="9">
        <f>IF(OR(B55&lt;&gt;"SPIKED",J55=""),"",IFERROR((H55-I55)/J55*100,""))</f>
        <v/>
      </c>
      <c r="L55" s="9">
        <f>IFERROR(AVERAGE(K52:K63),"")</f>
        <v/>
      </c>
      <c r="M55" s="9">
        <f>IFERROR(STDEV(K52:K63)/L55*100,"")</f>
        <v/>
      </c>
    </row>
    <row r="56" ht="22" customHeight="1">
      <c r="A56" s="6" t="inlineStr">
        <is>
          <t>IMP-04</t>
        </is>
      </c>
      <c r="B56" s="6" t="inlineStr">
        <is>
          <t>SPIKED</t>
        </is>
      </c>
      <c r="C56" s="6" t="inlineStr">
        <is>
          <t>50%</t>
        </is>
      </c>
      <c r="D56" s="6" t="n">
        <v>2</v>
      </c>
      <c r="E56" s="7" t="n"/>
      <c r="F56" s="7" t="n"/>
      <c r="G56" s="7" t="n"/>
      <c r="H56" s="9">
        <f>IFERROR(G56*20/E56,"")</f>
        <v/>
      </c>
      <c r="I56" s="9">
        <f>IF(B56="BLANK",H56,IFERROR(AVERAGE(H49:H51),""))</f>
        <v/>
      </c>
      <c r="J56" s="7" t="n"/>
      <c r="K56" s="9">
        <f>IF(OR(B56&lt;&gt;"SPIKED",J56=""),"",IFERROR((H56-I56)/J56*100,""))</f>
        <v/>
      </c>
      <c r="L56" s="9">
        <f>IFERROR(AVERAGE(K52:K63),"")</f>
        <v/>
      </c>
      <c r="M56" s="9">
        <f>IFERROR(STDEV(K52:K63)/L56*100,"")</f>
        <v/>
      </c>
    </row>
    <row r="57" ht="22" customHeight="1">
      <c r="A57" s="6" t="inlineStr">
        <is>
          <t>IMP-04</t>
        </is>
      </c>
      <c r="B57" s="6" t="inlineStr">
        <is>
          <t>SPIKED</t>
        </is>
      </c>
      <c r="C57" s="6" t="inlineStr">
        <is>
          <t>50%</t>
        </is>
      </c>
      <c r="D57" s="6" t="n">
        <v>3</v>
      </c>
      <c r="E57" s="7" t="n"/>
      <c r="F57" s="7" t="n"/>
      <c r="G57" s="7" t="n"/>
      <c r="H57" s="9">
        <f>IFERROR(G57*20/E57,"")</f>
        <v/>
      </c>
      <c r="I57" s="9">
        <f>IF(B57="BLANK",H57,IFERROR(AVERAGE(H49:H51),""))</f>
        <v/>
      </c>
      <c r="J57" s="7" t="n"/>
      <c r="K57" s="9">
        <f>IF(OR(B57&lt;&gt;"SPIKED",J57=""),"",IFERROR((H57-I57)/J57*100,""))</f>
        <v/>
      </c>
      <c r="L57" s="9">
        <f>IFERROR(AVERAGE(K52:K63),"")</f>
        <v/>
      </c>
      <c r="M57" s="9">
        <f>IFERROR(STDEV(K52:K63)/L57*100,"")</f>
        <v/>
      </c>
    </row>
    <row r="58" ht="22" customHeight="1">
      <c r="A58" s="6" t="inlineStr">
        <is>
          <t>IMP-04</t>
        </is>
      </c>
      <c r="B58" s="6" t="inlineStr">
        <is>
          <t>SPIKED</t>
        </is>
      </c>
      <c r="C58" s="6" t="inlineStr">
        <is>
          <t>100%</t>
        </is>
      </c>
      <c r="D58" s="6" t="n">
        <v>1</v>
      </c>
      <c r="E58" s="7" t="n"/>
      <c r="F58" s="7" t="n"/>
      <c r="G58" s="7" t="n"/>
      <c r="H58" s="9">
        <f>IFERROR(G58*20/E58,"")</f>
        <v/>
      </c>
      <c r="I58" s="9">
        <f>IF(B58="BLANK",H58,IFERROR(AVERAGE(H49:H51),""))</f>
        <v/>
      </c>
      <c r="J58" s="7" t="n"/>
      <c r="K58" s="9">
        <f>IF(OR(B58&lt;&gt;"SPIKED",J58=""),"",IFERROR((H58-I58)/J58*100,""))</f>
        <v/>
      </c>
      <c r="L58" s="9">
        <f>IFERROR(AVERAGE(K52:K63),"")</f>
        <v/>
      </c>
      <c r="M58" s="9">
        <f>IFERROR(STDEV(K52:K63)/L58*100,"")</f>
        <v/>
      </c>
    </row>
    <row r="59" ht="22" customHeight="1">
      <c r="A59" s="6" t="inlineStr">
        <is>
          <t>IMP-04</t>
        </is>
      </c>
      <c r="B59" s="6" t="inlineStr">
        <is>
          <t>SPIKED</t>
        </is>
      </c>
      <c r="C59" s="6" t="inlineStr">
        <is>
          <t>100%</t>
        </is>
      </c>
      <c r="D59" s="6" t="n">
        <v>2</v>
      </c>
      <c r="E59" s="7" t="n"/>
      <c r="F59" s="7" t="n"/>
      <c r="G59" s="7" t="n"/>
      <c r="H59" s="9">
        <f>IFERROR(G59*20/E59,"")</f>
        <v/>
      </c>
      <c r="I59" s="9">
        <f>IF(B59="BLANK",H59,IFERROR(AVERAGE(H49:H51),""))</f>
        <v/>
      </c>
      <c r="J59" s="7" t="n"/>
      <c r="K59" s="9">
        <f>IF(OR(B59&lt;&gt;"SPIKED",J59=""),"",IFERROR((H59-I59)/J59*100,""))</f>
        <v/>
      </c>
      <c r="L59" s="9">
        <f>IFERROR(AVERAGE(K52:K63),"")</f>
        <v/>
      </c>
      <c r="M59" s="9">
        <f>IFERROR(STDEV(K52:K63)/L59*100,"")</f>
        <v/>
      </c>
    </row>
    <row r="60" ht="22" customHeight="1">
      <c r="A60" s="6" t="inlineStr">
        <is>
          <t>IMP-04</t>
        </is>
      </c>
      <c r="B60" s="6" t="inlineStr">
        <is>
          <t>SPIKED</t>
        </is>
      </c>
      <c r="C60" s="6" t="inlineStr">
        <is>
          <t>100%</t>
        </is>
      </c>
      <c r="D60" s="6" t="n">
        <v>3</v>
      </c>
      <c r="E60" s="7" t="n"/>
      <c r="F60" s="7" t="n"/>
      <c r="G60" s="7" t="n"/>
      <c r="H60" s="9">
        <f>IFERROR(G60*20/E60,"")</f>
        <v/>
      </c>
      <c r="I60" s="9">
        <f>IF(B60="BLANK",H60,IFERROR(AVERAGE(H49:H51),""))</f>
        <v/>
      </c>
      <c r="J60" s="7" t="n"/>
      <c r="K60" s="9">
        <f>IF(OR(B60&lt;&gt;"SPIKED",J60=""),"",IFERROR((H60-I60)/J60*100,""))</f>
        <v/>
      </c>
      <c r="L60" s="9">
        <f>IFERROR(AVERAGE(K52:K63),"")</f>
        <v/>
      </c>
      <c r="M60" s="9">
        <f>IFERROR(STDEV(K52:K63)/L60*100,"")</f>
        <v/>
      </c>
    </row>
    <row r="61" ht="22" customHeight="1">
      <c r="A61" s="6" t="inlineStr">
        <is>
          <t>IMP-04</t>
        </is>
      </c>
      <c r="B61" s="6" t="inlineStr">
        <is>
          <t>SPIKED</t>
        </is>
      </c>
      <c r="C61" s="6" t="inlineStr">
        <is>
          <t>150%</t>
        </is>
      </c>
      <c r="D61" s="6" t="n">
        <v>1</v>
      </c>
      <c r="E61" s="7" t="n"/>
      <c r="F61" s="7" t="n"/>
      <c r="G61" s="7" t="n"/>
      <c r="H61" s="9">
        <f>IFERROR(G61*20/E61,"")</f>
        <v/>
      </c>
      <c r="I61" s="9">
        <f>IF(B61="BLANK",H61,IFERROR(AVERAGE(H49:H51),""))</f>
        <v/>
      </c>
      <c r="J61" s="7" t="n"/>
      <c r="K61" s="9">
        <f>IF(OR(B61&lt;&gt;"SPIKED",J61=""),"",IFERROR((H61-I61)/J61*100,""))</f>
        <v/>
      </c>
      <c r="L61" s="9">
        <f>IFERROR(AVERAGE(K52:K63),"")</f>
        <v/>
      </c>
      <c r="M61" s="9">
        <f>IFERROR(STDEV(K52:K63)/L61*100,"")</f>
        <v/>
      </c>
    </row>
    <row r="62" ht="22" customHeight="1">
      <c r="A62" s="6" t="inlineStr">
        <is>
          <t>IMP-04</t>
        </is>
      </c>
      <c r="B62" s="6" t="inlineStr">
        <is>
          <t>SPIKED</t>
        </is>
      </c>
      <c r="C62" s="6" t="inlineStr">
        <is>
          <t>150%</t>
        </is>
      </c>
      <c r="D62" s="6" t="n">
        <v>2</v>
      </c>
      <c r="E62" s="7" t="n"/>
      <c r="F62" s="7" t="n"/>
      <c r="G62" s="7" t="n"/>
      <c r="H62" s="9">
        <f>IFERROR(G62*20/E62,"")</f>
        <v/>
      </c>
      <c r="I62" s="9">
        <f>IF(B62="BLANK",H62,IFERROR(AVERAGE(H49:H51),""))</f>
        <v/>
      </c>
      <c r="J62" s="7" t="n"/>
      <c r="K62" s="9">
        <f>IF(OR(B62&lt;&gt;"SPIKED",J62=""),"",IFERROR((H62-I62)/J62*100,""))</f>
        <v/>
      </c>
      <c r="L62" s="9">
        <f>IFERROR(AVERAGE(K52:K63),"")</f>
        <v/>
      </c>
      <c r="M62" s="9">
        <f>IFERROR(STDEV(K52:K63)/L62*100,"")</f>
        <v/>
      </c>
    </row>
    <row r="63" ht="22" customHeight="1">
      <c r="A63" s="6" t="inlineStr">
        <is>
          <t>IMP-04</t>
        </is>
      </c>
      <c r="B63" s="6" t="inlineStr">
        <is>
          <t>SPIKED</t>
        </is>
      </c>
      <c r="C63" s="6" t="inlineStr">
        <is>
          <t>150%</t>
        </is>
      </c>
      <c r="D63" s="6" t="n">
        <v>3</v>
      </c>
      <c r="E63" s="7" t="n"/>
      <c r="F63" s="7" t="n"/>
      <c r="G63" s="7" t="n"/>
      <c r="H63" s="9">
        <f>IFERROR(G63*20/E63,"")</f>
        <v/>
      </c>
      <c r="I63" s="9">
        <f>IF(B63="BLANK",H63,IFERROR(AVERAGE(H49:H51),""))</f>
        <v/>
      </c>
      <c r="J63" s="7" t="n"/>
      <c r="K63" s="9">
        <f>IF(OR(B63&lt;&gt;"SPIKED",J63=""),"",IFERROR((H63-I63)/J63*100,""))</f>
        <v/>
      </c>
      <c r="L63" s="9">
        <f>IFERROR(AVERAGE(K52:K63),"")</f>
        <v/>
      </c>
      <c r="M63" s="9">
        <f>IFERROR(STDEV(K52:K63)/L63*100,"")</f>
        <v/>
      </c>
    </row>
    <row r="64" ht="22" customHeight="1">
      <c r="A64" s="6" t="inlineStr">
        <is>
          <t>IMP-05</t>
        </is>
      </c>
      <c r="B64" s="6" t="inlineStr">
        <is>
          <t>BLANK</t>
        </is>
      </c>
      <c r="C64" s="6" t="inlineStr"/>
      <c r="D64" s="6" t="n">
        <v>1</v>
      </c>
      <c r="E64" s="7" t="n"/>
      <c r="F64" s="7" t="n"/>
      <c r="G64" s="7" t="n"/>
      <c r="H64" s="9">
        <f>IFERROR(G64*20/E64,"")</f>
        <v/>
      </c>
      <c r="I64" s="9">
        <f>IF(B64="BLANK",H64,IFERROR(AVERAGE(H64:H66),""))</f>
        <v/>
      </c>
      <c r="J64" s="6" t="n"/>
      <c r="K64" s="9">
        <f>IF(OR(B64&lt;&gt;"SPIKED",J64=""),"",IFERROR((H64-I64)/J64*100,""))</f>
        <v/>
      </c>
      <c r="L64" s="9">
        <f>IFERROR(AVERAGE(K67:K78),"")</f>
        <v/>
      </c>
      <c r="M64" s="9">
        <f>IFERROR(STDEV(K67:K78)/L64*100,"")</f>
        <v/>
      </c>
    </row>
    <row r="65" ht="22" customHeight="1">
      <c r="A65" s="6" t="inlineStr">
        <is>
          <t>IMP-05</t>
        </is>
      </c>
      <c r="B65" s="6" t="inlineStr">
        <is>
          <t>BLANK</t>
        </is>
      </c>
      <c r="C65" s="6" t="inlineStr"/>
      <c r="D65" s="6" t="n">
        <v>2</v>
      </c>
      <c r="E65" s="7" t="n"/>
      <c r="F65" s="7" t="n"/>
      <c r="G65" s="7" t="n"/>
      <c r="H65" s="9">
        <f>IFERROR(G65*20/E65,"")</f>
        <v/>
      </c>
      <c r="I65" s="9">
        <f>IF(B65="BLANK",H65,IFERROR(AVERAGE(H64:H66),""))</f>
        <v/>
      </c>
      <c r="J65" s="6" t="n"/>
      <c r="K65" s="9">
        <f>IF(OR(B65&lt;&gt;"SPIKED",J65=""),"",IFERROR((H65-I65)/J65*100,""))</f>
        <v/>
      </c>
      <c r="L65" s="9">
        <f>IFERROR(AVERAGE(K67:K78),"")</f>
        <v/>
      </c>
      <c r="M65" s="9">
        <f>IFERROR(STDEV(K67:K78)/L65*100,"")</f>
        <v/>
      </c>
    </row>
    <row r="66" ht="22" customHeight="1">
      <c r="A66" s="6" t="inlineStr">
        <is>
          <t>IMP-05</t>
        </is>
      </c>
      <c r="B66" s="6" t="inlineStr">
        <is>
          <t>BLANK</t>
        </is>
      </c>
      <c r="C66" s="6" t="inlineStr"/>
      <c r="D66" s="6" t="n">
        <v>3</v>
      </c>
      <c r="E66" s="7" t="n"/>
      <c r="F66" s="7" t="n"/>
      <c r="G66" s="7" t="n"/>
      <c r="H66" s="9">
        <f>IFERROR(G66*20/E66,"")</f>
        <v/>
      </c>
      <c r="I66" s="9">
        <f>IF(B66="BLANK",H66,IFERROR(AVERAGE(H64:H66),""))</f>
        <v/>
      </c>
      <c r="J66" s="6" t="n"/>
      <c r="K66" s="9">
        <f>IF(OR(B66&lt;&gt;"SPIKED",J66=""),"",IFERROR((H66-I66)/J66*100,""))</f>
        <v/>
      </c>
      <c r="L66" s="9">
        <f>IFERROR(AVERAGE(K67:K78),"")</f>
        <v/>
      </c>
      <c r="M66" s="9">
        <f>IFERROR(STDEV(K67:K78)/L66*100,"")</f>
        <v/>
      </c>
    </row>
    <row r="67" ht="22" customHeight="1">
      <c r="A67" s="6" t="inlineStr">
        <is>
          <t>IMP-05</t>
        </is>
      </c>
      <c r="B67" s="6" t="inlineStr">
        <is>
          <t>SPIKED</t>
        </is>
      </c>
      <c r="C67" s="6" t="inlineStr">
        <is>
          <t>LOQ</t>
        </is>
      </c>
      <c r="D67" s="6" t="n">
        <v>1</v>
      </c>
      <c r="E67" s="7" t="n"/>
      <c r="F67" s="7" t="n"/>
      <c r="G67" s="7" t="n"/>
      <c r="H67" s="9">
        <f>IFERROR(G67*20/E67,"")</f>
        <v/>
      </c>
      <c r="I67" s="9">
        <f>IF(B67="BLANK",H67,IFERROR(AVERAGE(H64:H66),""))</f>
        <v/>
      </c>
      <c r="J67" s="7" t="n"/>
      <c r="K67" s="9">
        <f>IF(OR(B67&lt;&gt;"SPIKED",J67=""),"",IFERROR((H67-I67)/J67*100,""))</f>
        <v/>
      </c>
      <c r="L67" s="9">
        <f>IFERROR(AVERAGE(K67:K78),"")</f>
        <v/>
      </c>
      <c r="M67" s="9">
        <f>IFERROR(STDEV(K67:K78)/L67*100,"")</f>
        <v/>
      </c>
    </row>
    <row r="68" ht="22" customHeight="1">
      <c r="A68" s="6" t="inlineStr">
        <is>
          <t>IMP-05</t>
        </is>
      </c>
      <c r="B68" s="6" t="inlineStr">
        <is>
          <t>SPIKED</t>
        </is>
      </c>
      <c r="C68" s="6" t="inlineStr">
        <is>
          <t>LOQ</t>
        </is>
      </c>
      <c r="D68" s="6" t="n">
        <v>2</v>
      </c>
      <c r="E68" s="7" t="n"/>
      <c r="F68" s="7" t="n"/>
      <c r="G68" s="7" t="n"/>
      <c r="H68" s="9">
        <f>IFERROR(G68*20/E68,"")</f>
        <v/>
      </c>
      <c r="I68" s="9">
        <f>IF(B68="BLANK",H68,IFERROR(AVERAGE(H64:H66),""))</f>
        <v/>
      </c>
      <c r="J68" s="7" t="n"/>
      <c r="K68" s="9">
        <f>IF(OR(B68&lt;&gt;"SPIKED",J68=""),"",IFERROR((H68-I68)/J68*100,""))</f>
        <v/>
      </c>
      <c r="L68" s="9">
        <f>IFERROR(AVERAGE(K67:K78),"")</f>
        <v/>
      </c>
      <c r="M68" s="9">
        <f>IFERROR(STDEV(K67:K78)/L68*100,"")</f>
        <v/>
      </c>
    </row>
    <row r="69" ht="22" customHeight="1">
      <c r="A69" s="6" t="inlineStr">
        <is>
          <t>IMP-05</t>
        </is>
      </c>
      <c r="B69" s="6" t="inlineStr">
        <is>
          <t>SPIKED</t>
        </is>
      </c>
      <c r="C69" s="6" t="inlineStr">
        <is>
          <t>LOQ</t>
        </is>
      </c>
      <c r="D69" s="6" t="n">
        <v>3</v>
      </c>
      <c r="E69" s="7" t="n"/>
      <c r="F69" s="7" t="n"/>
      <c r="G69" s="7" t="n"/>
      <c r="H69" s="9">
        <f>IFERROR(G69*20/E69,"")</f>
        <v/>
      </c>
      <c r="I69" s="9">
        <f>IF(B69="BLANK",H69,IFERROR(AVERAGE(H64:H66),""))</f>
        <v/>
      </c>
      <c r="J69" s="7" t="n"/>
      <c r="K69" s="9">
        <f>IF(OR(B69&lt;&gt;"SPIKED",J69=""),"",IFERROR((H69-I69)/J69*100,""))</f>
        <v/>
      </c>
      <c r="L69" s="9">
        <f>IFERROR(AVERAGE(K67:K78),"")</f>
        <v/>
      </c>
      <c r="M69" s="9">
        <f>IFERROR(STDEV(K67:K78)/L69*100,"")</f>
        <v/>
      </c>
    </row>
    <row r="70" ht="22" customHeight="1">
      <c r="A70" s="6" t="inlineStr">
        <is>
          <t>IMP-05</t>
        </is>
      </c>
      <c r="B70" s="6" t="inlineStr">
        <is>
          <t>SPIKED</t>
        </is>
      </c>
      <c r="C70" s="6" t="inlineStr">
        <is>
          <t>50%</t>
        </is>
      </c>
      <c r="D70" s="6" t="n">
        <v>1</v>
      </c>
      <c r="E70" s="7" t="n"/>
      <c r="F70" s="7" t="n"/>
      <c r="G70" s="7" t="n"/>
      <c r="H70" s="9">
        <f>IFERROR(G70*20/E70,"")</f>
        <v/>
      </c>
      <c r="I70" s="9">
        <f>IF(B70="BLANK",H70,IFERROR(AVERAGE(H64:H66),""))</f>
        <v/>
      </c>
      <c r="J70" s="7" t="n"/>
      <c r="K70" s="9">
        <f>IF(OR(B70&lt;&gt;"SPIKED",J70=""),"",IFERROR((H70-I70)/J70*100,""))</f>
        <v/>
      </c>
      <c r="L70" s="9">
        <f>IFERROR(AVERAGE(K67:K78),"")</f>
        <v/>
      </c>
      <c r="M70" s="9">
        <f>IFERROR(STDEV(K67:K78)/L70*100,"")</f>
        <v/>
      </c>
    </row>
    <row r="71" ht="22" customHeight="1">
      <c r="A71" s="6" t="inlineStr">
        <is>
          <t>IMP-05</t>
        </is>
      </c>
      <c r="B71" s="6" t="inlineStr">
        <is>
          <t>SPIKED</t>
        </is>
      </c>
      <c r="C71" s="6" t="inlineStr">
        <is>
          <t>50%</t>
        </is>
      </c>
      <c r="D71" s="6" t="n">
        <v>2</v>
      </c>
      <c r="E71" s="7" t="n"/>
      <c r="F71" s="7" t="n"/>
      <c r="G71" s="7" t="n"/>
      <c r="H71" s="9">
        <f>IFERROR(G71*20/E71,"")</f>
        <v/>
      </c>
      <c r="I71" s="9">
        <f>IF(B71="BLANK",H71,IFERROR(AVERAGE(H64:H66),""))</f>
        <v/>
      </c>
      <c r="J71" s="7" t="n"/>
      <c r="K71" s="9">
        <f>IF(OR(B71&lt;&gt;"SPIKED",J71=""),"",IFERROR((H71-I71)/J71*100,""))</f>
        <v/>
      </c>
      <c r="L71" s="9">
        <f>IFERROR(AVERAGE(K67:K78),"")</f>
        <v/>
      </c>
      <c r="M71" s="9">
        <f>IFERROR(STDEV(K67:K78)/L71*100,"")</f>
        <v/>
      </c>
    </row>
    <row r="72" ht="22" customHeight="1">
      <c r="A72" s="6" t="inlineStr">
        <is>
          <t>IMP-05</t>
        </is>
      </c>
      <c r="B72" s="6" t="inlineStr">
        <is>
          <t>SPIKED</t>
        </is>
      </c>
      <c r="C72" s="6" t="inlineStr">
        <is>
          <t>50%</t>
        </is>
      </c>
      <c r="D72" s="6" t="n">
        <v>3</v>
      </c>
      <c r="E72" s="7" t="n"/>
      <c r="F72" s="7" t="n"/>
      <c r="G72" s="7" t="n"/>
      <c r="H72" s="9">
        <f>IFERROR(G72*20/E72,"")</f>
        <v/>
      </c>
      <c r="I72" s="9">
        <f>IF(B72="BLANK",H72,IFERROR(AVERAGE(H64:H66),""))</f>
        <v/>
      </c>
      <c r="J72" s="7" t="n"/>
      <c r="K72" s="9">
        <f>IF(OR(B72&lt;&gt;"SPIKED",J72=""),"",IFERROR((H72-I72)/J72*100,""))</f>
        <v/>
      </c>
      <c r="L72" s="9">
        <f>IFERROR(AVERAGE(K67:K78),"")</f>
        <v/>
      </c>
      <c r="M72" s="9">
        <f>IFERROR(STDEV(K67:K78)/L72*100,"")</f>
        <v/>
      </c>
    </row>
    <row r="73" ht="22" customHeight="1">
      <c r="A73" s="6" t="inlineStr">
        <is>
          <t>IMP-05</t>
        </is>
      </c>
      <c r="B73" s="6" t="inlineStr">
        <is>
          <t>SPIKED</t>
        </is>
      </c>
      <c r="C73" s="6" t="inlineStr">
        <is>
          <t>100%</t>
        </is>
      </c>
      <c r="D73" s="6" t="n">
        <v>1</v>
      </c>
      <c r="E73" s="7" t="n"/>
      <c r="F73" s="7" t="n"/>
      <c r="G73" s="7" t="n"/>
      <c r="H73" s="9">
        <f>IFERROR(G73*20/E73,"")</f>
        <v/>
      </c>
      <c r="I73" s="9">
        <f>IF(B73="BLANK",H73,IFERROR(AVERAGE(H64:H66),""))</f>
        <v/>
      </c>
      <c r="J73" s="7" t="n"/>
      <c r="K73" s="9">
        <f>IF(OR(B73&lt;&gt;"SPIKED",J73=""),"",IFERROR((H73-I73)/J73*100,""))</f>
        <v/>
      </c>
      <c r="L73" s="9">
        <f>IFERROR(AVERAGE(K67:K78),"")</f>
        <v/>
      </c>
      <c r="M73" s="9">
        <f>IFERROR(STDEV(K67:K78)/L73*100,"")</f>
        <v/>
      </c>
    </row>
    <row r="74" ht="22" customHeight="1">
      <c r="A74" s="6" t="inlineStr">
        <is>
          <t>IMP-05</t>
        </is>
      </c>
      <c r="B74" s="6" t="inlineStr">
        <is>
          <t>SPIKED</t>
        </is>
      </c>
      <c r="C74" s="6" t="inlineStr">
        <is>
          <t>100%</t>
        </is>
      </c>
      <c r="D74" s="6" t="n">
        <v>2</v>
      </c>
      <c r="E74" s="7" t="n"/>
      <c r="F74" s="7" t="n"/>
      <c r="G74" s="7" t="n"/>
      <c r="H74" s="9">
        <f>IFERROR(G74*20/E74,"")</f>
        <v/>
      </c>
      <c r="I74" s="9">
        <f>IF(B74="BLANK",H74,IFERROR(AVERAGE(H64:H66),""))</f>
        <v/>
      </c>
      <c r="J74" s="7" t="n"/>
      <c r="K74" s="9">
        <f>IF(OR(B74&lt;&gt;"SPIKED",J74=""),"",IFERROR((H74-I74)/J74*100,""))</f>
        <v/>
      </c>
      <c r="L74" s="9">
        <f>IFERROR(AVERAGE(K67:K78),"")</f>
        <v/>
      </c>
      <c r="M74" s="9">
        <f>IFERROR(STDEV(K67:K78)/L74*100,"")</f>
        <v/>
      </c>
    </row>
    <row r="75" ht="22" customHeight="1">
      <c r="A75" s="6" t="inlineStr">
        <is>
          <t>IMP-05</t>
        </is>
      </c>
      <c r="B75" s="6" t="inlineStr">
        <is>
          <t>SPIKED</t>
        </is>
      </c>
      <c r="C75" s="6" t="inlineStr">
        <is>
          <t>100%</t>
        </is>
      </c>
      <c r="D75" s="6" t="n">
        <v>3</v>
      </c>
      <c r="E75" s="7" t="n"/>
      <c r="F75" s="7" t="n"/>
      <c r="G75" s="7" t="n"/>
      <c r="H75" s="9">
        <f>IFERROR(G75*20/E75,"")</f>
        <v/>
      </c>
      <c r="I75" s="9">
        <f>IF(B75="BLANK",H75,IFERROR(AVERAGE(H64:H66),""))</f>
        <v/>
      </c>
      <c r="J75" s="7" t="n"/>
      <c r="K75" s="9">
        <f>IF(OR(B75&lt;&gt;"SPIKED",J75=""),"",IFERROR((H75-I75)/J75*100,""))</f>
        <v/>
      </c>
      <c r="L75" s="9">
        <f>IFERROR(AVERAGE(K67:K78),"")</f>
        <v/>
      </c>
      <c r="M75" s="9">
        <f>IFERROR(STDEV(K67:K78)/L75*100,"")</f>
        <v/>
      </c>
    </row>
    <row r="76" ht="22" customHeight="1">
      <c r="A76" s="6" t="inlineStr">
        <is>
          <t>IMP-05</t>
        </is>
      </c>
      <c r="B76" s="6" t="inlineStr">
        <is>
          <t>SPIKED</t>
        </is>
      </c>
      <c r="C76" s="6" t="inlineStr">
        <is>
          <t>150%</t>
        </is>
      </c>
      <c r="D76" s="6" t="n">
        <v>1</v>
      </c>
      <c r="E76" s="7" t="n"/>
      <c r="F76" s="7" t="n"/>
      <c r="G76" s="7" t="n"/>
      <c r="H76" s="9">
        <f>IFERROR(G76*20/E76,"")</f>
        <v/>
      </c>
      <c r="I76" s="9">
        <f>IF(B76="BLANK",H76,IFERROR(AVERAGE(H64:H66),""))</f>
        <v/>
      </c>
      <c r="J76" s="7" t="n"/>
      <c r="K76" s="9">
        <f>IF(OR(B76&lt;&gt;"SPIKED",J76=""),"",IFERROR((H76-I76)/J76*100,""))</f>
        <v/>
      </c>
      <c r="L76" s="9">
        <f>IFERROR(AVERAGE(K67:K78),"")</f>
        <v/>
      </c>
      <c r="M76" s="9">
        <f>IFERROR(STDEV(K67:K78)/L76*100,"")</f>
        <v/>
      </c>
    </row>
    <row r="77" ht="22" customHeight="1">
      <c r="A77" s="6" t="inlineStr">
        <is>
          <t>IMP-05</t>
        </is>
      </c>
      <c r="B77" s="6" t="inlineStr">
        <is>
          <t>SPIKED</t>
        </is>
      </c>
      <c r="C77" s="6" t="inlineStr">
        <is>
          <t>150%</t>
        </is>
      </c>
      <c r="D77" s="6" t="n">
        <v>2</v>
      </c>
      <c r="E77" s="7" t="n"/>
      <c r="F77" s="7" t="n"/>
      <c r="G77" s="7" t="n"/>
      <c r="H77" s="9">
        <f>IFERROR(G77*20/E77,"")</f>
        <v/>
      </c>
      <c r="I77" s="9">
        <f>IF(B77="BLANK",H77,IFERROR(AVERAGE(H64:H66),""))</f>
        <v/>
      </c>
      <c r="J77" s="7" t="n"/>
      <c r="K77" s="9">
        <f>IF(OR(B77&lt;&gt;"SPIKED",J77=""),"",IFERROR((H77-I77)/J77*100,""))</f>
        <v/>
      </c>
      <c r="L77" s="9">
        <f>IFERROR(AVERAGE(K67:K78),"")</f>
        <v/>
      </c>
      <c r="M77" s="9">
        <f>IFERROR(STDEV(K67:K78)/L77*100,"")</f>
        <v/>
      </c>
    </row>
    <row r="78" ht="22" customHeight="1">
      <c r="A78" s="6" t="inlineStr">
        <is>
          <t>IMP-05</t>
        </is>
      </c>
      <c r="B78" s="6" t="inlineStr">
        <is>
          <t>SPIKED</t>
        </is>
      </c>
      <c r="C78" s="6" t="inlineStr">
        <is>
          <t>150%</t>
        </is>
      </c>
      <c r="D78" s="6" t="n">
        <v>3</v>
      </c>
      <c r="E78" s="7" t="n"/>
      <c r="F78" s="7" t="n"/>
      <c r="G78" s="7" t="n"/>
      <c r="H78" s="9">
        <f>IFERROR(G78*20/E78,"")</f>
        <v/>
      </c>
      <c r="I78" s="9">
        <f>IF(B78="BLANK",H78,IFERROR(AVERAGE(H64:H66),""))</f>
        <v/>
      </c>
      <c r="J78" s="7" t="n"/>
      <c r="K78" s="9">
        <f>IF(OR(B78&lt;&gt;"SPIKED",J78=""),"",IFERROR((H78-I78)/J78*100,""))</f>
        <v/>
      </c>
      <c r="L78" s="9">
        <f>IFERROR(AVERAGE(K67:K78),"")</f>
        <v/>
      </c>
      <c r="M78" s="9">
        <f>IFERROR(STDEV(K67:K78)/L78*100,"")</f>
        <v/>
      </c>
    </row>
    <row r="79" ht="22" customHeight="1">
      <c r="A79" s="6" t="inlineStr">
        <is>
          <t>IMP-06</t>
        </is>
      </c>
      <c r="B79" s="6" t="inlineStr">
        <is>
          <t>BLANK</t>
        </is>
      </c>
      <c r="C79" s="6" t="inlineStr"/>
      <c r="D79" s="6" t="n">
        <v>1</v>
      </c>
      <c r="E79" s="7" t="n"/>
      <c r="F79" s="7" t="n"/>
      <c r="G79" s="7" t="n"/>
      <c r="H79" s="9">
        <f>IFERROR(G79*20/E79,"")</f>
        <v/>
      </c>
      <c r="I79" s="9">
        <f>IF(B79="BLANK",H79,IFERROR(AVERAGE(H79:H81),""))</f>
        <v/>
      </c>
      <c r="J79" s="6" t="n"/>
      <c r="K79" s="9">
        <f>IF(OR(B79&lt;&gt;"SPIKED",J79=""),"",IFERROR((H79-I79)/J79*100,""))</f>
        <v/>
      </c>
      <c r="L79" s="9">
        <f>IFERROR(AVERAGE(K82:K93),"")</f>
        <v/>
      </c>
      <c r="M79" s="9">
        <f>IFERROR(STDEV(K82:K93)/L79*100,"")</f>
        <v/>
      </c>
    </row>
    <row r="80" ht="22" customHeight="1">
      <c r="A80" s="6" t="inlineStr">
        <is>
          <t>IMP-06</t>
        </is>
      </c>
      <c r="B80" s="6" t="inlineStr">
        <is>
          <t>BLANK</t>
        </is>
      </c>
      <c r="C80" s="6" t="inlineStr"/>
      <c r="D80" s="6" t="n">
        <v>2</v>
      </c>
      <c r="E80" s="7" t="n"/>
      <c r="F80" s="7" t="n"/>
      <c r="G80" s="7" t="n"/>
      <c r="H80" s="9">
        <f>IFERROR(G80*20/E80,"")</f>
        <v/>
      </c>
      <c r="I80" s="9">
        <f>IF(B80="BLANK",H80,IFERROR(AVERAGE(H79:H81),""))</f>
        <v/>
      </c>
      <c r="J80" s="6" t="n"/>
      <c r="K80" s="9">
        <f>IF(OR(B80&lt;&gt;"SPIKED",J80=""),"",IFERROR((H80-I80)/J80*100,""))</f>
        <v/>
      </c>
      <c r="L80" s="9">
        <f>IFERROR(AVERAGE(K82:K93),"")</f>
        <v/>
      </c>
      <c r="M80" s="9">
        <f>IFERROR(STDEV(K82:K93)/L80*100,"")</f>
        <v/>
      </c>
    </row>
    <row r="81" ht="22" customHeight="1">
      <c r="A81" s="6" t="inlineStr">
        <is>
          <t>IMP-06</t>
        </is>
      </c>
      <c r="B81" s="6" t="inlineStr">
        <is>
          <t>BLANK</t>
        </is>
      </c>
      <c r="C81" s="6" t="inlineStr"/>
      <c r="D81" s="6" t="n">
        <v>3</v>
      </c>
      <c r="E81" s="7" t="n"/>
      <c r="F81" s="7" t="n"/>
      <c r="G81" s="7" t="n"/>
      <c r="H81" s="9">
        <f>IFERROR(G81*20/E81,"")</f>
        <v/>
      </c>
      <c r="I81" s="9">
        <f>IF(B81="BLANK",H81,IFERROR(AVERAGE(H79:H81),""))</f>
        <v/>
      </c>
      <c r="J81" s="6" t="n"/>
      <c r="K81" s="9">
        <f>IF(OR(B81&lt;&gt;"SPIKED",J81=""),"",IFERROR((H81-I81)/J81*100,""))</f>
        <v/>
      </c>
      <c r="L81" s="9">
        <f>IFERROR(AVERAGE(K82:K93),"")</f>
        <v/>
      </c>
      <c r="M81" s="9">
        <f>IFERROR(STDEV(K82:K93)/L81*100,"")</f>
        <v/>
      </c>
    </row>
    <row r="82" ht="22" customHeight="1">
      <c r="A82" s="6" t="inlineStr">
        <is>
          <t>IMP-06</t>
        </is>
      </c>
      <c r="B82" s="6" t="inlineStr">
        <is>
          <t>SPIKED</t>
        </is>
      </c>
      <c r="C82" s="6" t="inlineStr">
        <is>
          <t>LOQ</t>
        </is>
      </c>
      <c r="D82" s="6" t="n">
        <v>1</v>
      </c>
      <c r="E82" s="7" t="n"/>
      <c r="F82" s="7" t="n"/>
      <c r="G82" s="7" t="n"/>
      <c r="H82" s="9">
        <f>IFERROR(G82*20/E82,"")</f>
        <v/>
      </c>
      <c r="I82" s="9">
        <f>IF(B82="BLANK",H82,IFERROR(AVERAGE(H79:H81),""))</f>
        <v/>
      </c>
      <c r="J82" s="7" t="n"/>
      <c r="K82" s="9">
        <f>IF(OR(B82&lt;&gt;"SPIKED",J82=""),"",IFERROR((H82-I82)/J82*100,""))</f>
        <v/>
      </c>
      <c r="L82" s="9">
        <f>IFERROR(AVERAGE(K82:K93),"")</f>
        <v/>
      </c>
      <c r="M82" s="9">
        <f>IFERROR(STDEV(K82:K93)/L82*100,"")</f>
        <v/>
      </c>
    </row>
    <row r="83" ht="22" customHeight="1">
      <c r="A83" s="6" t="inlineStr">
        <is>
          <t>IMP-06</t>
        </is>
      </c>
      <c r="B83" s="6" t="inlineStr">
        <is>
          <t>SPIKED</t>
        </is>
      </c>
      <c r="C83" s="6" t="inlineStr">
        <is>
          <t>LOQ</t>
        </is>
      </c>
      <c r="D83" s="6" t="n">
        <v>2</v>
      </c>
      <c r="E83" s="7" t="n"/>
      <c r="F83" s="7" t="n"/>
      <c r="G83" s="7" t="n"/>
      <c r="H83" s="9">
        <f>IFERROR(G83*20/E83,"")</f>
        <v/>
      </c>
      <c r="I83" s="9">
        <f>IF(B83="BLANK",H83,IFERROR(AVERAGE(H79:H81),""))</f>
        <v/>
      </c>
      <c r="J83" s="7" t="n"/>
      <c r="K83" s="9">
        <f>IF(OR(B83&lt;&gt;"SPIKED",J83=""),"",IFERROR((H83-I83)/J83*100,""))</f>
        <v/>
      </c>
      <c r="L83" s="9">
        <f>IFERROR(AVERAGE(K82:K93),"")</f>
        <v/>
      </c>
      <c r="M83" s="9">
        <f>IFERROR(STDEV(K82:K93)/L83*100,"")</f>
        <v/>
      </c>
    </row>
    <row r="84" ht="22" customHeight="1">
      <c r="A84" s="6" t="inlineStr">
        <is>
          <t>IMP-06</t>
        </is>
      </c>
      <c r="B84" s="6" t="inlineStr">
        <is>
          <t>SPIKED</t>
        </is>
      </c>
      <c r="C84" s="6" t="inlineStr">
        <is>
          <t>LOQ</t>
        </is>
      </c>
      <c r="D84" s="6" t="n">
        <v>3</v>
      </c>
      <c r="E84" s="7" t="n"/>
      <c r="F84" s="7" t="n"/>
      <c r="G84" s="7" t="n"/>
      <c r="H84" s="9">
        <f>IFERROR(G84*20/E84,"")</f>
        <v/>
      </c>
      <c r="I84" s="9">
        <f>IF(B84="BLANK",H84,IFERROR(AVERAGE(H79:H81),""))</f>
        <v/>
      </c>
      <c r="J84" s="7" t="n"/>
      <c r="K84" s="9">
        <f>IF(OR(B84&lt;&gt;"SPIKED",J84=""),"",IFERROR((H84-I84)/J84*100,""))</f>
        <v/>
      </c>
      <c r="L84" s="9">
        <f>IFERROR(AVERAGE(K82:K93),"")</f>
        <v/>
      </c>
      <c r="M84" s="9">
        <f>IFERROR(STDEV(K82:K93)/L84*100,"")</f>
        <v/>
      </c>
    </row>
    <row r="85" ht="22" customHeight="1">
      <c r="A85" s="6" t="inlineStr">
        <is>
          <t>IMP-06</t>
        </is>
      </c>
      <c r="B85" s="6" t="inlineStr">
        <is>
          <t>SPIKED</t>
        </is>
      </c>
      <c r="C85" s="6" t="inlineStr">
        <is>
          <t>50%</t>
        </is>
      </c>
      <c r="D85" s="6" t="n">
        <v>1</v>
      </c>
      <c r="E85" s="7" t="n"/>
      <c r="F85" s="7" t="n"/>
      <c r="G85" s="7" t="n"/>
      <c r="H85" s="9">
        <f>IFERROR(G85*20/E85,"")</f>
        <v/>
      </c>
      <c r="I85" s="9">
        <f>IF(B85="BLANK",H85,IFERROR(AVERAGE(H79:H81),""))</f>
        <v/>
      </c>
      <c r="J85" s="7" t="n"/>
      <c r="K85" s="9">
        <f>IF(OR(B85&lt;&gt;"SPIKED",J85=""),"",IFERROR((H85-I85)/J85*100,""))</f>
        <v/>
      </c>
      <c r="L85" s="9">
        <f>IFERROR(AVERAGE(K82:K93),"")</f>
        <v/>
      </c>
      <c r="M85" s="9">
        <f>IFERROR(STDEV(K82:K93)/L85*100,"")</f>
        <v/>
      </c>
    </row>
    <row r="86" ht="22" customHeight="1">
      <c r="A86" s="6" t="inlineStr">
        <is>
          <t>IMP-06</t>
        </is>
      </c>
      <c r="B86" s="6" t="inlineStr">
        <is>
          <t>SPIKED</t>
        </is>
      </c>
      <c r="C86" s="6" t="inlineStr">
        <is>
          <t>50%</t>
        </is>
      </c>
      <c r="D86" s="6" t="n">
        <v>2</v>
      </c>
      <c r="E86" s="7" t="n"/>
      <c r="F86" s="7" t="n"/>
      <c r="G86" s="7" t="n"/>
      <c r="H86" s="9">
        <f>IFERROR(G86*20/E86,"")</f>
        <v/>
      </c>
      <c r="I86" s="9">
        <f>IF(B86="BLANK",H86,IFERROR(AVERAGE(H79:H81),""))</f>
        <v/>
      </c>
      <c r="J86" s="7" t="n"/>
      <c r="K86" s="9">
        <f>IF(OR(B86&lt;&gt;"SPIKED",J86=""),"",IFERROR((H86-I86)/J86*100,""))</f>
        <v/>
      </c>
      <c r="L86" s="9">
        <f>IFERROR(AVERAGE(K82:K93),"")</f>
        <v/>
      </c>
      <c r="M86" s="9">
        <f>IFERROR(STDEV(K82:K93)/L86*100,"")</f>
        <v/>
      </c>
    </row>
    <row r="87" ht="22" customHeight="1">
      <c r="A87" s="6" t="inlineStr">
        <is>
          <t>IMP-06</t>
        </is>
      </c>
      <c r="B87" s="6" t="inlineStr">
        <is>
          <t>SPIKED</t>
        </is>
      </c>
      <c r="C87" s="6" t="inlineStr">
        <is>
          <t>50%</t>
        </is>
      </c>
      <c r="D87" s="6" t="n">
        <v>3</v>
      </c>
      <c r="E87" s="7" t="n"/>
      <c r="F87" s="7" t="n"/>
      <c r="G87" s="7" t="n"/>
      <c r="H87" s="9">
        <f>IFERROR(G87*20/E87,"")</f>
        <v/>
      </c>
      <c r="I87" s="9">
        <f>IF(B87="BLANK",H87,IFERROR(AVERAGE(H79:H81),""))</f>
        <v/>
      </c>
      <c r="J87" s="7" t="n"/>
      <c r="K87" s="9">
        <f>IF(OR(B87&lt;&gt;"SPIKED",J87=""),"",IFERROR((H87-I87)/J87*100,""))</f>
        <v/>
      </c>
      <c r="L87" s="9">
        <f>IFERROR(AVERAGE(K82:K93),"")</f>
        <v/>
      </c>
      <c r="M87" s="9">
        <f>IFERROR(STDEV(K82:K93)/L87*100,"")</f>
        <v/>
      </c>
    </row>
    <row r="88" ht="22" customHeight="1">
      <c r="A88" s="6" t="inlineStr">
        <is>
          <t>IMP-06</t>
        </is>
      </c>
      <c r="B88" s="6" t="inlineStr">
        <is>
          <t>SPIKED</t>
        </is>
      </c>
      <c r="C88" s="6" t="inlineStr">
        <is>
          <t>100%</t>
        </is>
      </c>
      <c r="D88" s="6" t="n">
        <v>1</v>
      </c>
      <c r="E88" s="7" t="n"/>
      <c r="F88" s="7" t="n"/>
      <c r="G88" s="7" t="n"/>
      <c r="H88" s="9">
        <f>IFERROR(G88*20/E88,"")</f>
        <v/>
      </c>
      <c r="I88" s="9">
        <f>IF(B88="BLANK",H88,IFERROR(AVERAGE(H79:H81),""))</f>
        <v/>
      </c>
      <c r="J88" s="7" t="n"/>
      <c r="K88" s="9">
        <f>IF(OR(B88&lt;&gt;"SPIKED",J88=""),"",IFERROR((H88-I88)/J88*100,""))</f>
        <v/>
      </c>
      <c r="L88" s="9">
        <f>IFERROR(AVERAGE(K82:K93),"")</f>
        <v/>
      </c>
      <c r="M88" s="9">
        <f>IFERROR(STDEV(K82:K93)/L88*100,"")</f>
        <v/>
      </c>
    </row>
    <row r="89" ht="22" customHeight="1">
      <c r="A89" s="6" t="inlineStr">
        <is>
          <t>IMP-06</t>
        </is>
      </c>
      <c r="B89" s="6" t="inlineStr">
        <is>
          <t>SPIKED</t>
        </is>
      </c>
      <c r="C89" s="6" t="inlineStr">
        <is>
          <t>100%</t>
        </is>
      </c>
      <c r="D89" s="6" t="n">
        <v>2</v>
      </c>
      <c r="E89" s="7" t="n"/>
      <c r="F89" s="7" t="n"/>
      <c r="G89" s="7" t="n"/>
      <c r="H89" s="9">
        <f>IFERROR(G89*20/E89,"")</f>
        <v/>
      </c>
      <c r="I89" s="9">
        <f>IF(B89="BLANK",H89,IFERROR(AVERAGE(H79:H81),""))</f>
        <v/>
      </c>
      <c r="J89" s="7" t="n"/>
      <c r="K89" s="9">
        <f>IF(OR(B89&lt;&gt;"SPIKED",J89=""),"",IFERROR((H89-I89)/J89*100,""))</f>
        <v/>
      </c>
      <c r="L89" s="9">
        <f>IFERROR(AVERAGE(K82:K93),"")</f>
        <v/>
      </c>
      <c r="M89" s="9">
        <f>IFERROR(STDEV(K82:K93)/L89*100,"")</f>
        <v/>
      </c>
    </row>
    <row r="90" ht="22" customHeight="1">
      <c r="A90" s="6" t="inlineStr">
        <is>
          <t>IMP-06</t>
        </is>
      </c>
      <c r="B90" s="6" t="inlineStr">
        <is>
          <t>SPIKED</t>
        </is>
      </c>
      <c r="C90" s="6" t="inlineStr">
        <is>
          <t>100%</t>
        </is>
      </c>
      <c r="D90" s="6" t="n">
        <v>3</v>
      </c>
      <c r="E90" s="7" t="n"/>
      <c r="F90" s="7" t="n"/>
      <c r="G90" s="7" t="n"/>
      <c r="H90" s="9">
        <f>IFERROR(G90*20/E90,"")</f>
        <v/>
      </c>
      <c r="I90" s="9">
        <f>IF(B90="BLANK",H90,IFERROR(AVERAGE(H79:H81),""))</f>
        <v/>
      </c>
      <c r="J90" s="7" t="n"/>
      <c r="K90" s="9">
        <f>IF(OR(B90&lt;&gt;"SPIKED",J90=""),"",IFERROR((H90-I90)/J90*100,""))</f>
        <v/>
      </c>
      <c r="L90" s="9">
        <f>IFERROR(AVERAGE(K82:K93),"")</f>
        <v/>
      </c>
      <c r="M90" s="9">
        <f>IFERROR(STDEV(K82:K93)/L90*100,"")</f>
        <v/>
      </c>
    </row>
    <row r="91" ht="22" customHeight="1">
      <c r="A91" s="6" t="inlineStr">
        <is>
          <t>IMP-06</t>
        </is>
      </c>
      <c r="B91" s="6" t="inlineStr">
        <is>
          <t>SPIKED</t>
        </is>
      </c>
      <c r="C91" s="6" t="inlineStr">
        <is>
          <t>150%</t>
        </is>
      </c>
      <c r="D91" s="6" t="n">
        <v>1</v>
      </c>
      <c r="E91" s="7" t="n"/>
      <c r="F91" s="7" t="n"/>
      <c r="G91" s="7" t="n"/>
      <c r="H91" s="9">
        <f>IFERROR(G91*20/E91,"")</f>
        <v/>
      </c>
      <c r="I91" s="9">
        <f>IF(B91="BLANK",H91,IFERROR(AVERAGE(H79:H81),""))</f>
        <v/>
      </c>
      <c r="J91" s="7" t="n"/>
      <c r="K91" s="9">
        <f>IF(OR(B91&lt;&gt;"SPIKED",J91=""),"",IFERROR((H91-I91)/J91*100,""))</f>
        <v/>
      </c>
      <c r="L91" s="9">
        <f>IFERROR(AVERAGE(K82:K93),"")</f>
        <v/>
      </c>
      <c r="M91" s="9">
        <f>IFERROR(STDEV(K82:K93)/L91*100,"")</f>
        <v/>
      </c>
    </row>
    <row r="92" ht="22" customHeight="1">
      <c r="A92" s="6" t="inlineStr">
        <is>
          <t>IMP-06</t>
        </is>
      </c>
      <c r="B92" s="6" t="inlineStr">
        <is>
          <t>SPIKED</t>
        </is>
      </c>
      <c r="C92" s="6" t="inlineStr">
        <is>
          <t>150%</t>
        </is>
      </c>
      <c r="D92" s="6" t="n">
        <v>2</v>
      </c>
      <c r="E92" s="7" t="n"/>
      <c r="F92" s="7" t="n"/>
      <c r="G92" s="7" t="n"/>
      <c r="H92" s="9">
        <f>IFERROR(G92*20/E92,"")</f>
        <v/>
      </c>
      <c r="I92" s="9">
        <f>IF(B92="BLANK",H92,IFERROR(AVERAGE(H79:H81),""))</f>
        <v/>
      </c>
      <c r="J92" s="7" t="n"/>
      <c r="K92" s="9">
        <f>IF(OR(B92&lt;&gt;"SPIKED",J92=""),"",IFERROR((H92-I92)/J92*100,""))</f>
        <v/>
      </c>
      <c r="L92" s="9">
        <f>IFERROR(AVERAGE(K82:K93),"")</f>
        <v/>
      </c>
      <c r="M92" s="9">
        <f>IFERROR(STDEV(K82:K93)/L92*100,"")</f>
        <v/>
      </c>
    </row>
    <row r="93" ht="22" customHeight="1">
      <c r="A93" s="6" t="inlineStr">
        <is>
          <t>IMP-06</t>
        </is>
      </c>
      <c r="B93" s="6" t="inlineStr">
        <is>
          <t>SPIKED</t>
        </is>
      </c>
      <c r="C93" s="6" t="inlineStr">
        <is>
          <t>150%</t>
        </is>
      </c>
      <c r="D93" s="6" t="n">
        <v>3</v>
      </c>
      <c r="E93" s="7" t="n"/>
      <c r="F93" s="7" t="n"/>
      <c r="G93" s="7" t="n"/>
      <c r="H93" s="9">
        <f>IFERROR(G93*20/E93,"")</f>
        <v/>
      </c>
      <c r="I93" s="9">
        <f>IF(B93="BLANK",H93,IFERROR(AVERAGE(H79:H81),""))</f>
        <v/>
      </c>
      <c r="J93" s="7" t="n"/>
      <c r="K93" s="9">
        <f>IF(OR(B93&lt;&gt;"SPIKED",J93=""),"",IFERROR((H93-I93)/J93*100,""))</f>
        <v/>
      </c>
      <c r="L93" s="9">
        <f>IFERROR(AVERAGE(K82:K93),"")</f>
        <v/>
      </c>
      <c r="M93" s="9">
        <f>IFERROR(STDEV(K82:K93)/L93*100,"")</f>
        <v/>
      </c>
    </row>
    <row r="94" ht="22" customHeight="1">
      <c r="A94" s="6" t="inlineStr">
        <is>
          <t>IMP-07</t>
        </is>
      </c>
      <c r="B94" s="6" t="inlineStr">
        <is>
          <t>BLANK</t>
        </is>
      </c>
      <c r="C94" s="6" t="inlineStr"/>
      <c r="D94" s="6" t="n">
        <v>1</v>
      </c>
      <c r="E94" s="7" t="n"/>
      <c r="F94" s="7" t="n"/>
      <c r="G94" s="7" t="n"/>
      <c r="H94" s="9">
        <f>IFERROR(G94*20/E94,"")</f>
        <v/>
      </c>
      <c r="I94" s="9">
        <f>IF(B94="BLANK",H94,IFERROR(AVERAGE(H94:H96),""))</f>
        <v/>
      </c>
      <c r="J94" s="6" t="n"/>
      <c r="K94" s="9">
        <f>IF(OR(B94&lt;&gt;"SPIKED",J94=""),"",IFERROR((H94-I94)/J94*100,""))</f>
        <v/>
      </c>
      <c r="L94" s="9">
        <f>IFERROR(AVERAGE(K97:K108),"")</f>
        <v/>
      </c>
      <c r="M94" s="9">
        <f>IFERROR(STDEV(K97:K108)/L94*100,"")</f>
        <v/>
      </c>
    </row>
    <row r="95" ht="22" customHeight="1">
      <c r="A95" s="6" t="inlineStr">
        <is>
          <t>IMP-07</t>
        </is>
      </c>
      <c r="B95" s="6" t="inlineStr">
        <is>
          <t>BLANK</t>
        </is>
      </c>
      <c r="C95" s="6" t="inlineStr"/>
      <c r="D95" s="6" t="n">
        <v>2</v>
      </c>
      <c r="E95" s="7" t="n"/>
      <c r="F95" s="7" t="n"/>
      <c r="G95" s="7" t="n"/>
      <c r="H95" s="9">
        <f>IFERROR(G95*20/E95,"")</f>
        <v/>
      </c>
      <c r="I95" s="9">
        <f>IF(B95="BLANK",H95,IFERROR(AVERAGE(H94:H96),""))</f>
        <v/>
      </c>
      <c r="J95" s="6" t="n"/>
      <c r="K95" s="9">
        <f>IF(OR(B95&lt;&gt;"SPIKED",J95=""),"",IFERROR((H95-I95)/J95*100,""))</f>
        <v/>
      </c>
      <c r="L95" s="9">
        <f>IFERROR(AVERAGE(K97:K108),"")</f>
        <v/>
      </c>
      <c r="M95" s="9">
        <f>IFERROR(STDEV(K97:K108)/L95*100,"")</f>
        <v/>
      </c>
    </row>
    <row r="96" ht="22" customHeight="1">
      <c r="A96" s="6" t="inlineStr">
        <is>
          <t>IMP-07</t>
        </is>
      </c>
      <c r="B96" s="6" t="inlineStr">
        <is>
          <t>BLANK</t>
        </is>
      </c>
      <c r="C96" s="6" t="inlineStr"/>
      <c r="D96" s="6" t="n">
        <v>3</v>
      </c>
      <c r="E96" s="7" t="n"/>
      <c r="F96" s="7" t="n"/>
      <c r="G96" s="7" t="n"/>
      <c r="H96" s="9">
        <f>IFERROR(G96*20/E96,"")</f>
        <v/>
      </c>
      <c r="I96" s="9">
        <f>IF(B96="BLANK",H96,IFERROR(AVERAGE(H94:H96),""))</f>
        <v/>
      </c>
      <c r="J96" s="6" t="n"/>
      <c r="K96" s="9">
        <f>IF(OR(B96&lt;&gt;"SPIKED",J96=""),"",IFERROR((H96-I96)/J96*100,""))</f>
        <v/>
      </c>
      <c r="L96" s="9">
        <f>IFERROR(AVERAGE(K97:K108),"")</f>
        <v/>
      </c>
      <c r="M96" s="9">
        <f>IFERROR(STDEV(K97:K108)/L96*100,"")</f>
        <v/>
      </c>
    </row>
    <row r="97" ht="22" customHeight="1">
      <c r="A97" s="6" t="inlineStr">
        <is>
          <t>IMP-07</t>
        </is>
      </c>
      <c r="B97" s="6" t="inlineStr">
        <is>
          <t>SPIKED</t>
        </is>
      </c>
      <c r="C97" s="6" t="inlineStr">
        <is>
          <t>LOQ</t>
        </is>
      </c>
      <c r="D97" s="6" t="n">
        <v>1</v>
      </c>
      <c r="E97" s="7" t="n"/>
      <c r="F97" s="7" t="n"/>
      <c r="G97" s="7" t="n"/>
      <c r="H97" s="9">
        <f>IFERROR(G97*20/E97,"")</f>
        <v/>
      </c>
      <c r="I97" s="9">
        <f>IF(B97="BLANK",H97,IFERROR(AVERAGE(H94:H96),""))</f>
        <v/>
      </c>
      <c r="J97" s="7" t="n"/>
      <c r="K97" s="9">
        <f>IF(OR(B97&lt;&gt;"SPIKED",J97=""),"",IFERROR((H97-I97)/J97*100,""))</f>
        <v/>
      </c>
      <c r="L97" s="9">
        <f>IFERROR(AVERAGE(K97:K108),"")</f>
        <v/>
      </c>
      <c r="M97" s="9">
        <f>IFERROR(STDEV(K97:K108)/L97*100,"")</f>
        <v/>
      </c>
    </row>
    <row r="98" ht="22" customHeight="1">
      <c r="A98" s="6" t="inlineStr">
        <is>
          <t>IMP-07</t>
        </is>
      </c>
      <c r="B98" s="6" t="inlineStr">
        <is>
          <t>SPIKED</t>
        </is>
      </c>
      <c r="C98" s="6" t="inlineStr">
        <is>
          <t>LOQ</t>
        </is>
      </c>
      <c r="D98" s="6" t="n">
        <v>2</v>
      </c>
      <c r="E98" s="7" t="n"/>
      <c r="F98" s="7" t="n"/>
      <c r="G98" s="7" t="n"/>
      <c r="H98" s="9">
        <f>IFERROR(G98*20/E98,"")</f>
        <v/>
      </c>
      <c r="I98" s="9">
        <f>IF(B98="BLANK",H98,IFERROR(AVERAGE(H94:H96),""))</f>
        <v/>
      </c>
      <c r="J98" s="7" t="n"/>
      <c r="K98" s="9">
        <f>IF(OR(B98&lt;&gt;"SPIKED",J98=""),"",IFERROR((H98-I98)/J98*100,""))</f>
        <v/>
      </c>
      <c r="L98" s="9">
        <f>IFERROR(AVERAGE(K97:K108),"")</f>
        <v/>
      </c>
      <c r="M98" s="9">
        <f>IFERROR(STDEV(K97:K108)/L98*100,"")</f>
        <v/>
      </c>
    </row>
    <row r="99" ht="22" customHeight="1">
      <c r="A99" s="6" t="inlineStr">
        <is>
          <t>IMP-07</t>
        </is>
      </c>
      <c r="B99" s="6" t="inlineStr">
        <is>
          <t>SPIKED</t>
        </is>
      </c>
      <c r="C99" s="6" t="inlineStr">
        <is>
          <t>LOQ</t>
        </is>
      </c>
      <c r="D99" s="6" t="n">
        <v>3</v>
      </c>
      <c r="E99" s="7" t="n"/>
      <c r="F99" s="7" t="n"/>
      <c r="G99" s="7" t="n"/>
      <c r="H99" s="9">
        <f>IFERROR(G99*20/E99,"")</f>
        <v/>
      </c>
      <c r="I99" s="9">
        <f>IF(B99="BLANK",H99,IFERROR(AVERAGE(H94:H96),""))</f>
        <v/>
      </c>
      <c r="J99" s="7" t="n"/>
      <c r="K99" s="9">
        <f>IF(OR(B99&lt;&gt;"SPIKED",J99=""),"",IFERROR((H99-I99)/J99*100,""))</f>
        <v/>
      </c>
      <c r="L99" s="9">
        <f>IFERROR(AVERAGE(K97:K108),"")</f>
        <v/>
      </c>
      <c r="M99" s="9">
        <f>IFERROR(STDEV(K97:K108)/L99*100,"")</f>
        <v/>
      </c>
    </row>
    <row r="100" ht="22" customHeight="1">
      <c r="A100" s="6" t="inlineStr">
        <is>
          <t>IMP-07</t>
        </is>
      </c>
      <c r="B100" s="6" t="inlineStr">
        <is>
          <t>SPIKED</t>
        </is>
      </c>
      <c r="C100" s="6" t="inlineStr">
        <is>
          <t>50%</t>
        </is>
      </c>
      <c r="D100" s="6" t="n">
        <v>1</v>
      </c>
      <c r="E100" s="7" t="n"/>
      <c r="F100" s="7" t="n"/>
      <c r="G100" s="7" t="n"/>
      <c r="H100" s="9">
        <f>IFERROR(G100*20/E100,"")</f>
        <v/>
      </c>
      <c r="I100" s="9">
        <f>IF(B100="BLANK",H100,IFERROR(AVERAGE(H94:H96),""))</f>
        <v/>
      </c>
      <c r="J100" s="7" t="n"/>
      <c r="K100" s="9">
        <f>IF(OR(B100&lt;&gt;"SPIKED",J100=""),"",IFERROR((H100-I100)/J100*100,""))</f>
        <v/>
      </c>
      <c r="L100" s="9">
        <f>IFERROR(AVERAGE(K97:K108),"")</f>
        <v/>
      </c>
      <c r="M100" s="9">
        <f>IFERROR(STDEV(K97:K108)/L100*100,"")</f>
        <v/>
      </c>
    </row>
    <row r="101" ht="22" customHeight="1">
      <c r="A101" s="6" t="inlineStr">
        <is>
          <t>IMP-07</t>
        </is>
      </c>
      <c r="B101" s="6" t="inlineStr">
        <is>
          <t>SPIKED</t>
        </is>
      </c>
      <c r="C101" s="6" t="inlineStr">
        <is>
          <t>50%</t>
        </is>
      </c>
      <c r="D101" s="6" t="n">
        <v>2</v>
      </c>
      <c r="E101" s="7" t="n"/>
      <c r="F101" s="7" t="n"/>
      <c r="G101" s="7" t="n"/>
      <c r="H101" s="9">
        <f>IFERROR(G101*20/E101,"")</f>
        <v/>
      </c>
      <c r="I101" s="9">
        <f>IF(B101="BLANK",H101,IFERROR(AVERAGE(H94:H96),""))</f>
        <v/>
      </c>
      <c r="J101" s="7" t="n"/>
      <c r="K101" s="9">
        <f>IF(OR(B101&lt;&gt;"SPIKED",J101=""),"",IFERROR((H101-I101)/J101*100,""))</f>
        <v/>
      </c>
      <c r="L101" s="9">
        <f>IFERROR(AVERAGE(K97:K108),"")</f>
        <v/>
      </c>
      <c r="M101" s="9">
        <f>IFERROR(STDEV(K97:K108)/L101*100,"")</f>
        <v/>
      </c>
    </row>
    <row r="102" ht="22" customHeight="1">
      <c r="A102" s="6" t="inlineStr">
        <is>
          <t>IMP-07</t>
        </is>
      </c>
      <c r="B102" s="6" t="inlineStr">
        <is>
          <t>SPIKED</t>
        </is>
      </c>
      <c r="C102" s="6" t="inlineStr">
        <is>
          <t>50%</t>
        </is>
      </c>
      <c r="D102" s="6" t="n">
        <v>3</v>
      </c>
      <c r="E102" s="7" t="n"/>
      <c r="F102" s="7" t="n"/>
      <c r="G102" s="7" t="n"/>
      <c r="H102" s="9">
        <f>IFERROR(G102*20/E102,"")</f>
        <v/>
      </c>
      <c r="I102" s="9">
        <f>IF(B102="BLANK",H102,IFERROR(AVERAGE(H94:H96),""))</f>
        <v/>
      </c>
      <c r="J102" s="7" t="n"/>
      <c r="K102" s="9">
        <f>IF(OR(B102&lt;&gt;"SPIKED",J102=""),"",IFERROR((H102-I102)/J102*100,""))</f>
        <v/>
      </c>
      <c r="L102" s="9">
        <f>IFERROR(AVERAGE(K97:K108),"")</f>
        <v/>
      </c>
      <c r="M102" s="9">
        <f>IFERROR(STDEV(K97:K108)/L102*100,"")</f>
        <v/>
      </c>
    </row>
    <row r="103" ht="22" customHeight="1">
      <c r="A103" s="6" t="inlineStr">
        <is>
          <t>IMP-07</t>
        </is>
      </c>
      <c r="B103" s="6" t="inlineStr">
        <is>
          <t>SPIKED</t>
        </is>
      </c>
      <c r="C103" s="6" t="inlineStr">
        <is>
          <t>100%</t>
        </is>
      </c>
      <c r="D103" s="6" t="n">
        <v>1</v>
      </c>
      <c r="E103" s="7" t="n"/>
      <c r="F103" s="7" t="n"/>
      <c r="G103" s="7" t="n"/>
      <c r="H103" s="9">
        <f>IFERROR(G103*20/E103,"")</f>
        <v/>
      </c>
      <c r="I103" s="9">
        <f>IF(B103="BLANK",H103,IFERROR(AVERAGE(H94:H96),""))</f>
        <v/>
      </c>
      <c r="J103" s="7" t="n"/>
      <c r="K103" s="9">
        <f>IF(OR(B103&lt;&gt;"SPIKED",J103=""),"",IFERROR((H103-I103)/J103*100,""))</f>
        <v/>
      </c>
      <c r="L103" s="9">
        <f>IFERROR(AVERAGE(K97:K108),"")</f>
        <v/>
      </c>
      <c r="M103" s="9">
        <f>IFERROR(STDEV(K97:K108)/L103*100,"")</f>
        <v/>
      </c>
    </row>
    <row r="104" ht="22" customHeight="1">
      <c r="A104" s="6" t="inlineStr">
        <is>
          <t>IMP-07</t>
        </is>
      </c>
      <c r="B104" s="6" t="inlineStr">
        <is>
          <t>SPIKED</t>
        </is>
      </c>
      <c r="C104" s="6" t="inlineStr">
        <is>
          <t>100%</t>
        </is>
      </c>
      <c r="D104" s="6" t="n">
        <v>2</v>
      </c>
      <c r="E104" s="7" t="n"/>
      <c r="F104" s="7" t="n"/>
      <c r="G104" s="7" t="n"/>
      <c r="H104" s="9">
        <f>IFERROR(G104*20/E104,"")</f>
        <v/>
      </c>
      <c r="I104" s="9">
        <f>IF(B104="BLANK",H104,IFERROR(AVERAGE(H94:H96),""))</f>
        <v/>
      </c>
      <c r="J104" s="7" t="n"/>
      <c r="K104" s="9">
        <f>IF(OR(B104&lt;&gt;"SPIKED",J104=""),"",IFERROR((H104-I104)/J104*100,""))</f>
        <v/>
      </c>
      <c r="L104" s="9">
        <f>IFERROR(AVERAGE(K97:K108),"")</f>
        <v/>
      </c>
      <c r="M104" s="9">
        <f>IFERROR(STDEV(K97:K108)/L104*100,"")</f>
        <v/>
      </c>
    </row>
    <row r="105" ht="22" customHeight="1">
      <c r="A105" s="6" t="inlineStr">
        <is>
          <t>IMP-07</t>
        </is>
      </c>
      <c r="B105" s="6" t="inlineStr">
        <is>
          <t>SPIKED</t>
        </is>
      </c>
      <c r="C105" s="6" t="inlineStr">
        <is>
          <t>100%</t>
        </is>
      </c>
      <c r="D105" s="6" t="n">
        <v>3</v>
      </c>
      <c r="E105" s="7" t="n"/>
      <c r="F105" s="7" t="n"/>
      <c r="G105" s="7" t="n"/>
      <c r="H105" s="9">
        <f>IFERROR(G105*20/E105,"")</f>
        <v/>
      </c>
      <c r="I105" s="9">
        <f>IF(B105="BLANK",H105,IFERROR(AVERAGE(H94:H96),""))</f>
        <v/>
      </c>
      <c r="J105" s="7" t="n"/>
      <c r="K105" s="9">
        <f>IF(OR(B105&lt;&gt;"SPIKED",J105=""),"",IFERROR((H105-I105)/J105*100,""))</f>
        <v/>
      </c>
      <c r="L105" s="9">
        <f>IFERROR(AVERAGE(K97:K108),"")</f>
        <v/>
      </c>
      <c r="M105" s="9">
        <f>IFERROR(STDEV(K97:K108)/L105*100,"")</f>
        <v/>
      </c>
    </row>
    <row r="106" ht="22" customHeight="1">
      <c r="A106" s="6" t="inlineStr">
        <is>
          <t>IMP-07</t>
        </is>
      </c>
      <c r="B106" s="6" t="inlineStr">
        <is>
          <t>SPIKED</t>
        </is>
      </c>
      <c r="C106" s="6" t="inlineStr">
        <is>
          <t>150%</t>
        </is>
      </c>
      <c r="D106" s="6" t="n">
        <v>1</v>
      </c>
      <c r="E106" s="7" t="n"/>
      <c r="F106" s="7" t="n"/>
      <c r="G106" s="7" t="n"/>
      <c r="H106" s="9">
        <f>IFERROR(G106*20/E106,"")</f>
        <v/>
      </c>
      <c r="I106" s="9">
        <f>IF(B106="BLANK",H106,IFERROR(AVERAGE(H94:H96),""))</f>
        <v/>
      </c>
      <c r="J106" s="7" t="n"/>
      <c r="K106" s="9">
        <f>IF(OR(B106&lt;&gt;"SPIKED",J106=""),"",IFERROR((H106-I106)/J106*100,""))</f>
        <v/>
      </c>
      <c r="L106" s="9">
        <f>IFERROR(AVERAGE(K97:K108),"")</f>
        <v/>
      </c>
      <c r="M106" s="9">
        <f>IFERROR(STDEV(K97:K108)/L106*100,"")</f>
        <v/>
      </c>
    </row>
    <row r="107" ht="22" customHeight="1">
      <c r="A107" s="6" t="inlineStr">
        <is>
          <t>IMP-07</t>
        </is>
      </c>
      <c r="B107" s="6" t="inlineStr">
        <is>
          <t>SPIKED</t>
        </is>
      </c>
      <c r="C107" s="6" t="inlineStr">
        <is>
          <t>150%</t>
        </is>
      </c>
      <c r="D107" s="6" t="n">
        <v>2</v>
      </c>
      <c r="E107" s="7" t="n"/>
      <c r="F107" s="7" t="n"/>
      <c r="G107" s="7" t="n"/>
      <c r="H107" s="9">
        <f>IFERROR(G107*20/E107,"")</f>
        <v/>
      </c>
      <c r="I107" s="9">
        <f>IF(B107="BLANK",H107,IFERROR(AVERAGE(H94:H96),""))</f>
        <v/>
      </c>
      <c r="J107" s="7" t="n"/>
      <c r="K107" s="9">
        <f>IF(OR(B107&lt;&gt;"SPIKED",J107=""),"",IFERROR((H107-I107)/J107*100,""))</f>
        <v/>
      </c>
      <c r="L107" s="9">
        <f>IFERROR(AVERAGE(K97:K108),"")</f>
        <v/>
      </c>
      <c r="M107" s="9">
        <f>IFERROR(STDEV(K97:K108)/L107*100,"")</f>
        <v/>
      </c>
    </row>
    <row r="108" ht="22" customHeight="1">
      <c r="A108" s="6" t="inlineStr">
        <is>
          <t>IMP-07</t>
        </is>
      </c>
      <c r="B108" s="6" t="inlineStr">
        <is>
          <t>SPIKED</t>
        </is>
      </c>
      <c r="C108" s="6" t="inlineStr">
        <is>
          <t>150%</t>
        </is>
      </c>
      <c r="D108" s="6" t="n">
        <v>3</v>
      </c>
      <c r="E108" s="7" t="n"/>
      <c r="F108" s="7" t="n"/>
      <c r="G108" s="7" t="n"/>
      <c r="H108" s="9">
        <f>IFERROR(G108*20/E108,"")</f>
        <v/>
      </c>
      <c r="I108" s="9">
        <f>IF(B108="BLANK",H108,IFERROR(AVERAGE(H94:H96),""))</f>
        <v/>
      </c>
      <c r="J108" s="7" t="n"/>
      <c r="K108" s="9">
        <f>IF(OR(B108&lt;&gt;"SPIKED",J108=""),"",IFERROR((H108-I108)/J108*100,""))</f>
        <v/>
      </c>
      <c r="L108" s="9">
        <f>IFERROR(AVERAGE(K97:K108),"")</f>
        <v/>
      </c>
      <c r="M108" s="9">
        <f>IFERROR(STDEV(K97:K108)/L108*100,"")</f>
        <v/>
      </c>
    </row>
    <row r="109" ht="22" customHeight="1">
      <c r="A109" s="6" t="inlineStr">
        <is>
          <t>IMP-08</t>
        </is>
      </c>
      <c r="B109" s="6" t="inlineStr">
        <is>
          <t>BLANK</t>
        </is>
      </c>
      <c r="C109" s="6" t="inlineStr"/>
      <c r="D109" s="6" t="n">
        <v>1</v>
      </c>
      <c r="E109" s="7" t="n"/>
      <c r="F109" s="7" t="n"/>
      <c r="G109" s="7" t="n"/>
      <c r="H109" s="9">
        <f>IFERROR(G109*20/E109,"")</f>
        <v/>
      </c>
      <c r="I109" s="9">
        <f>IF(B109="BLANK",H109,IFERROR(AVERAGE(H109:H111),""))</f>
        <v/>
      </c>
      <c r="J109" s="6" t="n"/>
      <c r="K109" s="9">
        <f>IF(OR(B109&lt;&gt;"SPIKED",J109=""),"",IFERROR((H109-I109)/J109*100,""))</f>
        <v/>
      </c>
      <c r="L109" s="9">
        <f>IFERROR(AVERAGE(K112:K123),"")</f>
        <v/>
      </c>
      <c r="M109" s="9">
        <f>IFERROR(STDEV(K112:K123)/L109*100,"")</f>
        <v/>
      </c>
    </row>
    <row r="110" ht="22" customHeight="1">
      <c r="A110" s="6" t="inlineStr">
        <is>
          <t>IMP-08</t>
        </is>
      </c>
      <c r="B110" s="6" t="inlineStr">
        <is>
          <t>BLANK</t>
        </is>
      </c>
      <c r="C110" s="6" t="inlineStr"/>
      <c r="D110" s="6" t="n">
        <v>2</v>
      </c>
      <c r="E110" s="7" t="n"/>
      <c r="F110" s="7" t="n"/>
      <c r="G110" s="7" t="n"/>
      <c r="H110" s="9">
        <f>IFERROR(G110*20/E110,"")</f>
        <v/>
      </c>
      <c r="I110" s="9">
        <f>IF(B110="BLANK",H110,IFERROR(AVERAGE(H109:H111),""))</f>
        <v/>
      </c>
      <c r="J110" s="6" t="n"/>
      <c r="K110" s="9">
        <f>IF(OR(B110&lt;&gt;"SPIKED",J110=""),"",IFERROR((H110-I110)/J110*100,""))</f>
        <v/>
      </c>
      <c r="L110" s="9">
        <f>IFERROR(AVERAGE(K112:K123),"")</f>
        <v/>
      </c>
      <c r="M110" s="9">
        <f>IFERROR(STDEV(K112:K123)/L110*100,"")</f>
        <v/>
      </c>
    </row>
    <row r="111" ht="22" customHeight="1">
      <c r="A111" s="6" t="inlineStr">
        <is>
          <t>IMP-08</t>
        </is>
      </c>
      <c r="B111" s="6" t="inlineStr">
        <is>
          <t>BLANK</t>
        </is>
      </c>
      <c r="C111" s="6" t="inlineStr"/>
      <c r="D111" s="6" t="n">
        <v>3</v>
      </c>
      <c r="E111" s="7" t="n"/>
      <c r="F111" s="7" t="n"/>
      <c r="G111" s="7" t="n"/>
      <c r="H111" s="9">
        <f>IFERROR(G111*20/E111,"")</f>
        <v/>
      </c>
      <c r="I111" s="9">
        <f>IF(B111="BLANK",H111,IFERROR(AVERAGE(H109:H111),""))</f>
        <v/>
      </c>
      <c r="J111" s="6" t="n"/>
      <c r="K111" s="9">
        <f>IF(OR(B111&lt;&gt;"SPIKED",J111=""),"",IFERROR((H111-I111)/J111*100,""))</f>
        <v/>
      </c>
      <c r="L111" s="9">
        <f>IFERROR(AVERAGE(K112:K123),"")</f>
        <v/>
      </c>
      <c r="M111" s="9">
        <f>IFERROR(STDEV(K112:K123)/L111*100,"")</f>
        <v/>
      </c>
    </row>
    <row r="112" ht="22" customHeight="1">
      <c r="A112" s="6" t="inlineStr">
        <is>
          <t>IMP-08</t>
        </is>
      </c>
      <c r="B112" s="6" t="inlineStr">
        <is>
          <t>SPIKED</t>
        </is>
      </c>
      <c r="C112" s="6" t="inlineStr">
        <is>
          <t>LOQ</t>
        </is>
      </c>
      <c r="D112" s="6" t="n">
        <v>1</v>
      </c>
      <c r="E112" s="7" t="n"/>
      <c r="F112" s="7" t="n"/>
      <c r="G112" s="7" t="n"/>
      <c r="H112" s="9">
        <f>IFERROR(G112*20/E112,"")</f>
        <v/>
      </c>
      <c r="I112" s="9">
        <f>IF(B112="BLANK",H112,IFERROR(AVERAGE(H109:H111),""))</f>
        <v/>
      </c>
      <c r="J112" s="7" t="n"/>
      <c r="K112" s="9">
        <f>IF(OR(B112&lt;&gt;"SPIKED",J112=""),"",IFERROR((H112-I112)/J112*100,""))</f>
        <v/>
      </c>
      <c r="L112" s="9">
        <f>IFERROR(AVERAGE(K112:K123),"")</f>
        <v/>
      </c>
      <c r="M112" s="9">
        <f>IFERROR(STDEV(K112:K123)/L112*100,"")</f>
        <v/>
      </c>
    </row>
    <row r="113" ht="22" customHeight="1">
      <c r="A113" s="6" t="inlineStr">
        <is>
          <t>IMP-08</t>
        </is>
      </c>
      <c r="B113" s="6" t="inlineStr">
        <is>
          <t>SPIKED</t>
        </is>
      </c>
      <c r="C113" s="6" t="inlineStr">
        <is>
          <t>LOQ</t>
        </is>
      </c>
      <c r="D113" s="6" t="n">
        <v>2</v>
      </c>
      <c r="E113" s="7" t="n"/>
      <c r="F113" s="7" t="n"/>
      <c r="G113" s="7" t="n"/>
      <c r="H113" s="9">
        <f>IFERROR(G113*20/E113,"")</f>
        <v/>
      </c>
      <c r="I113" s="9">
        <f>IF(B113="BLANK",H113,IFERROR(AVERAGE(H109:H111),""))</f>
        <v/>
      </c>
      <c r="J113" s="7" t="n"/>
      <c r="K113" s="9">
        <f>IF(OR(B113&lt;&gt;"SPIKED",J113=""),"",IFERROR((H113-I113)/J113*100,""))</f>
        <v/>
      </c>
      <c r="L113" s="9">
        <f>IFERROR(AVERAGE(K112:K123),"")</f>
        <v/>
      </c>
      <c r="M113" s="9">
        <f>IFERROR(STDEV(K112:K123)/L113*100,"")</f>
        <v/>
      </c>
    </row>
    <row r="114" ht="22" customHeight="1">
      <c r="A114" s="6" t="inlineStr">
        <is>
          <t>IMP-08</t>
        </is>
      </c>
      <c r="B114" s="6" t="inlineStr">
        <is>
          <t>SPIKED</t>
        </is>
      </c>
      <c r="C114" s="6" t="inlineStr">
        <is>
          <t>LOQ</t>
        </is>
      </c>
      <c r="D114" s="6" t="n">
        <v>3</v>
      </c>
      <c r="E114" s="7" t="n"/>
      <c r="F114" s="7" t="n"/>
      <c r="G114" s="7" t="n"/>
      <c r="H114" s="9">
        <f>IFERROR(G114*20/E114,"")</f>
        <v/>
      </c>
      <c r="I114" s="9">
        <f>IF(B114="BLANK",H114,IFERROR(AVERAGE(H109:H111),""))</f>
        <v/>
      </c>
      <c r="J114" s="7" t="n"/>
      <c r="K114" s="9">
        <f>IF(OR(B114&lt;&gt;"SPIKED",J114=""),"",IFERROR((H114-I114)/J114*100,""))</f>
        <v/>
      </c>
      <c r="L114" s="9">
        <f>IFERROR(AVERAGE(K112:K123),"")</f>
        <v/>
      </c>
      <c r="M114" s="9">
        <f>IFERROR(STDEV(K112:K123)/L114*100,"")</f>
        <v/>
      </c>
    </row>
    <row r="115" ht="22" customHeight="1">
      <c r="A115" s="6" t="inlineStr">
        <is>
          <t>IMP-08</t>
        </is>
      </c>
      <c r="B115" s="6" t="inlineStr">
        <is>
          <t>SPIKED</t>
        </is>
      </c>
      <c r="C115" s="6" t="inlineStr">
        <is>
          <t>50%</t>
        </is>
      </c>
      <c r="D115" s="6" t="n">
        <v>1</v>
      </c>
      <c r="E115" s="7" t="n"/>
      <c r="F115" s="7" t="n"/>
      <c r="G115" s="7" t="n"/>
      <c r="H115" s="9">
        <f>IFERROR(G115*20/E115,"")</f>
        <v/>
      </c>
      <c r="I115" s="9">
        <f>IF(B115="BLANK",H115,IFERROR(AVERAGE(H109:H111),""))</f>
        <v/>
      </c>
      <c r="J115" s="7" t="n"/>
      <c r="K115" s="9">
        <f>IF(OR(B115&lt;&gt;"SPIKED",J115=""),"",IFERROR((H115-I115)/J115*100,""))</f>
        <v/>
      </c>
      <c r="L115" s="9">
        <f>IFERROR(AVERAGE(K112:K123),"")</f>
        <v/>
      </c>
      <c r="M115" s="9">
        <f>IFERROR(STDEV(K112:K123)/L115*100,"")</f>
        <v/>
      </c>
    </row>
    <row r="116" ht="22" customHeight="1">
      <c r="A116" s="6" t="inlineStr">
        <is>
          <t>IMP-08</t>
        </is>
      </c>
      <c r="B116" s="6" t="inlineStr">
        <is>
          <t>SPIKED</t>
        </is>
      </c>
      <c r="C116" s="6" t="inlineStr">
        <is>
          <t>50%</t>
        </is>
      </c>
      <c r="D116" s="6" t="n">
        <v>2</v>
      </c>
      <c r="E116" s="7" t="n"/>
      <c r="F116" s="7" t="n"/>
      <c r="G116" s="7" t="n"/>
      <c r="H116" s="9">
        <f>IFERROR(G116*20/E116,"")</f>
        <v/>
      </c>
      <c r="I116" s="9">
        <f>IF(B116="BLANK",H116,IFERROR(AVERAGE(H109:H111),""))</f>
        <v/>
      </c>
      <c r="J116" s="7" t="n"/>
      <c r="K116" s="9">
        <f>IF(OR(B116&lt;&gt;"SPIKED",J116=""),"",IFERROR((H116-I116)/J116*100,""))</f>
        <v/>
      </c>
      <c r="L116" s="9">
        <f>IFERROR(AVERAGE(K112:K123),"")</f>
        <v/>
      </c>
      <c r="M116" s="9">
        <f>IFERROR(STDEV(K112:K123)/L116*100,"")</f>
        <v/>
      </c>
    </row>
    <row r="117" ht="22" customHeight="1">
      <c r="A117" s="6" t="inlineStr">
        <is>
          <t>IMP-08</t>
        </is>
      </c>
      <c r="B117" s="6" t="inlineStr">
        <is>
          <t>SPIKED</t>
        </is>
      </c>
      <c r="C117" s="6" t="inlineStr">
        <is>
          <t>50%</t>
        </is>
      </c>
      <c r="D117" s="6" t="n">
        <v>3</v>
      </c>
      <c r="E117" s="7" t="n"/>
      <c r="F117" s="7" t="n"/>
      <c r="G117" s="7" t="n"/>
      <c r="H117" s="9">
        <f>IFERROR(G117*20/E117,"")</f>
        <v/>
      </c>
      <c r="I117" s="9">
        <f>IF(B117="BLANK",H117,IFERROR(AVERAGE(H109:H111),""))</f>
        <v/>
      </c>
      <c r="J117" s="7" t="n"/>
      <c r="K117" s="9">
        <f>IF(OR(B117&lt;&gt;"SPIKED",J117=""),"",IFERROR((H117-I117)/J117*100,""))</f>
        <v/>
      </c>
      <c r="L117" s="9">
        <f>IFERROR(AVERAGE(K112:K123),"")</f>
        <v/>
      </c>
      <c r="M117" s="9">
        <f>IFERROR(STDEV(K112:K123)/L117*100,"")</f>
        <v/>
      </c>
    </row>
    <row r="118" ht="22" customHeight="1">
      <c r="A118" s="6" t="inlineStr">
        <is>
          <t>IMP-08</t>
        </is>
      </c>
      <c r="B118" s="6" t="inlineStr">
        <is>
          <t>SPIKED</t>
        </is>
      </c>
      <c r="C118" s="6" t="inlineStr">
        <is>
          <t>100%</t>
        </is>
      </c>
      <c r="D118" s="6" t="n">
        <v>1</v>
      </c>
      <c r="E118" s="7" t="n"/>
      <c r="F118" s="7" t="n"/>
      <c r="G118" s="7" t="n"/>
      <c r="H118" s="9">
        <f>IFERROR(G118*20/E118,"")</f>
        <v/>
      </c>
      <c r="I118" s="9">
        <f>IF(B118="BLANK",H118,IFERROR(AVERAGE(H109:H111),""))</f>
        <v/>
      </c>
      <c r="J118" s="7" t="n"/>
      <c r="K118" s="9">
        <f>IF(OR(B118&lt;&gt;"SPIKED",J118=""),"",IFERROR((H118-I118)/J118*100,""))</f>
        <v/>
      </c>
      <c r="L118" s="9">
        <f>IFERROR(AVERAGE(K112:K123),"")</f>
        <v/>
      </c>
      <c r="M118" s="9">
        <f>IFERROR(STDEV(K112:K123)/L118*100,"")</f>
        <v/>
      </c>
    </row>
    <row r="119" ht="22" customHeight="1">
      <c r="A119" s="6" t="inlineStr">
        <is>
          <t>IMP-08</t>
        </is>
      </c>
      <c r="B119" s="6" t="inlineStr">
        <is>
          <t>SPIKED</t>
        </is>
      </c>
      <c r="C119" s="6" t="inlineStr">
        <is>
          <t>100%</t>
        </is>
      </c>
      <c r="D119" s="6" t="n">
        <v>2</v>
      </c>
      <c r="E119" s="7" t="n"/>
      <c r="F119" s="7" t="n"/>
      <c r="G119" s="7" t="n"/>
      <c r="H119" s="9">
        <f>IFERROR(G119*20/E119,"")</f>
        <v/>
      </c>
      <c r="I119" s="9">
        <f>IF(B119="BLANK",H119,IFERROR(AVERAGE(H109:H111),""))</f>
        <v/>
      </c>
      <c r="J119" s="7" t="n"/>
      <c r="K119" s="9">
        <f>IF(OR(B119&lt;&gt;"SPIKED",J119=""),"",IFERROR((H119-I119)/J119*100,""))</f>
        <v/>
      </c>
      <c r="L119" s="9">
        <f>IFERROR(AVERAGE(K112:K123),"")</f>
        <v/>
      </c>
      <c r="M119" s="9">
        <f>IFERROR(STDEV(K112:K123)/L119*100,"")</f>
        <v/>
      </c>
    </row>
    <row r="120" ht="22" customHeight="1">
      <c r="A120" s="6" t="inlineStr">
        <is>
          <t>IMP-08</t>
        </is>
      </c>
      <c r="B120" s="6" t="inlineStr">
        <is>
          <t>SPIKED</t>
        </is>
      </c>
      <c r="C120" s="6" t="inlineStr">
        <is>
          <t>100%</t>
        </is>
      </c>
      <c r="D120" s="6" t="n">
        <v>3</v>
      </c>
      <c r="E120" s="7" t="n"/>
      <c r="F120" s="7" t="n"/>
      <c r="G120" s="7" t="n"/>
      <c r="H120" s="9">
        <f>IFERROR(G120*20/E120,"")</f>
        <v/>
      </c>
      <c r="I120" s="9">
        <f>IF(B120="BLANK",H120,IFERROR(AVERAGE(H109:H111),""))</f>
        <v/>
      </c>
      <c r="J120" s="7" t="n"/>
      <c r="K120" s="9">
        <f>IF(OR(B120&lt;&gt;"SPIKED",J120=""),"",IFERROR((H120-I120)/J120*100,""))</f>
        <v/>
      </c>
      <c r="L120" s="9">
        <f>IFERROR(AVERAGE(K112:K123),"")</f>
        <v/>
      </c>
      <c r="M120" s="9">
        <f>IFERROR(STDEV(K112:K123)/L120*100,"")</f>
        <v/>
      </c>
    </row>
    <row r="121" ht="22" customHeight="1">
      <c r="A121" s="6" t="inlineStr">
        <is>
          <t>IMP-08</t>
        </is>
      </c>
      <c r="B121" s="6" t="inlineStr">
        <is>
          <t>SPIKED</t>
        </is>
      </c>
      <c r="C121" s="6" t="inlineStr">
        <is>
          <t>150%</t>
        </is>
      </c>
      <c r="D121" s="6" t="n">
        <v>1</v>
      </c>
      <c r="E121" s="7" t="n"/>
      <c r="F121" s="7" t="n"/>
      <c r="G121" s="7" t="n"/>
      <c r="H121" s="9">
        <f>IFERROR(G121*20/E121,"")</f>
        <v/>
      </c>
      <c r="I121" s="9">
        <f>IF(B121="BLANK",H121,IFERROR(AVERAGE(H109:H111),""))</f>
        <v/>
      </c>
      <c r="J121" s="7" t="n"/>
      <c r="K121" s="9">
        <f>IF(OR(B121&lt;&gt;"SPIKED",J121=""),"",IFERROR((H121-I121)/J121*100,""))</f>
        <v/>
      </c>
      <c r="L121" s="9">
        <f>IFERROR(AVERAGE(K112:K123),"")</f>
        <v/>
      </c>
      <c r="M121" s="9">
        <f>IFERROR(STDEV(K112:K123)/L121*100,"")</f>
        <v/>
      </c>
    </row>
    <row r="122" ht="22" customHeight="1">
      <c r="A122" s="6" t="inlineStr">
        <is>
          <t>IMP-08</t>
        </is>
      </c>
      <c r="B122" s="6" t="inlineStr">
        <is>
          <t>SPIKED</t>
        </is>
      </c>
      <c r="C122" s="6" t="inlineStr">
        <is>
          <t>150%</t>
        </is>
      </c>
      <c r="D122" s="6" t="n">
        <v>2</v>
      </c>
      <c r="E122" s="7" t="n"/>
      <c r="F122" s="7" t="n"/>
      <c r="G122" s="7" t="n"/>
      <c r="H122" s="9">
        <f>IFERROR(G122*20/E122,"")</f>
        <v/>
      </c>
      <c r="I122" s="9">
        <f>IF(B122="BLANK",H122,IFERROR(AVERAGE(H109:H111),""))</f>
        <v/>
      </c>
      <c r="J122" s="7" t="n"/>
      <c r="K122" s="9">
        <f>IF(OR(B122&lt;&gt;"SPIKED",J122=""),"",IFERROR((H122-I122)/J122*100,""))</f>
        <v/>
      </c>
      <c r="L122" s="9">
        <f>IFERROR(AVERAGE(K112:K123),"")</f>
        <v/>
      </c>
      <c r="M122" s="9">
        <f>IFERROR(STDEV(K112:K123)/L122*100,"")</f>
        <v/>
      </c>
    </row>
    <row r="123" ht="22" customHeight="1">
      <c r="A123" s="6" t="inlineStr">
        <is>
          <t>IMP-08</t>
        </is>
      </c>
      <c r="B123" s="6" t="inlineStr">
        <is>
          <t>SPIKED</t>
        </is>
      </c>
      <c r="C123" s="6" t="inlineStr">
        <is>
          <t>150%</t>
        </is>
      </c>
      <c r="D123" s="6" t="n">
        <v>3</v>
      </c>
      <c r="E123" s="7" t="n"/>
      <c r="F123" s="7" t="n"/>
      <c r="G123" s="7" t="n"/>
      <c r="H123" s="9">
        <f>IFERROR(G123*20/E123,"")</f>
        <v/>
      </c>
      <c r="I123" s="9">
        <f>IF(B123="BLANK",H123,IFERROR(AVERAGE(H109:H111),""))</f>
        <v/>
      </c>
      <c r="J123" s="7" t="n"/>
      <c r="K123" s="9">
        <f>IF(OR(B123&lt;&gt;"SPIKED",J123=""),"",IFERROR((H123-I123)/J123*100,""))</f>
        <v/>
      </c>
      <c r="L123" s="9">
        <f>IFERROR(AVERAGE(K112:K123),"")</f>
        <v/>
      </c>
      <c r="M123" s="9">
        <f>IFERROR(STDEV(K112:K123)/L123*100,"")</f>
        <v/>
      </c>
    </row>
    <row r="124" ht="22" customHeight="1">
      <c r="A124" s="6" t="inlineStr">
        <is>
          <t>IMP-09</t>
        </is>
      </c>
      <c r="B124" s="6" t="inlineStr">
        <is>
          <t>BLANK</t>
        </is>
      </c>
      <c r="C124" s="6" t="inlineStr"/>
      <c r="D124" s="6" t="n">
        <v>1</v>
      </c>
      <c r="E124" s="7" t="n"/>
      <c r="F124" s="7" t="n"/>
      <c r="G124" s="7" t="n"/>
      <c r="H124" s="9">
        <f>IFERROR(G124*20/E124,"")</f>
        <v/>
      </c>
      <c r="I124" s="9">
        <f>IF(B124="BLANK",H124,IFERROR(AVERAGE(H124:H126),""))</f>
        <v/>
      </c>
      <c r="J124" s="6" t="n"/>
      <c r="K124" s="9">
        <f>IF(OR(B124&lt;&gt;"SPIKED",J124=""),"",IFERROR((H124-I124)/J124*100,""))</f>
        <v/>
      </c>
      <c r="L124" s="9">
        <f>IFERROR(AVERAGE(K127:K138),"")</f>
        <v/>
      </c>
      <c r="M124" s="9">
        <f>IFERROR(STDEV(K127:K138)/L124*100,"")</f>
        <v/>
      </c>
    </row>
    <row r="125" ht="22" customHeight="1">
      <c r="A125" s="6" t="inlineStr">
        <is>
          <t>IMP-09</t>
        </is>
      </c>
      <c r="B125" s="6" t="inlineStr">
        <is>
          <t>BLANK</t>
        </is>
      </c>
      <c r="C125" s="6" t="inlineStr"/>
      <c r="D125" s="6" t="n">
        <v>2</v>
      </c>
      <c r="E125" s="7" t="n"/>
      <c r="F125" s="7" t="n"/>
      <c r="G125" s="7" t="n"/>
      <c r="H125" s="9">
        <f>IFERROR(G125*20/E125,"")</f>
        <v/>
      </c>
      <c r="I125" s="9">
        <f>IF(B125="BLANK",H125,IFERROR(AVERAGE(H124:H126),""))</f>
        <v/>
      </c>
      <c r="J125" s="6" t="n"/>
      <c r="K125" s="9">
        <f>IF(OR(B125&lt;&gt;"SPIKED",J125=""),"",IFERROR((H125-I125)/J125*100,""))</f>
        <v/>
      </c>
      <c r="L125" s="9">
        <f>IFERROR(AVERAGE(K127:K138),"")</f>
        <v/>
      </c>
      <c r="M125" s="9">
        <f>IFERROR(STDEV(K127:K138)/L125*100,"")</f>
        <v/>
      </c>
    </row>
    <row r="126" ht="22" customHeight="1">
      <c r="A126" s="6" t="inlineStr">
        <is>
          <t>IMP-09</t>
        </is>
      </c>
      <c r="B126" s="6" t="inlineStr">
        <is>
          <t>BLANK</t>
        </is>
      </c>
      <c r="C126" s="6" t="inlineStr"/>
      <c r="D126" s="6" t="n">
        <v>3</v>
      </c>
      <c r="E126" s="7" t="n"/>
      <c r="F126" s="7" t="n"/>
      <c r="G126" s="7" t="n"/>
      <c r="H126" s="9">
        <f>IFERROR(G126*20/E126,"")</f>
        <v/>
      </c>
      <c r="I126" s="9">
        <f>IF(B126="BLANK",H126,IFERROR(AVERAGE(H124:H126),""))</f>
        <v/>
      </c>
      <c r="J126" s="6" t="n"/>
      <c r="K126" s="9">
        <f>IF(OR(B126&lt;&gt;"SPIKED",J126=""),"",IFERROR((H126-I126)/J126*100,""))</f>
        <v/>
      </c>
      <c r="L126" s="9">
        <f>IFERROR(AVERAGE(K127:K138),"")</f>
        <v/>
      </c>
      <c r="M126" s="9">
        <f>IFERROR(STDEV(K127:K138)/L126*100,"")</f>
        <v/>
      </c>
    </row>
    <row r="127" ht="22" customHeight="1">
      <c r="A127" s="6" t="inlineStr">
        <is>
          <t>IMP-09</t>
        </is>
      </c>
      <c r="B127" s="6" t="inlineStr">
        <is>
          <t>SPIKED</t>
        </is>
      </c>
      <c r="C127" s="6" t="inlineStr">
        <is>
          <t>LOQ</t>
        </is>
      </c>
      <c r="D127" s="6" t="n">
        <v>1</v>
      </c>
      <c r="E127" s="7" t="n"/>
      <c r="F127" s="7" t="n"/>
      <c r="G127" s="7" t="n"/>
      <c r="H127" s="9">
        <f>IFERROR(G127*20/E127,"")</f>
        <v/>
      </c>
      <c r="I127" s="9">
        <f>IF(B127="BLANK",H127,IFERROR(AVERAGE(H124:H126),""))</f>
        <v/>
      </c>
      <c r="J127" s="7" t="n"/>
      <c r="K127" s="9">
        <f>IF(OR(B127&lt;&gt;"SPIKED",J127=""),"",IFERROR((H127-I127)/J127*100,""))</f>
        <v/>
      </c>
      <c r="L127" s="9">
        <f>IFERROR(AVERAGE(K127:K138),"")</f>
        <v/>
      </c>
      <c r="M127" s="9">
        <f>IFERROR(STDEV(K127:K138)/L127*100,"")</f>
        <v/>
      </c>
    </row>
    <row r="128" ht="22" customHeight="1">
      <c r="A128" s="6" t="inlineStr">
        <is>
          <t>IMP-09</t>
        </is>
      </c>
      <c r="B128" s="6" t="inlineStr">
        <is>
          <t>SPIKED</t>
        </is>
      </c>
      <c r="C128" s="6" t="inlineStr">
        <is>
          <t>LOQ</t>
        </is>
      </c>
      <c r="D128" s="6" t="n">
        <v>2</v>
      </c>
      <c r="E128" s="7" t="n"/>
      <c r="F128" s="7" t="n"/>
      <c r="G128" s="7" t="n"/>
      <c r="H128" s="9">
        <f>IFERROR(G128*20/E128,"")</f>
        <v/>
      </c>
      <c r="I128" s="9">
        <f>IF(B128="BLANK",H128,IFERROR(AVERAGE(H124:H126),""))</f>
        <v/>
      </c>
      <c r="J128" s="7" t="n"/>
      <c r="K128" s="9">
        <f>IF(OR(B128&lt;&gt;"SPIKED",J128=""),"",IFERROR((H128-I128)/J128*100,""))</f>
        <v/>
      </c>
      <c r="L128" s="9">
        <f>IFERROR(AVERAGE(K127:K138),"")</f>
        <v/>
      </c>
      <c r="M128" s="9">
        <f>IFERROR(STDEV(K127:K138)/L128*100,"")</f>
        <v/>
      </c>
    </row>
    <row r="129" ht="22" customHeight="1">
      <c r="A129" s="6" t="inlineStr">
        <is>
          <t>IMP-09</t>
        </is>
      </c>
      <c r="B129" s="6" t="inlineStr">
        <is>
          <t>SPIKED</t>
        </is>
      </c>
      <c r="C129" s="6" t="inlineStr">
        <is>
          <t>LOQ</t>
        </is>
      </c>
      <c r="D129" s="6" t="n">
        <v>3</v>
      </c>
      <c r="E129" s="7" t="n"/>
      <c r="F129" s="7" t="n"/>
      <c r="G129" s="7" t="n"/>
      <c r="H129" s="9">
        <f>IFERROR(G129*20/E129,"")</f>
        <v/>
      </c>
      <c r="I129" s="9">
        <f>IF(B129="BLANK",H129,IFERROR(AVERAGE(H124:H126),""))</f>
        <v/>
      </c>
      <c r="J129" s="7" t="n"/>
      <c r="K129" s="9">
        <f>IF(OR(B129&lt;&gt;"SPIKED",J129=""),"",IFERROR((H129-I129)/J129*100,""))</f>
        <v/>
      </c>
      <c r="L129" s="9">
        <f>IFERROR(AVERAGE(K127:K138),"")</f>
        <v/>
      </c>
      <c r="M129" s="9">
        <f>IFERROR(STDEV(K127:K138)/L129*100,"")</f>
        <v/>
      </c>
    </row>
    <row r="130" ht="22" customHeight="1">
      <c r="A130" s="6" t="inlineStr">
        <is>
          <t>IMP-09</t>
        </is>
      </c>
      <c r="B130" s="6" t="inlineStr">
        <is>
          <t>SPIKED</t>
        </is>
      </c>
      <c r="C130" s="6" t="inlineStr">
        <is>
          <t>50%</t>
        </is>
      </c>
      <c r="D130" s="6" t="n">
        <v>1</v>
      </c>
      <c r="E130" s="7" t="n"/>
      <c r="F130" s="7" t="n"/>
      <c r="G130" s="7" t="n"/>
      <c r="H130" s="9">
        <f>IFERROR(G130*20/E130,"")</f>
        <v/>
      </c>
      <c r="I130" s="9">
        <f>IF(B130="BLANK",H130,IFERROR(AVERAGE(H124:H126),""))</f>
        <v/>
      </c>
      <c r="J130" s="7" t="n"/>
      <c r="K130" s="9">
        <f>IF(OR(B130&lt;&gt;"SPIKED",J130=""),"",IFERROR((H130-I130)/J130*100,""))</f>
        <v/>
      </c>
      <c r="L130" s="9">
        <f>IFERROR(AVERAGE(K127:K138),"")</f>
        <v/>
      </c>
      <c r="M130" s="9">
        <f>IFERROR(STDEV(K127:K138)/L130*100,"")</f>
        <v/>
      </c>
    </row>
    <row r="131" ht="22" customHeight="1">
      <c r="A131" s="6" t="inlineStr">
        <is>
          <t>IMP-09</t>
        </is>
      </c>
      <c r="B131" s="6" t="inlineStr">
        <is>
          <t>SPIKED</t>
        </is>
      </c>
      <c r="C131" s="6" t="inlineStr">
        <is>
          <t>50%</t>
        </is>
      </c>
      <c r="D131" s="6" t="n">
        <v>2</v>
      </c>
      <c r="E131" s="7" t="n"/>
      <c r="F131" s="7" t="n"/>
      <c r="G131" s="7" t="n"/>
      <c r="H131" s="9">
        <f>IFERROR(G131*20/E131,"")</f>
        <v/>
      </c>
      <c r="I131" s="9">
        <f>IF(B131="BLANK",H131,IFERROR(AVERAGE(H124:H126),""))</f>
        <v/>
      </c>
      <c r="J131" s="7" t="n"/>
      <c r="K131" s="9">
        <f>IF(OR(B131&lt;&gt;"SPIKED",J131=""),"",IFERROR((H131-I131)/J131*100,""))</f>
        <v/>
      </c>
      <c r="L131" s="9">
        <f>IFERROR(AVERAGE(K127:K138),"")</f>
        <v/>
      </c>
      <c r="M131" s="9">
        <f>IFERROR(STDEV(K127:K138)/L131*100,"")</f>
        <v/>
      </c>
    </row>
    <row r="132" ht="22" customHeight="1">
      <c r="A132" s="6" t="inlineStr">
        <is>
          <t>IMP-09</t>
        </is>
      </c>
      <c r="B132" s="6" t="inlineStr">
        <is>
          <t>SPIKED</t>
        </is>
      </c>
      <c r="C132" s="6" t="inlineStr">
        <is>
          <t>50%</t>
        </is>
      </c>
      <c r="D132" s="6" t="n">
        <v>3</v>
      </c>
      <c r="E132" s="7" t="n"/>
      <c r="F132" s="7" t="n"/>
      <c r="G132" s="7" t="n"/>
      <c r="H132" s="9">
        <f>IFERROR(G132*20/E132,"")</f>
        <v/>
      </c>
      <c r="I132" s="9">
        <f>IF(B132="BLANK",H132,IFERROR(AVERAGE(H124:H126),""))</f>
        <v/>
      </c>
      <c r="J132" s="7" t="n"/>
      <c r="K132" s="9">
        <f>IF(OR(B132&lt;&gt;"SPIKED",J132=""),"",IFERROR((H132-I132)/J132*100,""))</f>
        <v/>
      </c>
      <c r="L132" s="9">
        <f>IFERROR(AVERAGE(K127:K138),"")</f>
        <v/>
      </c>
      <c r="M132" s="9">
        <f>IFERROR(STDEV(K127:K138)/L132*100,"")</f>
        <v/>
      </c>
    </row>
    <row r="133" ht="22" customHeight="1">
      <c r="A133" s="6" t="inlineStr">
        <is>
          <t>IMP-09</t>
        </is>
      </c>
      <c r="B133" s="6" t="inlineStr">
        <is>
          <t>SPIKED</t>
        </is>
      </c>
      <c r="C133" s="6" t="inlineStr">
        <is>
          <t>100%</t>
        </is>
      </c>
      <c r="D133" s="6" t="n">
        <v>1</v>
      </c>
      <c r="E133" s="7" t="n"/>
      <c r="F133" s="7" t="n"/>
      <c r="G133" s="7" t="n"/>
      <c r="H133" s="9">
        <f>IFERROR(G133*20/E133,"")</f>
        <v/>
      </c>
      <c r="I133" s="9">
        <f>IF(B133="BLANK",H133,IFERROR(AVERAGE(H124:H126),""))</f>
        <v/>
      </c>
      <c r="J133" s="7" t="n"/>
      <c r="K133" s="9">
        <f>IF(OR(B133&lt;&gt;"SPIKED",J133=""),"",IFERROR((H133-I133)/J133*100,""))</f>
        <v/>
      </c>
      <c r="L133" s="9">
        <f>IFERROR(AVERAGE(K127:K138),"")</f>
        <v/>
      </c>
      <c r="M133" s="9">
        <f>IFERROR(STDEV(K127:K138)/L133*100,"")</f>
        <v/>
      </c>
    </row>
    <row r="134" ht="22" customHeight="1">
      <c r="A134" s="6" t="inlineStr">
        <is>
          <t>IMP-09</t>
        </is>
      </c>
      <c r="B134" s="6" t="inlineStr">
        <is>
          <t>SPIKED</t>
        </is>
      </c>
      <c r="C134" s="6" t="inlineStr">
        <is>
          <t>100%</t>
        </is>
      </c>
      <c r="D134" s="6" t="n">
        <v>2</v>
      </c>
      <c r="E134" s="7" t="n"/>
      <c r="F134" s="7" t="n"/>
      <c r="G134" s="7" t="n"/>
      <c r="H134" s="9">
        <f>IFERROR(G134*20/E134,"")</f>
        <v/>
      </c>
      <c r="I134" s="9">
        <f>IF(B134="BLANK",H134,IFERROR(AVERAGE(H124:H126),""))</f>
        <v/>
      </c>
      <c r="J134" s="7" t="n"/>
      <c r="K134" s="9">
        <f>IF(OR(B134&lt;&gt;"SPIKED",J134=""),"",IFERROR((H134-I134)/J134*100,""))</f>
        <v/>
      </c>
      <c r="L134" s="9">
        <f>IFERROR(AVERAGE(K127:K138),"")</f>
        <v/>
      </c>
      <c r="M134" s="9">
        <f>IFERROR(STDEV(K127:K138)/L134*100,"")</f>
        <v/>
      </c>
    </row>
    <row r="135" ht="22" customHeight="1">
      <c r="A135" s="6" t="inlineStr">
        <is>
          <t>IMP-09</t>
        </is>
      </c>
      <c r="B135" s="6" t="inlineStr">
        <is>
          <t>SPIKED</t>
        </is>
      </c>
      <c r="C135" s="6" t="inlineStr">
        <is>
          <t>100%</t>
        </is>
      </c>
      <c r="D135" s="6" t="n">
        <v>3</v>
      </c>
      <c r="E135" s="7" t="n"/>
      <c r="F135" s="7" t="n"/>
      <c r="G135" s="7" t="n"/>
      <c r="H135" s="9">
        <f>IFERROR(G135*20/E135,"")</f>
        <v/>
      </c>
      <c r="I135" s="9">
        <f>IF(B135="BLANK",H135,IFERROR(AVERAGE(H124:H126),""))</f>
        <v/>
      </c>
      <c r="J135" s="7" t="n"/>
      <c r="K135" s="9">
        <f>IF(OR(B135&lt;&gt;"SPIKED",J135=""),"",IFERROR((H135-I135)/J135*100,""))</f>
        <v/>
      </c>
      <c r="L135" s="9">
        <f>IFERROR(AVERAGE(K127:K138),"")</f>
        <v/>
      </c>
      <c r="M135" s="9">
        <f>IFERROR(STDEV(K127:K138)/L135*100,"")</f>
        <v/>
      </c>
    </row>
    <row r="136" ht="22" customHeight="1">
      <c r="A136" s="6" t="inlineStr">
        <is>
          <t>IMP-09</t>
        </is>
      </c>
      <c r="B136" s="6" t="inlineStr">
        <is>
          <t>SPIKED</t>
        </is>
      </c>
      <c r="C136" s="6" t="inlineStr">
        <is>
          <t>150%</t>
        </is>
      </c>
      <c r="D136" s="6" t="n">
        <v>1</v>
      </c>
      <c r="E136" s="7" t="n"/>
      <c r="F136" s="7" t="n"/>
      <c r="G136" s="7" t="n"/>
      <c r="H136" s="9">
        <f>IFERROR(G136*20/E136,"")</f>
        <v/>
      </c>
      <c r="I136" s="9">
        <f>IF(B136="BLANK",H136,IFERROR(AVERAGE(H124:H126),""))</f>
        <v/>
      </c>
      <c r="J136" s="7" t="n"/>
      <c r="K136" s="9">
        <f>IF(OR(B136&lt;&gt;"SPIKED",J136=""),"",IFERROR((H136-I136)/J136*100,""))</f>
        <v/>
      </c>
      <c r="L136" s="9">
        <f>IFERROR(AVERAGE(K127:K138),"")</f>
        <v/>
      </c>
      <c r="M136" s="9">
        <f>IFERROR(STDEV(K127:K138)/L136*100,"")</f>
        <v/>
      </c>
    </row>
    <row r="137" ht="22" customHeight="1">
      <c r="A137" s="6" t="inlineStr">
        <is>
          <t>IMP-09</t>
        </is>
      </c>
      <c r="B137" s="6" t="inlineStr">
        <is>
          <t>SPIKED</t>
        </is>
      </c>
      <c r="C137" s="6" t="inlineStr">
        <is>
          <t>150%</t>
        </is>
      </c>
      <c r="D137" s="6" t="n">
        <v>2</v>
      </c>
      <c r="E137" s="7" t="n"/>
      <c r="F137" s="7" t="n"/>
      <c r="G137" s="7" t="n"/>
      <c r="H137" s="9">
        <f>IFERROR(G137*20/E137,"")</f>
        <v/>
      </c>
      <c r="I137" s="9">
        <f>IF(B137="BLANK",H137,IFERROR(AVERAGE(H124:H126),""))</f>
        <v/>
      </c>
      <c r="J137" s="7" t="n"/>
      <c r="K137" s="9">
        <f>IF(OR(B137&lt;&gt;"SPIKED",J137=""),"",IFERROR((H137-I137)/J137*100,""))</f>
        <v/>
      </c>
      <c r="L137" s="9">
        <f>IFERROR(AVERAGE(K127:K138),"")</f>
        <v/>
      </c>
      <c r="M137" s="9">
        <f>IFERROR(STDEV(K127:K138)/L137*100,"")</f>
        <v/>
      </c>
    </row>
    <row r="138" ht="22" customHeight="1">
      <c r="A138" s="6" t="inlineStr">
        <is>
          <t>IMP-09</t>
        </is>
      </c>
      <c r="B138" s="6" t="inlineStr">
        <is>
          <t>SPIKED</t>
        </is>
      </c>
      <c r="C138" s="6" t="inlineStr">
        <is>
          <t>150%</t>
        </is>
      </c>
      <c r="D138" s="6" t="n">
        <v>3</v>
      </c>
      <c r="E138" s="7" t="n"/>
      <c r="F138" s="7" t="n"/>
      <c r="G138" s="7" t="n"/>
      <c r="H138" s="9">
        <f>IFERROR(G138*20/E138,"")</f>
        <v/>
      </c>
      <c r="I138" s="9">
        <f>IF(B138="BLANK",H138,IFERROR(AVERAGE(H124:H126),""))</f>
        <v/>
      </c>
      <c r="J138" s="7" t="n"/>
      <c r="K138" s="9">
        <f>IF(OR(B138&lt;&gt;"SPIKED",J138=""),"",IFERROR((H138-I138)/J138*100,""))</f>
        <v/>
      </c>
      <c r="L138" s="9">
        <f>IFERROR(AVERAGE(K127:K138),"")</f>
        <v/>
      </c>
      <c r="M138" s="9">
        <f>IFERROR(STDEV(K127:K138)/L138*100,"")</f>
        <v/>
      </c>
    </row>
    <row r="139" ht="22" customHeight="1">
      <c r="A139" s="6" t="inlineStr">
        <is>
          <t>IMP-10</t>
        </is>
      </c>
      <c r="B139" s="6" t="inlineStr">
        <is>
          <t>BLANK</t>
        </is>
      </c>
      <c r="C139" s="6" t="inlineStr"/>
      <c r="D139" s="6" t="n">
        <v>1</v>
      </c>
      <c r="E139" s="7" t="n"/>
      <c r="F139" s="7" t="n"/>
      <c r="G139" s="7" t="n"/>
      <c r="H139" s="9">
        <f>IFERROR(G139*20/E139,"")</f>
        <v/>
      </c>
      <c r="I139" s="9">
        <f>IF(B139="BLANK",H139,IFERROR(AVERAGE(H139:H141),""))</f>
        <v/>
      </c>
      <c r="J139" s="6" t="n"/>
      <c r="K139" s="9">
        <f>IF(OR(B139&lt;&gt;"SPIKED",J139=""),"",IFERROR((H139-I139)/J139*100,""))</f>
        <v/>
      </c>
      <c r="L139" s="9">
        <f>IFERROR(AVERAGE(K142:K153),"")</f>
        <v/>
      </c>
      <c r="M139" s="9">
        <f>IFERROR(STDEV(K142:K153)/L139*100,"")</f>
        <v/>
      </c>
    </row>
    <row r="140" ht="22" customHeight="1">
      <c r="A140" s="6" t="inlineStr">
        <is>
          <t>IMP-10</t>
        </is>
      </c>
      <c r="B140" s="6" t="inlineStr">
        <is>
          <t>BLANK</t>
        </is>
      </c>
      <c r="C140" s="6" t="inlineStr"/>
      <c r="D140" s="6" t="n">
        <v>2</v>
      </c>
      <c r="E140" s="7" t="n"/>
      <c r="F140" s="7" t="n"/>
      <c r="G140" s="7" t="n"/>
      <c r="H140" s="9">
        <f>IFERROR(G140*20/E140,"")</f>
        <v/>
      </c>
      <c r="I140" s="9">
        <f>IF(B140="BLANK",H140,IFERROR(AVERAGE(H139:H141),""))</f>
        <v/>
      </c>
      <c r="J140" s="6" t="n"/>
      <c r="K140" s="9">
        <f>IF(OR(B140&lt;&gt;"SPIKED",J140=""),"",IFERROR((H140-I140)/J140*100,""))</f>
        <v/>
      </c>
      <c r="L140" s="9">
        <f>IFERROR(AVERAGE(K142:K153),"")</f>
        <v/>
      </c>
      <c r="M140" s="9">
        <f>IFERROR(STDEV(K142:K153)/L140*100,"")</f>
        <v/>
      </c>
    </row>
    <row r="141" ht="22" customHeight="1">
      <c r="A141" s="6" t="inlineStr">
        <is>
          <t>IMP-10</t>
        </is>
      </c>
      <c r="B141" s="6" t="inlineStr">
        <is>
          <t>BLANK</t>
        </is>
      </c>
      <c r="C141" s="6" t="inlineStr"/>
      <c r="D141" s="6" t="n">
        <v>3</v>
      </c>
      <c r="E141" s="7" t="n"/>
      <c r="F141" s="7" t="n"/>
      <c r="G141" s="7" t="n"/>
      <c r="H141" s="9">
        <f>IFERROR(G141*20/E141,"")</f>
        <v/>
      </c>
      <c r="I141" s="9">
        <f>IF(B141="BLANK",H141,IFERROR(AVERAGE(H139:H141),""))</f>
        <v/>
      </c>
      <c r="J141" s="6" t="n"/>
      <c r="K141" s="9">
        <f>IF(OR(B141&lt;&gt;"SPIKED",J141=""),"",IFERROR((H141-I141)/J141*100,""))</f>
        <v/>
      </c>
      <c r="L141" s="9">
        <f>IFERROR(AVERAGE(K142:K153),"")</f>
        <v/>
      </c>
      <c r="M141" s="9">
        <f>IFERROR(STDEV(K142:K153)/L141*100,"")</f>
        <v/>
      </c>
    </row>
    <row r="142" ht="22" customHeight="1">
      <c r="A142" s="6" t="inlineStr">
        <is>
          <t>IMP-10</t>
        </is>
      </c>
      <c r="B142" s="6" t="inlineStr">
        <is>
          <t>SPIKED</t>
        </is>
      </c>
      <c r="C142" s="6" t="inlineStr">
        <is>
          <t>LOQ</t>
        </is>
      </c>
      <c r="D142" s="6" t="n">
        <v>1</v>
      </c>
      <c r="E142" s="7" t="n"/>
      <c r="F142" s="7" t="n"/>
      <c r="G142" s="7" t="n"/>
      <c r="H142" s="9">
        <f>IFERROR(G142*20/E142,"")</f>
        <v/>
      </c>
      <c r="I142" s="9">
        <f>IF(B142="BLANK",H142,IFERROR(AVERAGE(H139:H141),""))</f>
        <v/>
      </c>
      <c r="J142" s="7" t="n"/>
      <c r="K142" s="9">
        <f>IF(OR(B142&lt;&gt;"SPIKED",J142=""),"",IFERROR((H142-I142)/J142*100,""))</f>
        <v/>
      </c>
      <c r="L142" s="9">
        <f>IFERROR(AVERAGE(K142:K153),"")</f>
        <v/>
      </c>
      <c r="M142" s="9">
        <f>IFERROR(STDEV(K142:K153)/L142*100,"")</f>
        <v/>
      </c>
    </row>
    <row r="143" ht="22" customHeight="1">
      <c r="A143" s="6" t="inlineStr">
        <is>
          <t>IMP-10</t>
        </is>
      </c>
      <c r="B143" s="6" t="inlineStr">
        <is>
          <t>SPIKED</t>
        </is>
      </c>
      <c r="C143" s="6" t="inlineStr">
        <is>
          <t>LOQ</t>
        </is>
      </c>
      <c r="D143" s="6" t="n">
        <v>2</v>
      </c>
      <c r="E143" s="7" t="n"/>
      <c r="F143" s="7" t="n"/>
      <c r="G143" s="7" t="n"/>
      <c r="H143" s="9">
        <f>IFERROR(G143*20/E143,"")</f>
        <v/>
      </c>
      <c r="I143" s="9">
        <f>IF(B143="BLANK",H143,IFERROR(AVERAGE(H139:H141),""))</f>
        <v/>
      </c>
      <c r="J143" s="7" t="n"/>
      <c r="K143" s="9">
        <f>IF(OR(B143&lt;&gt;"SPIKED",J143=""),"",IFERROR((H143-I143)/J143*100,""))</f>
        <v/>
      </c>
      <c r="L143" s="9">
        <f>IFERROR(AVERAGE(K142:K153),"")</f>
        <v/>
      </c>
      <c r="M143" s="9">
        <f>IFERROR(STDEV(K142:K153)/L143*100,"")</f>
        <v/>
      </c>
    </row>
    <row r="144" ht="22" customHeight="1">
      <c r="A144" s="6" t="inlineStr">
        <is>
          <t>IMP-10</t>
        </is>
      </c>
      <c r="B144" s="6" t="inlineStr">
        <is>
          <t>SPIKED</t>
        </is>
      </c>
      <c r="C144" s="6" t="inlineStr">
        <is>
          <t>LOQ</t>
        </is>
      </c>
      <c r="D144" s="6" t="n">
        <v>3</v>
      </c>
      <c r="E144" s="7" t="n"/>
      <c r="F144" s="7" t="n"/>
      <c r="G144" s="7" t="n"/>
      <c r="H144" s="9">
        <f>IFERROR(G144*20/E144,"")</f>
        <v/>
      </c>
      <c r="I144" s="9">
        <f>IF(B144="BLANK",H144,IFERROR(AVERAGE(H139:H141),""))</f>
        <v/>
      </c>
      <c r="J144" s="7" t="n"/>
      <c r="K144" s="9">
        <f>IF(OR(B144&lt;&gt;"SPIKED",J144=""),"",IFERROR((H144-I144)/J144*100,""))</f>
        <v/>
      </c>
      <c r="L144" s="9">
        <f>IFERROR(AVERAGE(K142:K153),"")</f>
        <v/>
      </c>
      <c r="M144" s="9">
        <f>IFERROR(STDEV(K142:K153)/L144*100,"")</f>
        <v/>
      </c>
    </row>
    <row r="145" ht="22" customHeight="1">
      <c r="A145" s="6" t="inlineStr">
        <is>
          <t>IMP-10</t>
        </is>
      </c>
      <c r="B145" s="6" t="inlineStr">
        <is>
          <t>SPIKED</t>
        </is>
      </c>
      <c r="C145" s="6" t="inlineStr">
        <is>
          <t>50%</t>
        </is>
      </c>
      <c r="D145" s="6" t="n">
        <v>1</v>
      </c>
      <c r="E145" s="7" t="n"/>
      <c r="F145" s="7" t="n"/>
      <c r="G145" s="7" t="n"/>
      <c r="H145" s="9">
        <f>IFERROR(G145*20/E145,"")</f>
        <v/>
      </c>
      <c r="I145" s="9">
        <f>IF(B145="BLANK",H145,IFERROR(AVERAGE(H139:H141),""))</f>
        <v/>
      </c>
      <c r="J145" s="7" t="n"/>
      <c r="K145" s="9">
        <f>IF(OR(B145&lt;&gt;"SPIKED",J145=""),"",IFERROR((H145-I145)/J145*100,""))</f>
        <v/>
      </c>
      <c r="L145" s="9">
        <f>IFERROR(AVERAGE(K142:K153),"")</f>
        <v/>
      </c>
      <c r="M145" s="9">
        <f>IFERROR(STDEV(K142:K153)/L145*100,"")</f>
        <v/>
      </c>
    </row>
    <row r="146" ht="22" customHeight="1">
      <c r="A146" s="6" t="inlineStr">
        <is>
          <t>IMP-10</t>
        </is>
      </c>
      <c r="B146" s="6" t="inlineStr">
        <is>
          <t>SPIKED</t>
        </is>
      </c>
      <c r="C146" s="6" t="inlineStr">
        <is>
          <t>50%</t>
        </is>
      </c>
      <c r="D146" s="6" t="n">
        <v>2</v>
      </c>
      <c r="E146" s="7" t="n"/>
      <c r="F146" s="7" t="n"/>
      <c r="G146" s="7" t="n"/>
      <c r="H146" s="9">
        <f>IFERROR(G146*20/E146,"")</f>
        <v/>
      </c>
      <c r="I146" s="9">
        <f>IF(B146="BLANK",H146,IFERROR(AVERAGE(H139:H141),""))</f>
        <v/>
      </c>
      <c r="J146" s="7" t="n"/>
      <c r="K146" s="9">
        <f>IF(OR(B146&lt;&gt;"SPIKED",J146=""),"",IFERROR((H146-I146)/J146*100,""))</f>
        <v/>
      </c>
      <c r="L146" s="9">
        <f>IFERROR(AVERAGE(K142:K153),"")</f>
        <v/>
      </c>
      <c r="M146" s="9">
        <f>IFERROR(STDEV(K142:K153)/L146*100,"")</f>
        <v/>
      </c>
    </row>
    <row r="147" ht="22" customHeight="1">
      <c r="A147" s="6" t="inlineStr">
        <is>
          <t>IMP-10</t>
        </is>
      </c>
      <c r="B147" s="6" t="inlineStr">
        <is>
          <t>SPIKED</t>
        </is>
      </c>
      <c r="C147" s="6" t="inlineStr">
        <is>
          <t>50%</t>
        </is>
      </c>
      <c r="D147" s="6" t="n">
        <v>3</v>
      </c>
      <c r="E147" s="7" t="n"/>
      <c r="F147" s="7" t="n"/>
      <c r="G147" s="7" t="n"/>
      <c r="H147" s="9">
        <f>IFERROR(G147*20/E147,"")</f>
        <v/>
      </c>
      <c r="I147" s="9">
        <f>IF(B147="BLANK",H147,IFERROR(AVERAGE(H139:H141),""))</f>
        <v/>
      </c>
      <c r="J147" s="7" t="n"/>
      <c r="K147" s="9">
        <f>IF(OR(B147&lt;&gt;"SPIKED",J147=""),"",IFERROR((H147-I147)/J147*100,""))</f>
        <v/>
      </c>
      <c r="L147" s="9">
        <f>IFERROR(AVERAGE(K142:K153),"")</f>
        <v/>
      </c>
      <c r="M147" s="9">
        <f>IFERROR(STDEV(K142:K153)/L147*100,"")</f>
        <v/>
      </c>
    </row>
    <row r="148" ht="22" customHeight="1">
      <c r="A148" s="6" t="inlineStr">
        <is>
          <t>IMP-10</t>
        </is>
      </c>
      <c r="B148" s="6" t="inlineStr">
        <is>
          <t>SPIKED</t>
        </is>
      </c>
      <c r="C148" s="6" t="inlineStr">
        <is>
          <t>100%</t>
        </is>
      </c>
      <c r="D148" s="6" t="n">
        <v>1</v>
      </c>
      <c r="E148" s="7" t="n"/>
      <c r="F148" s="7" t="n"/>
      <c r="G148" s="7" t="n"/>
      <c r="H148" s="9">
        <f>IFERROR(G148*20/E148,"")</f>
        <v/>
      </c>
      <c r="I148" s="9">
        <f>IF(B148="BLANK",H148,IFERROR(AVERAGE(H139:H141),""))</f>
        <v/>
      </c>
      <c r="J148" s="7" t="n"/>
      <c r="K148" s="9">
        <f>IF(OR(B148&lt;&gt;"SPIKED",J148=""),"",IFERROR((H148-I148)/J148*100,""))</f>
        <v/>
      </c>
      <c r="L148" s="9">
        <f>IFERROR(AVERAGE(K142:K153),"")</f>
        <v/>
      </c>
      <c r="M148" s="9">
        <f>IFERROR(STDEV(K142:K153)/L148*100,"")</f>
        <v/>
      </c>
    </row>
    <row r="149" ht="22" customHeight="1">
      <c r="A149" s="6" t="inlineStr">
        <is>
          <t>IMP-10</t>
        </is>
      </c>
      <c r="B149" s="6" t="inlineStr">
        <is>
          <t>SPIKED</t>
        </is>
      </c>
      <c r="C149" s="6" t="inlineStr">
        <is>
          <t>100%</t>
        </is>
      </c>
      <c r="D149" s="6" t="n">
        <v>2</v>
      </c>
      <c r="E149" s="7" t="n"/>
      <c r="F149" s="7" t="n"/>
      <c r="G149" s="7" t="n"/>
      <c r="H149" s="9">
        <f>IFERROR(G149*20/E149,"")</f>
        <v/>
      </c>
      <c r="I149" s="9">
        <f>IF(B149="BLANK",H149,IFERROR(AVERAGE(H139:H141),""))</f>
        <v/>
      </c>
      <c r="J149" s="7" t="n"/>
      <c r="K149" s="9">
        <f>IF(OR(B149&lt;&gt;"SPIKED",J149=""),"",IFERROR((H149-I149)/J149*100,""))</f>
        <v/>
      </c>
      <c r="L149" s="9">
        <f>IFERROR(AVERAGE(K142:K153),"")</f>
        <v/>
      </c>
      <c r="M149" s="9">
        <f>IFERROR(STDEV(K142:K153)/L149*100,"")</f>
        <v/>
      </c>
    </row>
    <row r="150" ht="22" customHeight="1">
      <c r="A150" s="6" t="inlineStr">
        <is>
          <t>IMP-10</t>
        </is>
      </c>
      <c r="B150" s="6" t="inlineStr">
        <is>
          <t>SPIKED</t>
        </is>
      </c>
      <c r="C150" s="6" t="inlineStr">
        <is>
          <t>100%</t>
        </is>
      </c>
      <c r="D150" s="6" t="n">
        <v>3</v>
      </c>
      <c r="E150" s="7" t="n"/>
      <c r="F150" s="7" t="n"/>
      <c r="G150" s="7" t="n"/>
      <c r="H150" s="9">
        <f>IFERROR(G150*20/E150,"")</f>
        <v/>
      </c>
      <c r="I150" s="9">
        <f>IF(B150="BLANK",H150,IFERROR(AVERAGE(H139:H141),""))</f>
        <v/>
      </c>
      <c r="J150" s="7" t="n"/>
      <c r="K150" s="9">
        <f>IF(OR(B150&lt;&gt;"SPIKED",J150=""),"",IFERROR((H150-I150)/J150*100,""))</f>
        <v/>
      </c>
      <c r="L150" s="9">
        <f>IFERROR(AVERAGE(K142:K153),"")</f>
        <v/>
      </c>
      <c r="M150" s="9">
        <f>IFERROR(STDEV(K142:K153)/L150*100,"")</f>
        <v/>
      </c>
    </row>
    <row r="151" ht="22" customHeight="1">
      <c r="A151" s="6" t="inlineStr">
        <is>
          <t>IMP-10</t>
        </is>
      </c>
      <c r="B151" s="6" t="inlineStr">
        <is>
          <t>SPIKED</t>
        </is>
      </c>
      <c r="C151" s="6" t="inlineStr">
        <is>
          <t>150%</t>
        </is>
      </c>
      <c r="D151" s="6" t="n">
        <v>1</v>
      </c>
      <c r="E151" s="7" t="n"/>
      <c r="F151" s="7" t="n"/>
      <c r="G151" s="7" t="n"/>
      <c r="H151" s="9">
        <f>IFERROR(G151*20/E151,"")</f>
        <v/>
      </c>
      <c r="I151" s="9">
        <f>IF(B151="BLANK",H151,IFERROR(AVERAGE(H139:H141),""))</f>
        <v/>
      </c>
      <c r="J151" s="7" t="n"/>
      <c r="K151" s="9">
        <f>IF(OR(B151&lt;&gt;"SPIKED",J151=""),"",IFERROR((H151-I151)/J151*100,""))</f>
        <v/>
      </c>
      <c r="L151" s="9">
        <f>IFERROR(AVERAGE(K142:K153),"")</f>
        <v/>
      </c>
      <c r="M151" s="9">
        <f>IFERROR(STDEV(K142:K153)/L151*100,"")</f>
        <v/>
      </c>
    </row>
    <row r="152" ht="22" customHeight="1">
      <c r="A152" s="6" t="inlineStr">
        <is>
          <t>IMP-10</t>
        </is>
      </c>
      <c r="B152" s="6" t="inlineStr">
        <is>
          <t>SPIKED</t>
        </is>
      </c>
      <c r="C152" s="6" t="inlineStr">
        <is>
          <t>150%</t>
        </is>
      </c>
      <c r="D152" s="6" t="n">
        <v>2</v>
      </c>
      <c r="E152" s="7" t="n"/>
      <c r="F152" s="7" t="n"/>
      <c r="G152" s="7" t="n"/>
      <c r="H152" s="9">
        <f>IFERROR(G152*20/E152,"")</f>
        <v/>
      </c>
      <c r="I152" s="9">
        <f>IF(B152="BLANK",H152,IFERROR(AVERAGE(H139:H141),""))</f>
        <v/>
      </c>
      <c r="J152" s="7" t="n"/>
      <c r="K152" s="9">
        <f>IF(OR(B152&lt;&gt;"SPIKED",J152=""),"",IFERROR((H152-I152)/J152*100,""))</f>
        <v/>
      </c>
      <c r="L152" s="9">
        <f>IFERROR(AVERAGE(K142:K153),"")</f>
        <v/>
      </c>
      <c r="M152" s="9">
        <f>IFERROR(STDEV(K142:K153)/L152*100,"")</f>
        <v/>
      </c>
    </row>
    <row r="153" ht="22" customHeight="1">
      <c r="A153" s="6" t="inlineStr">
        <is>
          <t>IMP-10</t>
        </is>
      </c>
      <c r="B153" s="6" t="inlineStr">
        <is>
          <t>SPIKED</t>
        </is>
      </c>
      <c r="C153" s="6" t="inlineStr">
        <is>
          <t>150%</t>
        </is>
      </c>
      <c r="D153" s="6" t="n">
        <v>3</v>
      </c>
      <c r="E153" s="7" t="n"/>
      <c r="F153" s="7" t="n"/>
      <c r="G153" s="7" t="n"/>
      <c r="H153" s="9">
        <f>IFERROR(G153*20/E153,"")</f>
        <v/>
      </c>
      <c r="I153" s="9">
        <f>IF(B153="BLANK",H153,IFERROR(AVERAGE(H139:H141),""))</f>
        <v/>
      </c>
      <c r="J153" s="7" t="n"/>
      <c r="K153" s="9">
        <f>IF(OR(B153&lt;&gt;"SPIKED",J153=""),"",IFERROR((H153-I153)/J153*100,""))</f>
        <v/>
      </c>
      <c r="L153" s="9">
        <f>IFERROR(AVERAGE(K142:K153),"")</f>
        <v/>
      </c>
      <c r="M153" s="9">
        <f>IFERROR(STDEV(K142:K153)/L153*100,"")</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M1"/>
  </mergeCells>
  <conditionalFormatting sqref="A4:A153">
    <cfRule type="expression" priority="1" dxfId="0">
      <formula>AND(A4&lt;&gt;"",COUNTIF($A$4:$A$153,A4)&gt;20)</formula>
    </cfRule>
  </conditionalFormatting>
  <dataValidations count="1">
    <dataValidation sqref="E4 F4 G4 E5 F5 G5 E6 F6 G6 E7 F7 G7 J7 E8 F8 G8 J8 E9 F9 G9 J9 E10 F10 G10 J10 E11 F11 G11 J11 E12 F12 G12 J12 E13 F13 G13 J13 E14 F14 G14 J14 E15 F15 G15 J15 E16 F16 G16 J16 E17 F17 G17 J17 E18 F18 G18 J18 E19 F19 G19 E20 F20 G20 E21 F21 G21 E22 F22 G22 J22 E23 F23 G23 J23 E24 F24 G24 J24 E25 F25 G25 J25 E26 F26 G26 J26 E27 F27 G27 J27 E28 F28 G28 J28 E29 F29 G29 J29 E30 F30 G30 J30 E31 F31 G31 J31 E32 F32 G32 J32 E33 F33 G33 J33 E34 F34 G34 E35 F35 G35 E36 F36 G36 E37 F37 G37 J37 E38 F38 G38 J38 E39 F39 G39 J39 E40 F40 G40 J40 E41 F41 G41 J41 E42 F42 G42 J42 E43 F43 G43 J43 E44 F44 G44 J44 E45 F45 G45 J45 E46 F46 G46 J46 E47 F47 G47 J47 E48 F48 G48 J48 E49 F49 G49 E50 F50 G50 E51 F51 G51 E52 F52 G52 J52 E53 F53 G53 J53 E54 F54 G54 J54 E55 F55 G55 J55 E56 F56 G56 J56 E57 F57 G57 J57 E58 F58 G58 J58 E59 F59 G59 J59 E60 F60 G60 J60 E61 F61 G61 J61 E62 F62 G62 J62 E63 F63 G63 J63 E64 F64 G64 E65 F65 G65 E66 F66 G66 E67 F67 G67 J67 E68 F68 G68 J68 E69 F69 G69 J69 E70 F70 G70 J70 E71 F71 G71 J71 E72 F72 G72 J72 E73 F73 G73 J73 E74 F74 G74 J74 E75 F75 G75 J75 E76 F76 G76 J76 E77 F77 G77 J77 E78 F78 G78 J78 E79 F79 G79 E80 F80 G80 E81 F81 G81 E82 F82 G82 J82 E83 F83 G83 J83 E84 F84 G84 J84 E85 F85 G85 J85 E86 F86 G86 J86 E87 F87 G87 J87 E88 F88 G88 J88 E89 F89 G89 J89 E90 F90 G90 J90 E91 F91 G91 J91 E92 F92 G92 J92 E93 F93 G93 J93 E94 F94 G94 E95 F95 G95 E96 F96 G96 E97 F97 G97 J97 E98 F98 G98 J98 E99 F99 G99 J99 E100 F100 G100 J100 E101 F101 G101 J101 E102 F102 G102 J102 E103 F103 G103 J103 E104 F104 G104 J104 E105 F105 G105 J105 E106 F106 G106 J106 E107 F107 G107 J107 E108 F108 G108 J108 E109 F109 G109 E110 F110 G110 E111 F111 G111 E112 F112 G112 J112 E113 F113 G113 J113 E114 F114 G114 J114 E115 F115 G115 J115 E116 F116 G116 J116 E117 F117 G117 J117 E118 F118 G118 J118 E119 F119 G119 J119 E120 F120 G120 J120 E121 F121 G121 J121 E122 F122 G122 J122 E123 F123 G123 J123 E124 F124 G124 E125 F125 G125 E126 F126 G126 E127 F127 G127 J127 E128 F128 G128 J128 E129 F129 G129 J129 E130 F130 G130 J130 E131 F131 G131 J131 E132 F132 G132 J132 E133 F133 G133 J133 E134 F134 G134 J134 E135 F135 G135 J135 E136 F136 G136 J136 E137 F137 G137 J137 E138 F138 G138 J138 E139 F139 G139 E140 F140 G140 E141 F141 G141 E142 F142 G142 J142 E143 F143 G143 J143 E144 F144 G144 J144 E145 F145 G145 J145 E146 F146 G146 J146 E147 F147 G147 J147 E148 F148 G148 J148 E149 F149 G149 J149 E150 F150 G150 J150 E151 F151 G151 J151 E152 F152 G152 J152 E153 F153 G153 J15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cols>
    <col width="14" customWidth="1" min="1" max="1"/>
    <col width="16" customWidth="1" min="2" max="2"/>
    <col width="24" customWidth="1" min="3" max="3"/>
    <col width="24" customWidth="1" min="4" max="4"/>
    <col width="27" customWidth="1" min="5" max="5"/>
    <col width="22" customWidth="1" min="6" max="6"/>
  </cols>
  <sheetData>
    <row r="1" ht="30" customHeight="1">
      <c r="A1" s="1" t="inlineStr">
        <is>
          <t>溶液稳定性结果</t>
        </is>
      </c>
    </row>
    <row r="2" ht="30" customHeight="1">
      <c r="A2" s="4" t="inlineStr">
        <is>
          <t>impurity_id</t>
        </is>
      </c>
      <c r="B2" s="4" t="inlineStr">
        <is>
          <t>time_point</t>
        </is>
      </c>
      <c r="C2" s="4" t="inlineStr">
        <is>
          <t>reference_concentration</t>
        </is>
      </c>
      <c r="D2" s="4" t="inlineStr">
        <is>
          <t>reference_ratio</t>
        </is>
      </c>
      <c r="E2" s="4" t="inlineStr">
        <is>
          <t>spiked_concentration</t>
        </is>
      </c>
      <c r="F2" s="4" t="inlineStr">
        <is>
          <t>spiked_ratio</t>
        </is>
      </c>
    </row>
    <row r="3" ht="30" customHeight="1">
      <c r="A3" s="5" t="inlineStr">
        <is>
          <t>杂质编号</t>
        </is>
      </c>
      <c r="B3" s="5" t="inlineStr">
        <is>
          <t>时间点（h）</t>
        </is>
      </c>
      <c r="C3" s="5" t="inlineStr">
        <is>
          <t>对照品溶液浓度</t>
        </is>
      </c>
      <c r="D3" s="5" t="inlineStr">
        <is>
          <t>对照品与0h比值（%）</t>
        </is>
      </c>
      <c r="E3" s="5" t="inlineStr">
        <is>
          <t>加标供试品溶液浓度</t>
        </is>
      </c>
      <c r="F3" s="5" t="inlineStr">
        <is>
          <t>加标与0h比值（%）</t>
        </is>
      </c>
    </row>
    <row r="4" ht="22" customHeight="1">
      <c r="A4" s="12" t="inlineStr">
        <is>
          <t>IMP-01</t>
        </is>
      </c>
      <c r="B4" s="7" t="n"/>
      <c r="C4" s="7" t="n"/>
      <c r="D4" s="9">
        <f>IFERROR(C4/C4*100,"")</f>
        <v/>
      </c>
      <c r="E4" s="7" t="n"/>
      <c r="F4" s="9">
        <f>IFERROR(E4/E4*100,"")</f>
        <v/>
      </c>
    </row>
    <row r="5" ht="22" customHeight="1">
      <c r="A5" s="12" t="inlineStr">
        <is>
          <t>IMP-01</t>
        </is>
      </c>
      <c r="B5" s="7" t="n"/>
      <c r="C5" s="7" t="n"/>
      <c r="D5" s="9">
        <f>IFERROR(C5/C4*100,"")</f>
        <v/>
      </c>
      <c r="E5" s="7" t="n"/>
      <c r="F5" s="9">
        <f>IFERROR(E5/E4*100,"")</f>
        <v/>
      </c>
    </row>
    <row r="6" ht="22" customHeight="1">
      <c r="A6" s="12" t="inlineStr">
        <is>
          <t>IMP-01</t>
        </is>
      </c>
      <c r="B6" s="7" t="n"/>
      <c r="C6" s="7" t="n"/>
      <c r="D6" s="9">
        <f>IFERROR(C6/C4*100,"")</f>
        <v/>
      </c>
      <c r="E6" s="7" t="n"/>
      <c r="F6" s="9">
        <f>IFERROR(E6/E4*100,"")</f>
        <v/>
      </c>
    </row>
    <row r="7" ht="22" customHeight="1">
      <c r="A7" s="12" t="inlineStr">
        <is>
          <t>IMP-01</t>
        </is>
      </c>
      <c r="B7" s="7" t="n"/>
      <c r="C7" s="7" t="n"/>
      <c r="D7" s="9">
        <f>IFERROR(C7/C4*100,"")</f>
        <v/>
      </c>
      <c r="E7" s="7" t="n"/>
      <c r="F7" s="9">
        <f>IFERROR(E7/E4*100,"")</f>
        <v/>
      </c>
    </row>
    <row r="8" ht="22" customHeight="1">
      <c r="A8" s="12" t="inlineStr">
        <is>
          <t>IMP-01</t>
        </is>
      </c>
      <c r="B8" s="7" t="n"/>
      <c r="C8" s="7" t="n"/>
      <c r="D8" s="9">
        <f>IFERROR(C8/C4*100,"")</f>
        <v/>
      </c>
      <c r="E8" s="7" t="n"/>
      <c r="F8" s="9">
        <f>IFERROR(E8/E4*100,"")</f>
        <v/>
      </c>
    </row>
    <row r="9" ht="22" customHeight="1">
      <c r="A9" s="12" t="inlineStr">
        <is>
          <t>IMP-01</t>
        </is>
      </c>
      <c r="B9" s="7" t="n"/>
      <c r="C9" s="7" t="n"/>
      <c r="D9" s="9">
        <f>IFERROR(C9/C4*100,"")</f>
        <v/>
      </c>
      <c r="E9" s="7" t="n"/>
      <c r="F9" s="9">
        <f>IFERROR(E9/E4*100,"")</f>
        <v/>
      </c>
    </row>
    <row r="10" ht="22" customHeight="1">
      <c r="A10" s="12" t="inlineStr">
        <is>
          <t>IMP-01</t>
        </is>
      </c>
      <c r="B10" s="7" t="n"/>
      <c r="C10" s="7" t="n"/>
      <c r="D10" s="9">
        <f>IFERROR(C10/C4*100,"")</f>
        <v/>
      </c>
      <c r="E10" s="7" t="n"/>
      <c r="F10" s="9">
        <f>IFERROR(E10/E4*100,"")</f>
        <v/>
      </c>
    </row>
    <row r="11" ht="22" customHeight="1">
      <c r="A11" s="12" t="inlineStr">
        <is>
          <t>IMP-01</t>
        </is>
      </c>
      <c r="B11" s="7" t="n"/>
      <c r="C11" s="7" t="n"/>
      <c r="D11" s="9">
        <f>IFERROR(C11/C4*100,"")</f>
        <v/>
      </c>
      <c r="E11" s="7" t="n"/>
      <c r="F11" s="9">
        <f>IFERROR(E11/E4*100,"")</f>
        <v/>
      </c>
    </row>
    <row r="12" ht="22" customHeight="1">
      <c r="A12" s="12" t="inlineStr">
        <is>
          <t>IMP-01</t>
        </is>
      </c>
      <c r="B12" s="7" t="n"/>
      <c r="C12" s="7" t="n"/>
      <c r="D12" s="9">
        <f>IFERROR(C12/C4*100,"")</f>
        <v/>
      </c>
      <c r="E12" s="7" t="n"/>
      <c r="F12" s="9">
        <f>IFERROR(E12/E4*100,"")</f>
        <v/>
      </c>
    </row>
    <row r="13" ht="22" customHeight="1">
      <c r="A13" s="12" t="inlineStr">
        <is>
          <t>IMP-01</t>
        </is>
      </c>
      <c r="B13" s="7" t="n"/>
      <c r="C13" s="7" t="n"/>
      <c r="D13" s="9">
        <f>IFERROR(C13/C4*100,"")</f>
        <v/>
      </c>
      <c r="E13" s="7" t="n"/>
      <c r="F13" s="9">
        <f>IFERROR(E13/E4*100,"")</f>
        <v/>
      </c>
    </row>
    <row r="14" ht="22" customHeight="1">
      <c r="A14" s="12" t="inlineStr">
        <is>
          <t>IMP-02</t>
        </is>
      </c>
      <c r="B14" s="7" t="n"/>
      <c r="C14" s="7" t="n"/>
      <c r="D14" s="9">
        <f>IFERROR(C14/C14*100,"")</f>
        <v/>
      </c>
      <c r="E14" s="7" t="n"/>
      <c r="F14" s="9">
        <f>IFERROR(E14/E14*100,"")</f>
        <v/>
      </c>
    </row>
    <row r="15" ht="22" customHeight="1">
      <c r="A15" s="12" t="inlineStr">
        <is>
          <t>IMP-02</t>
        </is>
      </c>
      <c r="B15" s="7" t="n"/>
      <c r="C15" s="7" t="n"/>
      <c r="D15" s="9">
        <f>IFERROR(C15/C14*100,"")</f>
        <v/>
      </c>
      <c r="E15" s="7" t="n"/>
      <c r="F15" s="9">
        <f>IFERROR(E15/E14*100,"")</f>
        <v/>
      </c>
    </row>
    <row r="16" ht="22" customHeight="1">
      <c r="A16" s="12" t="inlineStr">
        <is>
          <t>IMP-02</t>
        </is>
      </c>
      <c r="B16" s="7" t="n"/>
      <c r="C16" s="7" t="n"/>
      <c r="D16" s="9">
        <f>IFERROR(C16/C14*100,"")</f>
        <v/>
      </c>
      <c r="E16" s="7" t="n"/>
      <c r="F16" s="9">
        <f>IFERROR(E16/E14*100,"")</f>
        <v/>
      </c>
    </row>
    <row r="17" ht="22" customHeight="1">
      <c r="A17" s="12" t="inlineStr">
        <is>
          <t>IMP-02</t>
        </is>
      </c>
      <c r="B17" s="7" t="n"/>
      <c r="C17" s="7" t="n"/>
      <c r="D17" s="9">
        <f>IFERROR(C17/C14*100,"")</f>
        <v/>
      </c>
      <c r="E17" s="7" t="n"/>
      <c r="F17" s="9">
        <f>IFERROR(E17/E14*100,"")</f>
        <v/>
      </c>
    </row>
    <row r="18" ht="22" customHeight="1">
      <c r="A18" s="12" t="inlineStr">
        <is>
          <t>IMP-02</t>
        </is>
      </c>
      <c r="B18" s="7" t="n"/>
      <c r="C18" s="7" t="n"/>
      <c r="D18" s="9">
        <f>IFERROR(C18/C14*100,"")</f>
        <v/>
      </c>
      <c r="E18" s="7" t="n"/>
      <c r="F18" s="9">
        <f>IFERROR(E18/E14*100,"")</f>
        <v/>
      </c>
    </row>
    <row r="19" ht="22" customHeight="1">
      <c r="A19" s="12" t="inlineStr">
        <is>
          <t>IMP-02</t>
        </is>
      </c>
      <c r="B19" s="7" t="n"/>
      <c r="C19" s="7" t="n"/>
      <c r="D19" s="9">
        <f>IFERROR(C19/C14*100,"")</f>
        <v/>
      </c>
      <c r="E19" s="7" t="n"/>
      <c r="F19" s="9">
        <f>IFERROR(E19/E14*100,"")</f>
        <v/>
      </c>
    </row>
    <row r="20" ht="22" customHeight="1">
      <c r="A20" s="12" t="inlineStr">
        <is>
          <t>IMP-02</t>
        </is>
      </c>
      <c r="B20" s="7" t="n"/>
      <c r="C20" s="7" t="n"/>
      <c r="D20" s="9">
        <f>IFERROR(C20/C14*100,"")</f>
        <v/>
      </c>
      <c r="E20" s="7" t="n"/>
      <c r="F20" s="9">
        <f>IFERROR(E20/E14*100,"")</f>
        <v/>
      </c>
    </row>
    <row r="21" ht="22" customHeight="1">
      <c r="A21" s="12" t="inlineStr">
        <is>
          <t>IMP-02</t>
        </is>
      </c>
      <c r="B21" s="7" t="n"/>
      <c r="C21" s="7" t="n"/>
      <c r="D21" s="9">
        <f>IFERROR(C21/C14*100,"")</f>
        <v/>
      </c>
      <c r="E21" s="7" t="n"/>
      <c r="F21" s="9">
        <f>IFERROR(E21/E14*100,"")</f>
        <v/>
      </c>
    </row>
    <row r="22" ht="22" customHeight="1">
      <c r="A22" s="12" t="inlineStr">
        <is>
          <t>IMP-02</t>
        </is>
      </c>
      <c r="B22" s="7" t="n"/>
      <c r="C22" s="7" t="n"/>
      <c r="D22" s="9">
        <f>IFERROR(C22/C14*100,"")</f>
        <v/>
      </c>
      <c r="E22" s="7" t="n"/>
      <c r="F22" s="9">
        <f>IFERROR(E22/E14*100,"")</f>
        <v/>
      </c>
    </row>
    <row r="23" ht="22" customHeight="1">
      <c r="A23" s="12" t="inlineStr">
        <is>
          <t>IMP-02</t>
        </is>
      </c>
      <c r="B23" s="7" t="n"/>
      <c r="C23" s="7" t="n"/>
      <c r="D23" s="9">
        <f>IFERROR(C23/C14*100,"")</f>
        <v/>
      </c>
      <c r="E23" s="7" t="n"/>
      <c r="F23" s="9">
        <f>IFERROR(E23/E14*100,"")</f>
        <v/>
      </c>
    </row>
    <row r="24" ht="22" customHeight="1">
      <c r="A24" s="12" t="inlineStr">
        <is>
          <t>IMP-03</t>
        </is>
      </c>
      <c r="B24" s="7" t="n"/>
      <c r="C24" s="7" t="n"/>
      <c r="D24" s="9">
        <f>IFERROR(C24/C24*100,"")</f>
        <v/>
      </c>
      <c r="E24" s="7" t="n"/>
      <c r="F24" s="9">
        <f>IFERROR(E24/E24*100,"")</f>
        <v/>
      </c>
    </row>
    <row r="25" ht="22" customHeight="1">
      <c r="A25" s="12" t="inlineStr">
        <is>
          <t>IMP-03</t>
        </is>
      </c>
      <c r="B25" s="7" t="n"/>
      <c r="C25" s="7" t="n"/>
      <c r="D25" s="9">
        <f>IFERROR(C25/C24*100,"")</f>
        <v/>
      </c>
      <c r="E25" s="7" t="n"/>
      <c r="F25" s="9">
        <f>IFERROR(E25/E24*100,"")</f>
        <v/>
      </c>
    </row>
    <row r="26" ht="22" customHeight="1">
      <c r="A26" s="12" t="inlineStr">
        <is>
          <t>IMP-03</t>
        </is>
      </c>
      <c r="B26" s="7" t="n"/>
      <c r="C26" s="7" t="n"/>
      <c r="D26" s="9">
        <f>IFERROR(C26/C24*100,"")</f>
        <v/>
      </c>
      <c r="E26" s="7" t="n"/>
      <c r="F26" s="9">
        <f>IFERROR(E26/E24*100,"")</f>
        <v/>
      </c>
    </row>
    <row r="27" ht="22" customHeight="1">
      <c r="A27" s="12" t="inlineStr">
        <is>
          <t>IMP-03</t>
        </is>
      </c>
      <c r="B27" s="7" t="n"/>
      <c r="C27" s="7" t="n"/>
      <c r="D27" s="9">
        <f>IFERROR(C27/C24*100,"")</f>
        <v/>
      </c>
      <c r="E27" s="7" t="n"/>
      <c r="F27" s="9">
        <f>IFERROR(E27/E24*100,"")</f>
        <v/>
      </c>
    </row>
    <row r="28" ht="22" customHeight="1">
      <c r="A28" s="12" t="inlineStr">
        <is>
          <t>IMP-03</t>
        </is>
      </c>
      <c r="B28" s="7" t="n"/>
      <c r="C28" s="7" t="n"/>
      <c r="D28" s="9">
        <f>IFERROR(C28/C24*100,"")</f>
        <v/>
      </c>
      <c r="E28" s="7" t="n"/>
      <c r="F28" s="9">
        <f>IFERROR(E28/E24*100,"")</f>
        <v/>
      </c>
    </row>
    <row r="29" ht="22" customHeight="1">
      <c r="A29" s="12" t="inlineStr">
        <is>
          <t>IMP-03</t>
        </is>
      </c>
      <c r="B29" s="7" t="n"/>
      <c r="C29" s="7" t="n"/>
      <c r="D29" s="9">
        <f>IFERROR(C29/C24*100,"")</f>
        <v/>
      </c>
      <c r="E29" s="7" t="n"/>
      <c r="F29" s="9">
        <f>IFERROR(E29/E24*100,"")</f>
        <v/>
      </c>
    </row>
    <row r="30" ht="22" customHeight="1">
      <c r="A30" s="12" t="inlineStr">
        <is>
          <t>IMP-03</t>
        </is>
      </c>
      <c r="B30" s="7" t="n"/>
      <c r="C30" s="7" t="n"/>
      <c r="D30" s="9">
        <f>IFERROR(C30/C24*100,"")</f>
        <v/>
      </c>
      <c r="E30" s="7" t="n"/>
      <c r="F30" s="9">
        <f>IFERROR(E30/E24*100,"")</f>
        <v/>
      </c>
    </row>
    <row r="31" ht="22" customHeight="1">
      <c r="A31" s="12" t="inlineStr">
        <is>
          <t>IMP-03</t>
        </is>
      </c>
      <c r="B31" s="7" t="n"/>
      <c r="C31" s="7" t="n"/>
      <c r="D31" s="9">
        <f>IFERROR(C31/C24*100,"")</f>
        <v/>
      </c>
      <c r="E31" s="7" t="n"/>
      <c r="F31" s="9">
        <f>IFERROR(E31/E24*100,"")</f>
        <v/>
      </c>
    </row>
    <row r="32" ht="22" customHeight="1">
      <c r="A32" s="12" t="inlineStr">
        <is>
          <t>IMP-03</t>
        </is>
      </c>
      <c r="B32" s="7" t="n"/>
      <c r="C32" s="7" t="n"/>
      <c r="D32" s="9">
        <f>IFERROR(C32/C24*100,"")</f>
        <v/>
      </c>
      <c r="E32" s="7" t="n"/>
      <c r="F32" s="9">
        <f>IFERROR(E32/E24*100,"")</f>
        <v/>
      </c>
    </row>
    <row r="33" ht="22" customHeight="1">
      <c r="A33" s="12" t="inlineStr">
        <is>
          <t>IMP-03</t>
        </is>
      </c>
      <c r="B33" s="7" t="n"/>
      <c r="C33" s="7" t="n"/>
      <c r="D33" s="9">
        <f>IFERROR(C33/C24*100,"")</f>
        <v/>
      </c>
      <c r="E33" s="7" t="n"/>
      <c r="F33" s="9">
        <f>IFERROR(E33/E24*100,"")</f>
        <v/>
      </c>
    </row>
    <row r="34" ht="22" customHeight="1">
      <c r="A34" s="12" t="inlineStr">
        <is>
          <t>IMP-04</t>
        </is>
      </c>
      <c r="B34" s="7" t="n"/>
      <c r="C34" s="7" t="n"/>
      <c r="D34" s="9">
        <f>IFERROR(C34/C34*100,"")</f>
        <v/>
      </c>
      <c r="E34" s="7" t="n"/>
      <c r="F34" s="9">
        <f>IFERROR(E34/E34*100,"")</f>
        <v/>
      </c>
    </row>
    <row r="35" ht="22" customHeight="1">
      <c r="A35" s="12" t="inlineStr">
        <is>
          <t>IMP-04</t>
        </is>
      </c>
      <c r="B35" s="7" t="n"/>
      <c r="C35" s="7" t="n"/>
      <c r="D35" s="9">
        <f>IFERROR(C35/C34*100,"")</f>
        <v/>
      </c>
      <c r="E35" s="7" t="n"/>
      <c r="F35" s="9">
        <f>IFERROR(E35/E34*100,"")</f>
        <v/>
      </c>
    </row>
    <row r="36" ht="22" customHeight="1">
      <c r="A36" s="12" t="inlineStr">
        <is>
          <t>IMP-04</t>
        </is>
      </c>
      <c r="B36" s="7" t="n"/>
      <c r="C36" s="7" t="n"/>
      <c r="D36" s="9">
        <f>IFERROR(C36/C34*100,"")</f>
        <v/>
      </c>
      <c r="E36" s="7" t="n"/>
      <c r="F36" s="9">
        <f>IFERROR(E36/E34*100,"")</f>
        <v/>
      </c>
    </row>
    <row r="37" ht="22" customHeight="1">
      <c r="A37" s="12" t="inlineStr">
        <is>
          <t>IMP-04</t>
        </is>
      </c>
      <c r="B37" s="7" t="n"/>
      <c r="C37" s="7" t="n"/>
      <c r="D37" s="9">
        <f>IFERROR(C37/C34*100,"")</f>
        <v/>
      </c>
      <c r="E37" s="7" t="n"/>
      <c r="F37" s="9">
        <f>IFERROR(E37/E34*100,"")</f>
        <v/>
      </c>
    </row>
    <row r="38" ht="22" customHeight="1">
      <c r="A38" s="12" t="inlineStr">
        <is>
          <t>IMP-04</t>
        </is>
      </c>
      <c r="B38" s="7" t="n"/>
      <c r="C38" s="7" t="n"/>
      <c r="D38" s="9">
        <f>IFERROR(C38/C34*100,"")</f>
        <v/>
      </c>
      <c r="E38" s="7" t="n"/>
      <c r="F38" s="9">
        <f>IFERROR(E38/E34*100,"")</f>
        <v/>
      </c>
    </row>
    <row r="39" ht="22" customHeight="1">
      <c r="A39" s="12" t="inlineStr">
        <is>
          <t>IMP-04</t>
        </is>
      </c>
      <c r="B39" s="7" t="n"/>
      <c r="C39" s="7" t="n"/>
      <c r="D39" s="9">
        <f>IFERROR(C39/C34*100,"")</f>
        <v/>
      </c>
      <c r="E39" s="7" t="n"/>
      <c r="F39" s="9">
        <f>IFERROR(E39/E34*100,"")</f>
        <v/>
      </c>
    </row>
    <row r="40" ht="22" customHeight="1">
      <c r="A40" s="12" t="inlineStr">
        <is>
          <t>IMP-04</t>
        </is>
      </c>
      <c r="B40" s="7" t="n"/>
      <c r="C40" s="7" t="n"/>
      <c r="D40" s="9">
        <f>IFERROR(C40/C34*100,"")</f>
        <v/>
      </c>
      <c r="E40" s="7" t="n"/>
      <c r="F40" s="9">
        <f>IFERROR(E40/E34*100,"")</f>
        <v/>
      </c>
    </row>
    <row r="41" ht="22" customHeight="1">
      <c r="A41" s="12" t="inlineStr">
        <is>
          <t>IMP-04</t>
        </is>
      </c>
      <c r="B41" s="7" t="n"/>
      <c r="C41" s="7" t="n"/>
      <c r="D41" s="9">
        <f>IFERROR(C41/C34*100,"")</f>
        <v/>
      </c>
      <c r="E41" s="7" t="n"/>
      <c r="F41" s="9">
        <f>IFERROR(E41/E34*100,"")</f>
        <v/>
      </c>
    </row>
    <row r="42" ht="22" customHeight="1">
      <c r="A42" s="12" t="inlineStr">
        <is>
          <t>IMP-04</t>
        </is>
      </c>
      <c r="B42" s="7" t="n"/>
      <c r="C42" s="7" t="n"/>
      <c r="D42" s="9">
        <f>IFERROR(C42/C34*100,"")</f>
        <v/>
      </c>
      <c r="E42" s="7" t="n"/>
      <c r="F42" s="9">
        <f>IFERROR(E42/E34*100,"")</f>
        <v/>
      </c>
    </row>
    <row r="43" ht="22" customHeight="1">
      <c r="A43" s="12" t="inlineStr">
        <is>
          <t>IMP-04</t>
        </is>
      </c>
      <c r="B43" s="7" t="n"/>
      <c r="C43" s="7" t="n"/>
      <c r="D43" s="9">
        <f>IFERROR(C43/C34*100,"")</f>
        <v/>
      </c>
      <c r="E43" s="7" t="n"/>
      <c r="F43" s="9">
        <f>IFERROR(E43/E34*100,"")</f>
        <v/>
      </c>
    </row>
    <row r="44" ht="22" customHeight="1">
      <c r="A44" s="12" t="inlineStr">
        <is>
          <t>IMP-05</t>
        </is>
      </c>
      <c r="B44" s="7" t="n"/>
      <c r="C44" s="7" t="n"/>
      <c r="D44" s="9">
        <f>IFERROR(C44/C44*100,"")</f>
        <v/>
      </c>
      <c r="E44" s="7" t="n"/>
      <c r="F44" s="9">
        <f>IFERROR(E44/E44*100,"")</f>
        <v/>
      </c>
    </row>
    <row r="45" ht="22" customHeight="1">
      <c r="A45" s="12" t="inlineStr">
        <is>
          <t>IMP-05</t>
        </is>
      </c>
      <c r="B45" s="7" t="n"/>
      <c r="C45" s="7" t="n"/>
      <c r="D45" s="9">
        <f>IFERROR(C45/C44*100,"")</f>
        <v/>
      </c>
      <c r="E45" s="7" t="n"/>
      <c r="F45" s="9">
        <f>IFERROR(E45/E44*100,"")</f>
        <v/>
      </c>
    </row>
    <row r="46" ht="22" customHeight="1">
      <c r="A46" s="12" t="inlineStr">
        <is>
          <t>IMP-05</t>
        </is>
      </c>
      <c r="B46" s="7" t="n"/>
      <c r="C46" s="7" t="n"/>
      <c r="D46" s="9">
        <f>IFERROR(C46/C44*100,"")</f>
        <v/>
      </c>
      <c r="E46" s="7" t="n"/>
      <c r="F46" s="9">
        <f>IFERROR(E46/E44*100,"")</f>
        <v/>
      </c>
    </row>
    <row r="47" ht="22" customHeight="1">
      <c r="A47" s="12" t="inlineStr">
        <is>
          <t>IMP-05</t>
        </is>
      </c>
      <c r="B47" s="7" t="n"/>
      <c r="C47" s="7" t="n"/>
      <c r="D47" s="9">
        <f>IFERROR(C47/C44*100,"")</f>
        <v/>
      </c>
      <c r="E47" s="7" t="n"/>
      <c r="F47" s="9">
        <f>IFERROR(E47/E44*100,"")</f>
        <v/>
      </c>
    </row>
    <row r="48" ht="22" customHeight="1">
      <c r="A48" s="12" t="inlineStr">
        <is>
          <t>IMP-05</t>
        </is>
      </c>
      <c r="B48" s="7" t="n"/>
      <c r="C48" s="7" t="n"/>
      <c r="D48" s="9">
        <f>IFERROR(C48/C44*100,"")</f>
        <v/>
      </c>
      <c r="E48" s="7" t="n"/>
      <c r="F48" s="9">
        <f>IFERROR(E48/E44*100,"")</f>
        <v/>
      </c>
    </row>
    <row r="49" ht="22" customHeight="1">
      <c r="A49" s="12" t="inlineStr">
        <is>
          <t>IMP-05</t>
        </is>
      </c>
      <c r="B49" s="7" t="n"/>
      <c r="C49" s="7" t="n"/>
      <c r="D49" s="9">
        <f>IFERROR(C49/C44*100,"")</f>
        <v/>
      </c>
      <c r="E49" s="7" t="n"/>
      <c r="F49" s="9">
        <f>IFERROR(E49/E44*100,"")</f>
        <v/>
      </c>
    </row>
    <row r="50" ht="22" customHeight="1">
      <c r="A50" s="12" t="inlineStr">
        <is>
          <t>IMP-05</t>
        </is>
      </c>
      <c r="B50" s="7" t="n"/>
      <c r="C50" s="7" t="n"/>
      <c r="D50" s="9">
        <f>IFERROR(C50/C44*100,"")</f>
        <v/>
      </c>
      <c r="E50" s="7" t="n"/>
      <c r="F50" s="9">
        <f>IFERROR(E50/E44*100,"")</f>
        <v/>
      </c>
    </row>
    <row r="51" ht="22" customHeight="1">
      <c r="A51" s="12" t="inlineStr">
        <is>
          <t>IMP-05</t>
        </is>
      </c>
      <c r="B51" s="7" t="n"/>
      <c r="C51" s="7" t="n"/>
      <c r="D51" s="9">
        <f>IFERROR(C51/C44*100,"")</f>
        <v/>
      </c>
      <c r="E51" s="7" t="n"/>
      <c r="F51" s="9">
        <f>IFERROR(E51/E44*100,"")</f>
        <v/>
      </c>
    </row>
    <row r="52" ht="22" customHeight="1">
      <c r="A52" s="12" t="inlineStr">
        <is>
          <t>IMP-05</t>
        </is>
      </c>
      <c r="B52" s="7" t="n"/>
      <c r="C52" s="7" t="n"/>
      <c r="D52" s="9">
        <f>IFERROR(C52/C44*100,"")</f>
        <v/>
      </c>
      <c r="E52" s="7" t="n"/>
      <c r="F52" s="9">
        <f>IFERROR(E52/E44*100,"")</f>
        <v/>
      </c>
    </row>
    <row r="53" ht="22" customHeight="1">
      <c r="A53" s="12" t="inlineStr">
        <is>
          <t>IMP-05</t>
        </is>
      </c>
      <c r="B53" s="7" t="n"/>
      <c r="C53" s="7" t="n"/>
      <c r="D53" s="9">
        <f>IFERROR(C53/C44*100,"")</f>
        <v/>
      </c>
      <c r="E53" s="7" t="n"/>
      <c r="F53" s="9">
        <f>IFERROR(E53/E44*100,"")</f>
        <v/>
      </c>
    </row>
    <row r="54" ht="22" customHeight="1">
      <c r="A54" s="12" t="inlineStr">
        <is>
          <t>IMP-06</t>
        </is>
      </c>
      <c r="B54" s="7" t="n"/>
      <c r="C54" s="7" t="n"/>
      <c r="D54" s="9">
        <f>IFERROR(C54/C54*100,"")</f>
        <v/>
      </c>
      <c r="E54" s="7" t="n"/>
      <c r="F54" s="9">
        <f>IFERROR(E54/E54*100,"")</f>
        <v/>
      </c>
    </row>
    <row r="55" ht="22" customHeight="1">
      <c r="A55" s="12" t="inlineStr">
        <is>
          <t>IMP-06</t>
        </is>
      </c>
      <c r="B55" s="7" t="n"/>
      <c r="C55" s="7" t="n"/>
      <c r="D55" s="9">
        <f>IFERROR(C55/C54*100,"")</f>
        <v/>
      </c>
      <c r="E55" s="7" t="n"/>
      <c r="F55" s="9">
        <f>IFERROR(E55/E54*100,"")</f>
        <v/>
      </c>
    </row>
    <row r="56" ht="22" customHeight="1">
      <c r="A56" s="12" t="inlineStr">
        <is>
          <t>IMP-06</t>
        </is>
      </c>
      <c r="B56" s="7" t="n"/>
      <c r="C56" s="7" t="n"/>
      <c r="D56" s="9">
        <f>IFERROR(C56/C54*100,"")</f>
        <v/>
      </c>
      <c r="E56" s="7" t="n"/>
      <c r="F56" s="9">
        <f>IFERROR(E56/E54*100,"")</f>
        <v/>
      </c>
    </row>
    <row r="57" ht="22" customHeight="1">
      <c r="A57" s="12" t="inlineStr">
        <is>
          <t>IMP-06</t>
        </is>
      </c>
      <c r="B57" s="7" t="n"/>
      <c r="C57" s="7" t="n"/>
      <c r="D57" s="9">
        <f>IFERROR(C57/C54*100,"")</f>
        <v/>
      </c>
      <c r="E57" s="7" t="n"/>
      <c r="F57" s="9">
        <f>IFERROR(E57/E54*100,"")</f>
        <v/>
      </c>
    </row>
    <row r="58" ht="22" customHeight="1">
      <c r="A58" s="12" t="inlineStr">
        <is>
          <t>IMP-06</t>
        </is>
      </c>
      <c r="B58" s="7" t="n"/>
      <c r="C58" s="7" t="n"/>
      <c r="D58" s="9">
        <f>IFERROR(C58/C54*100,"")</f>
        <v/>
      </c>
      <c r="E58" s="7" t="n"/>
      <c r="F58" s="9">
        <f>IFERROR(E58/E54*100,"")</f>
        <v/>
      </c>
    </row>
    <row r="59" ht="22" customHeight="1">
      <c r="A59" s="12" t="inlineStr">
        <is>
          <t>IMP-06</t>
        </is>
      </c>
      <c r="B59" s="7" t="n"/>
      <c r="C59" s="7" t="n"/>
      <c r="D59" s="9">
        <f>IFERROR(C59/C54*100,"")</f>
        <v/>
      </c>
      <c r="E59" s="7" t="n"/>
      <c r="F59" s="9">
        <f>IFERROR(E59/E54*100,"")</f>
        <v/>
      </c>
    </row>
    <row r="60" ht="22" customHeight="1">
      <c r="A60" s="12" t="inlineStr">
        <is>
          <t>IMP-06</t>
        </is>
      </c>
      <c r="B60" s="7" t="n"/>
      <c r="C60" s="7" t="n"/>
      <c r="D60" s="9">
        <f>IFERROR(C60/C54*100,"")</f>
        <v/>
      </c>
      <c r="E60" s="7" t="n"/>
      <c r="F60" s="9">
        <f>IFERROR(E60/E54*100,"")</f>
        <v/>
      </c>
    </row>
    <row r="61" ht="22" customHeight="1">
      <c r="A61" s="12" t="inlineStr">
        <is>
          <t>IMP-06</t>
        </is>
      </c>
      <c r="B61" s="7" t="n"/>
      <c r="C61" s="7" t="n"/>
      <c r="D61" s="9">
        <f>IFERROR(C61/C54*100,"")</f>
        <v/>
      </c>
      <c r="E61" s="7" t="n"/>
      <c r="F61" s="9">
        <f>IFERROR(E61/E54*100,"")</f>
        <v/>
      </c>
    </row>
    <row r="62" ht="22" customHeight="1">
      <c r="A62" s="12" t="inlineStr">
        <is>
          <t>IMP-06</t>
        </is>
      </c>
      <c r="B62" s="7" t="n"/>
      <c r="C62" s="7" t="n"/>
      <c r="D62" s="9">
        <f>IFERROR(C62/C54*100,"")</f>
        <v/>
      </c>
      <c r="E62" s="7" t="n"/>
      <c r="F62" s="9">
        <f>IFERROR(E62/E54*100,"")</f>
        <v/>
      </c>
    </row>
    <row r="63" ht="22" customHeight="1">
      <c r="A63" s="12" t="inlineStr">
        <is>
          <t>IMP-06</t>
        </is>
      </c>
      <c r="B63" s="7" t="n"/>
      <c r="C63" s="7" t="n"/>
      <c r="D63" s="9">
        <f>IFERROR(C63/C54*100,"")</f>
        <v/>
      </c>
      <c r="E63" s="7" t="n"/>
      <c r="F63" s="9">
        <f>IFERROR(E63/E54*100,"")</f>
        <v/>
      </c>
    </row>
    <row r="64" ht="22" customHeight="1">
      <c r="A64" s="12" t="inlineStr">
        <is>
          <t>IMP-07</t>
        </is>
      </c>
      <c r="B64" s="7" t="n"/>
      <c r="C64" s="7" t="n"/>
      <c r="D64" s="9">
        <f>IFERROR(C64/C64*100,"")</f>
        <v/>
      </c>
      <c r="E64" s="7" t="n"/>
      <c r="F64" s="9">
        <f>IFERROR(E64/E64*100,"")</f>
        <v/>
      </c>
    </row>
    <row r="65" ht="22" customHeight="1">
      <c r="A65" s="12" t="inlineStr">
        <is>
          <t>IMP-07</t>
        </is>
      </c>
      <c r="B65" s="7" t="n"/>
      <c r="C65" s="7" t="n"/>
      <c r="D65" s="9">
        <f>IFERROR(C65/C64*100,"")</f>
        <v/>
      </c>
      <c r="E65" s="7" t="n"/>
      <c r="F65" s="9">
        <f>IFERROR(E65/E64*100,"")</f>
        <v/>
      </c>
    </row>
    <row r="66" ht="22" customHeight="1">
      <c r="A66" s="12" t="inlineStr">
        <is>
          <t>IMP-07</t>
        </is>
      </c>
      <c r="B66" s="7" t="n"/>
      <c r="C66" s="7" t="n"/>
      <c r="D66" s="9">
        <f>IFERROR(C66/C64*100,"")</f>
        <v/>
      </c>
      <c r="E66" s="7" t="n"/>
      <c r="F66" s="9">
        <f>IFERROR(E66/E64*100,"")</f>
        <v/>
      </c>
    </row>
    <row r="67" ht="22" customHeight="1">
      <c r="A67" s="12" t="inlineStr">
        <is>
          <t>IMP-07</t>
        </is>
      </c>
      <c r="B67" s="7" t="n"/>
      <c r="C67" s="7" t="n"/>
      <c r="D67" s="9">
        <f>IFERROR(C67/C64*100,"")</f>
        <v/>
      </c>
      <c r="E67" s="7" t="n"/>
      <c r="F67" s="9">
        <f>IFERROR(E67/E64*100,"")</f>
        <v/>
      </c>
    </row>
    <row r="68" ht="22" customHeight="1">
      <c r="A68" s="12" t="inlineStr">
        <is>
          <t>IMP-07</t>
        </is>
      </c>
      <c r="B68" s="7" t="n"/>
      <c r="C68" s="7" t="n"/>
      <c r="D68" s="9">
        <f>IFERROR(C68/C64*100,"")</f>
        <v/>
      </c>
      <c r="E68" s="7" t="n"/>
      <c r="F68" s="9">
        <f>IFERROR(E68/E64*100,"")</f>
        <v/>
      </c>
    </row>
    <row r="69" ht="22" customHeight="1">
      <c r="A69" s="12" t="inlineStr">
        <is>
          <t>IMP-07</t>
        </is>
      </c>
      <c r="B69" s="7" t="n"/>
      <c r="C69" s="7" t="n"/>
      <c r="D69" s="9">
        <f>IFERROR(C69/C64*100,"")</f>
        <v/>
      </c>
      <c r="E69" s="7" t="n"/>
      <c r="F69" s="9">
        <f>IFERROR(E69/E64*100,"")</f>
        <v/>
      </c>
    </row>
    <row r="70" ht="22" customHeight="1">
      <c r="A70" s="12" t="inlineStr">
        <is>
          <t>IMP-07</t>
        </is>
      </c>
      <c r="B70" s="7" t="n"/>
      <c r="C70" s="7" t="n"/>
      <c r="D70" s="9">
        <f>IFERROR(C70/C64*100,"")</f>
        <v/>
      </c>
      <c r="E70" s="7" t="n"/>
      <c r="F70" s="9">
        <f>IFERROR(E70/E64*100,"")</f>
        <v/>
      </c>
    </row>
    <row r="71" ht="22" customHeight="1">
      <c r="A71" s="12" t="inlineStr">
        <is>
          <t>IMP-07</t>
        </is>
      </c>
      <c r="B71" s="7" t="n"/>
      <c r="C71" s="7" t="n"/>
      <c r="D71" s="9">
        <f>IFERROR(C71/C64*100,"")</f>
        <v/>
      </c>
      <c r="E71" s="7" t="n"/>
      <c r="F71" s="9">
        <f>IFERROR(E71/E64*100,"")</f>
        <v/>
      </c>
    </row>
    <row r="72" ht="22" customHeight="1">
      <c r="A72" s="12" t="inlineStr">
        <is>
          <t>IMP-07</t>
        </is>
      </c>
      <c r="B72" s="7" t="n"/>
      <c r="C72" s="7" t="n"/>
      <c r="D72" s="9">
        <f>IFERROR(C72/C64*100,"")</f>
        <v/>
      </c>
      <c r="E72" s="7" t="n"/>
      <c r="F72" s="9">
        <f>IFERROR(E72/E64*100,"")</f>
        <v/>
      </c>
    </row>
    <row r="73" ht="22" customHeight="1">
      <c r="A73" s="12" t="inlineStr">
        <is>
          <t>IMP-07</t>
        </is>
      </c>
      <c r="B73" s="7" t="n"/>
      <c r="C73" s="7" t="n"/>
      <c r="D73" s="9">
        <f>IFERROR(C73/C64*100,"")</f>
        <v/>
      </c>
      <c r="E73" s="7" t="n"/>
      <c r="F73" s="9">
        <f>IFERROR(E73/E64*100,"")</f>
        <v/>
      </c>
    </row>
    <row r="74" ht="22" customHeight="1">
      <c r="A74" s="12" t="inlineStr">
        <is>
          <t>IMP-08</t>
        </is>
      </c>
      <c r="B74" s="7" t="n"/>
      <c r="C74" s="7" t="n"/>
      <c r="D74" s="9">
        <f>IFERROR(C74/C74*100,"")</f>
        <v/>
      </c>
      <c r="E74" s="7" t="n"/>
      <c r="F74" s="9">
        <f>IFERROR(E74/E74*100,"")</f>
        <v/>
      </c>
    </row>
    <row r="75" ht="22" customHeight="1">
      <c r="A75" s="12" t="inlineStr">
        <is>
          <t>IMP-08</t>
        </is>
      </c>
      <c r="B75" s="7" t="n"/>
      <c r="C75" s="7" t="n"/>
      <c r="D75" s="9">
        <f>IFERROR(C75/C74*100,"")</f>
        <v/>
      </c>
      <c r="E75" s="7" t="n"/>
      <c r="F75" s="9">
        <f>IFERROR(E75/E74*100,"")</f>
        <v/>
      </c>
    </row>
    <row r="76" ht="22" customHeight="1">
      <c r="A76" s="12" t="inlineStr">
        <is>
          <t>IMP-08</t>
        </is>
      </c>
      <c r="B76" s="7" t="n"/>
      <c r="C76" s="7" t="n"/>
      <c r="D76" s="9">
        <f>IFERROR(C76/C74*100,"")</f>
        <v/>
      </c>
      <c r="E76" s="7" t="n"/>
      <c r="F76" s="9">
        <f>IFERROR(E76/E74*100,"")</f>
        <v/>
      </c>
    </row>
    <row r="77" ht="22" customHeight="1">
      <c r="A77" s="12" t="inlineStr">
        <is>
          <t>IMP-08</t>
        </is>
      </c>
      <c r="B77" s="7" t="n"/>
      <c r="C77" s="7" t="n"/>
      <c r="D77" s="9">
        <f>IFERROR(C77/C74*100,"")</f>
        <v/>
      </c>
      <c r="E77" s="7" t="n"/>
      <c r="F77" s="9">
        <f>IFERROR(E77/E74*100,"")</f>
        <v/>
      </c>
    </row>
    <row r="78" ht="22" customHeight="1">
      <c r="A78" s="12" t="inlineStr">
        <is>
          <t>IMP-08</t>
        </is>
      </c>
      <c r="B78" s="7" t="n"/>
      <c r="C78" s="7" t="n"/>
      <c r="D78" s="9">
        <f>IFERROR(C78/C74*100,"")</f>
        <v/>
      </c>
      <c r="E78" s="7" t="n"/>
      <c r="F78" s="9">
        <f>IFERROR(E78/E74*100,"")</f>
        <v/>
      </c>
    </row>
    <row r="79" ht="22" customHeight="1">
      <c r="A79" s="12" t="inlineStr">
        <is>
          <t>IMP-08</t>
        </is>
      </c>
      <c r="B79" s="7" t="n"/>
      <c r="C79" s="7" t="n"/>
      <c r="D79" s="9">
        <f>IFERROR(C79/C74*100,"")</f>
        <v/>
      </c>
      <c r="E79" s="7" t="n"/>
      <c r="F79" s="9">
        <f>IFERROR(E79/E74*100,"")</f>
        <v/>
      </c>
    </row>
    <row r="80" ht="22" customHeight="1">
      <c r="A80" s="12" t="inlineStr">
        <is>
          <t>IMP-08</t>
        </is>
      </c>
      <c r="B80" s="7" t="n"/>
      <c r="C80" s="7" t="n"/>
      <c r="D80" s="9">
        <f>IFERROR(C80/C74*100,"")</f>
        <v/>
      </c>
      <c r="E80" s="7" t="n"/>
      <c r="F80" s="9">
        <f>IFERROR(E80/E74*100,"")</f>
        <v/>
      </c>
    </row>
    <row r="81" ht="22" customHeight="1">
      <c r="A81" s="12" t="inlineStr">
        <is>
          <t>IMP-08</t>
        </is>
      </c>
      <c r="B81" s="7" t="n"/>
      <c r="C81" s="7" t="n"/>
      <c r="D81" s="9">
        <f>IFERROR(C81/C74*100,"")</f>
        <v/>
      </c>
      <c r="E81" s="7" t="n"/>
      <c r="F81" s="9">
        <f>IFERROR(E81/E74*100,"")</f>
        <v/>
      </c>
    </row>
    <row r="82" ht="22" customHeight="1">
      <c r="A82" s="12" t="inlineStr">
        <is>
          <t>IMP-08</t>
        </is>
      </c>
      <c r="B82" s="7" t="n"/>
      <c r="C82" s="7" t="n"/>
      <c r="D82" s="9">
        <f>IFERROR(C82/C74*100,"")</f>
        <v/>
      </c>
      <c r="E82" s="7" t="n"/>
      <c r="F82" s="9">
        <f>IFERROR(E82/E74*100,"")</f>
        <v/>
      </c>
    </row>
    <row r="83" ht="22" customHeight="1">
      <c r="A83" s="12" t="inlineStr">
        <is>
          <t>IMP-08</t>
        </is>
      </c>
      <c r="B83" s="7" t="n"/>
      <c r="C83" s="7" t="n"/>
      <c r="D83" s="9">
        <f>IFERROR(C83/C74*100,"")</f>
        <v/>
      </c>
      <c r="E83" s="7" t="n"/>
      <c r="F83" s="9">
        <f>IFERROR(E83/E74*100,"")</f>
        <v/>
      </c>
    </row>
    <row r="84" ht="22" customHeight="1">
      <c r="A84" s="12" t="inlineStr">
        <is>
          <t>IMP-09</t>
        </is>
      </c>
      <c r="B84" s="7" t="n"/>
      <c r="C84" s="7" t="n"/>
      <c r="D84" s="9">
        <f>IFERROR(C84/C84*100,"")</f>
        <v/>
      </c>
      <c r="E84" s="7" t="n"/>
      <c r="F84" s="9">
        <f>IFERROR(E84/E84*100,"")</f>
        <v/>
      </c>
    </row>
    <row r="85" ht="22" customHeight="1">
      <c r="A85" s="12" t="inlineStr">
        <is>
          <t>IMP-09</t>
        </is>
      </c>
      <c r="B85" s="7" t="n"/>
      <c r="C85" s="7" t="n"/>
      <c r="D85" s="9">
        <f>IFERROR(C85/C84*100,"")</f>
        <v/>
      </c>
      <c r="E85" s="7" t="n"/>
      <c r="F85" s="9">
        <f>IFERROR(E85/E84*100,"")</f>
        <v/>
      </c>
    </row>
    <row r="86" ht="22" customHeight="1">
      <c r="A86" s="12" t="inlineStr">
        <is>
          <t>IMP-09</t>
        </is>
      </c>
      <c r="B86" s="7" t="n"/>
      <c r="C86" s="7" t="n"/>
      <c r="D86" s="9">
        <f>IFERROR(C86/C84*100,"")</f>
        <v/>
      </c>
      <c r="E86" s="7" t="n"/>
      <c r="F86" s="9">
        <f>IFERROR(E86/E84*100,"")</f>
        <v/>
      </c>
    </row>
    <row r="87" ht="22" customHeight="1">
      <c r="A87" s="12" t="inlineStr">
        <is>
          <t>IMP-09</t>
        </is>
      </c>
      <c r="B87" s="7" t="n"/>
      <c r="C87" s="7" t="n"/>
      <c r="D87" s="9">
        <f>IFERROR(C87/C84*100,"")</f>
        <v/>
      </c>
      <c r="E87" s="7" t="n"/>
      <c r="F87" s="9">
        <f>IFERROR(E87/E84*100,"")</f>
        <v/>
      </c>
    </row>
    <row r="88" ht="22" customHeight="1">
      <c r="A88" s="12" t="inlineStr">
        <is>
          <t>IMP-09</t>
        </is>
      </c>
      <c r="B88" s="7" t="n"/>
      <c r="C88" s="7" t="n"/>
      <c r="D88" s="9">
        <f>IFERROR(C88/C84*100,"")</f>
        <v/>
      </c>
      <c r="E88" s="7" t="n"/>
      <c r="F88" s="9">
        <f>IFERROR(E88/E84*100,"")</f>
        <v/>
      </c>
    </row>
    <row r="89" ht="22" customHeight="1">
      <c r="A89" s="12" t="inlineStr">
        <is>
          <t>IMP-09</t>
        </is>
      </c>
      <c r="B89" s="7" t="n"/>
      <c r="C89" s="7" t="n"/>
      <c r="D89" s="9">
        <f>IFERROR(C89/C84*100,"")</f>
        <v/>
      </c>
      <c r="E89" s="7" t="n"/>
      <c r="F89" s="9">
        <f>IFERROR(E89/E84*100,"")</f>
        <v/>
      </c>
    </row>
    <row r="90" ht="22" customHeight="1">
      <c r="A90" s="12" t="inlineStr">
        <is>
          <t>IMP-09</t>
        </is>
      </c>
      <c r="B90" s="7" t="n"/>
      <c r="C90" s="7" t="n"/>
      <c r="D90" s="9">
        <f>IFERROR(C90/C84*100,"")</f>
        <v/>
      </c>
      <c r="E90" s="7" t="n"/>
      <c r="F90" s="9">
        <f>IFERROR(E90/E84*100,"")</f>
        <v/>
      </c>
    </row>
    <row r="91" ht="22" customHeight="1">
      <c r="A91" s="12" t="inlineStr">
        <is>
          <t>IMP-09</t>
        </is>
      </c>
      <c r="B91" s="7" t="n"/>
      <c r="C91" s="7" t="n"/>
      <c r="D91" s="9">
        <f>IFERROR(C91/C84*100,"")</f>
        <v/>
      </c>
      <c r="E91" s="7" t="n"/>
      <c r="F91" s="9">
        <f>IFERROR(E91/E84*100,"")</f>
        <v/>
      </c>
    </row>
    <row r="92" ht="22" customHeight="1">
      <c r="A92" s="12" t="inlineStr">
        <is>
          <t>IMP-09</t>
        </is>
      </c>
      <c r="B92" s="7" t="n"/>
      <c r="C92" s="7" t="n"/>
      <c r="D92" s="9">
        <f>IFERROR(C92/C84*100,"")</f>
        <v/>
      </c>
      <c r="E92" s="7" t="n"/>
      <c r="F92" s="9">
        <f>IFERROR(E92/E84*100,"")</f>
        <v/>
      </c>
    </row>
    <row r="93" ht="22" customHeight="1">
      <c r="A93" s="12" t="inlineStr">
        <is>
          <t>IMP-09</t>
        </is>
      </c>
      <c r="B93" s="7" t="n"/>
      <c r="C93" s="7" t="n"/>
      <c r="D93" s="9">
        <f>IFERROR(C93/C84*100,"")</f>
        <v/>
      </c>
      <c r="E93" s="7" t="n"/>
      <c r="F93" s="9">
        <f>IFERROR(E93/E84*100,"")</f>
        <v/>
      </c>
    </row>
    <row r="94" ht="22" customHeight="1">
      <c r="A94" s="12" t="inlineStr">
        <is>
          <t>IMP-10</t>
        </is>
      </c>
      <c r="B94" s="7" t="n"/>
      <c r="C94" s="7" t="n"/>
      <c r="D94" s="9">
        <f>IFERROR(C94/C94*100,"")</f>
        <v/>
      </c>
      <c r="E94" s="7" t="n"/>
      <c r="F94" s="9">
        <f>IFERROR(E94/E94*100,"")</f>
        <v/>
      </c>
    </row>
    <row r="95" ht="22" customHeight="1">
      <c r="A95" s="12" t="inlineStr">
        <is>
          <t>IMP-10</t>
        </is>
      </c>
      <c r="B95" s="7" t="n"/>
      <c r="C95" s="7" t="n"/>
      <c r="D95" s="9">
        <f>IFERROR(C95/C94*100,"")</f>
        <v/>
      </c>
      <c r="E95" s="7" t="n"/>
      <c r="F95" s="9">
        <f>IFERROR(E95/E94*100,"")</f>
        <v/>
      </c>
    </row>
    <row r="96" ht="22" customHeight="1">
      <c r="A96" s="12" t="inlineStr">
        <is>
          <t>IMP-10</t>
        </is>
      </c>
      <c r="B96" s="7" t="n"/>
      <c r="C96" s="7" t="n"/>
      <c r="D96" s="9">
        <f>IFERROR(C96/C94*100,"")</f>
        <v/>
      </c>
      <c r="E96" s="7" t="n"/>
      <c r="F96" s="9">
        <f>IFERROR(E96/E94*100,"")</f>
        <v/>
      </c>
    </row>
    <row r="97" ht="22" customHeight="1">
      <c r="A97" s="12" t="inlineStr">
        <is>
          <t>IMP-10</t>
        </is>
      </c>
      <c r="B97" s="7" t="n"/>
      <c r="C97" s="7" t="n"/>
      <c r="D97" s="9">
        <f>IFERROR(C97/C94*100,"")</f>
        <v/>
      </c>
      <c r="E97" s="7" t="n"/>
      <c r="F97" s="9">
        <f>IFERROR(E97/E94*100,"")</f>
        <v/>
      </c>
    </row>
    <row r="98" ht="22" customHeight="1">
      <c r="A98" s="12" t="inlineStr">
        <is>
          <t>IMP-10</t>
        </is>
      </c>
      <c r="B98" s="7" t="n"/>
      <c r="C98" s="7" t="n"/>
      <c r="D98" s="9">
        <f>IFERROR(C98/C94*100,"")</f>
        <v/>
      </c>
      <c r="E98" s="7" t="n"/>
      <c r="F98" s="9">
        <f>IFERROR(E98/E94*100,"")</f>
        <v/>
      </c>
    </row>
    <row r="99" ht="22" customHeight="1">
      <c r="A99" s="12" t="inlineStr">
        <is>
          <t>IMP-10</t>
        </is>
      </c>
      <c r="B99" s="7" t="n"/>
      <c r="C99" s="7" t="n"/>
      <c r="D99" s="9">
        <f>IFERROR(C99/C94*100,"")</f>
        <v/>
      </c>
      <c r="E99" s="7" t="n"/>
      <c r="F99" s="9">
        <f>IFERROR(E99/E94*100,"")</f>
        <v/>
      </c>
    </row>
    <row r="100" ht="22" customHeight="1">
      <c r="A100" s="12" t="inlineStr">
        <is>
          <t>IMP-10</t>
        </is>
      </c>
      <c r="B100" s="7" t="n"/>
      <c r="C100" s="7" t="n"/>
      <c r="D100" s="9">
        <f>IFERROR(C100/C94*100,"")</f>
        <v/>
      </c>
      <c r="E100" s="7" t="n"/>
      <c r="F100" s="9">
        <f>IFERROR(E100/E94*100,"")</f>
        <v/>
      </c>
    </row>
    <row r="101" ht="22" customHeight="1">
      <c r="A101" s="12" t="inlineStr">
        <is>
          <t>IMP-10</t>
        </is>
      </c>
      <c r="B101" s="7" t="n"/>
      <c r="C101" s="7" t="n"/>
      <c r="D101" s="9">
        <f>IFERROR(C101/C94*100,"")</f>
        <v/>
      </c>
      <c r="E101" s="7" t="n"/>
      <c r="F101" s="9">
        <f>IFERROR(E101/E94*100,"")</f>
        <v/>
      </c>
    </row>
    <row r="102" ht="22" customHeight="1">
      <c r="A102" s="12" t="inlineStr">
        <is>
          <t>IMP-10</t>
        </is>
      </c>
      <c r="B102" s="7" t="n"/>
      <c r="C102" s="7" t="n"/>
      <c r="D102" s="9">
        <f>IFERROR(C102/C94*100,"")</f>
        <v/>
      </c>
      <c r="E102" s="7" t="n"/>
      <c r="F102" s="9">
        <f>IFERROR(E102/E94*100,"")</f>
        <v/>
      </c>
    </row>
    <row r="103" ht="22" customHeight="1">
      <c r="A103" s="12" t="inlineStr">
        <is>
          <t>IMP-10</t>
        </is>
      </c>
      <c r="B103" s="7" t="n"/>
      <c r="C103" s="7" t="n"/>
      <c r="D103" s="9">
        <f>IFERROR(C103/C94*100,"")</f>
        <v/>
      </c>
      <c r="E103" s="7" t="n"/>
      <c r="F103" s="9">
        <f>IFERROR(E103/E94*100,"")</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F1"/>
  </mergeCells>
  <conditionalFormatting sqref="A4:A103">
    <cfRule type="expression" priority="1" dxfId="0">
      <formula>AND(A4&lt;&gt;"",COUNTIF($A$4:$A$103,A4)&gt;20)</formula>
    </cfRule>
  </conditionalFormatting>
  <dataValidations count="1">
    <dataValidation sqref="B4 C4 E4 B5 C5 E5 B6 C6 E6 B7 C7 E7 B8 C8 E8 B9 C9 E9 B10 C10 E10 B11 C11 E11 B12 C12 E12 B13 C13 E13 B14 C14 E14 B15 C15 E15 B16 C16 E16 B17 C17 E17 B18 C18 E18 B19 C19 E19 B20 C20 E20 B21 C21 E21 B22 C22 E22 B23 C23 E23 B24 C24 E24 B25 C25 E25 B26 C26 E26 B27 C27 E27 B28 C28 E28 B29 C29 E29 B30 C30 E30 B31 C31 E31 B32 C32 E32 B33 C33 E33 B34 C34 E34 B35 C35 E35 B36 C36 E36 B37 C37 E37 B38 C38 E38 B39 C39 E39 B40 C40 E40 B41 C41 E41 B42 C42 E42 B43 C43 E43 B44 C44 E44 B45 C45 E45 B46 C46 E46 B47 C47 E47 B48 C48 E48 B49 C49 E49 B50 C50 E50 B51 C51 E51 B52 C52 E52 B53 C53 E53 B54 C54 E54 B55 C55 E55 B56 C56 E56 B57 C57 E57 B58 C58 E58 B59 C59 E59 B60 C60 E60 B61 C61 E61 B62 C62 E62 B63 C63 E63 B64 C64 E64 B65 C65 E65 B66 C66 E66 B67 C67 E67 B68 C68 E68 B69 C69 E69 B70 C70 E70 B71 C71 E71 B72 C72 E72 B73 C73 E73 B74 C74 E74 B75 C75 E75 B76 C76 E76 B77 C77 E77 B78 C78 E78 B79 C79 E79 B80 C80 E80 B81 C81 E81 B82 C82 E82 B83 C83 E83 B84 C84 E84 B85 C85 E85 B86 C86 E86 B87 C87 E87 B88 C88 E88 B89 C89 E89 B90 C90 E90 B91 C91 E91 B92 C92 E92 B93 C93 E93 B94 C94 E94 B95 C95 E95 B96 C96 E96 B97 C97 E97 B98 C98 E98 B99 C99 E99 B100 C100 E100 B101 C101 E101 B102 C102 E102 B103 C103 E10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23"/>
  <sheetViews>
    <sheetView workbookViewId="0">
      <selection activeCell="A1" sqref="A1"/>
    </sheetView>
  </sheetViews>
  <sheetFormatPr baseColWidth="8" defaultRowHeight="15"/>
  <cols>
    <col width="14" customWidth="1" min="1" max="1"/>
    <col width="16" customWidth="1" min="2" max="2"/>
    <col width="28" customWidth="1" min="3" max="3"/>
    <col width="14" customWidth="1" min="4" max="4"/>
    <col width="18" customWidth="1" min="5" max="5"/>
    <col width="18" customWidth="1" min="6" max="6"/>
    <col width="25" customWidth="1" min="7" max="7"/>
    <col width="16" customWidth="1" min="8" max="8"/>
    <col width="16" customWidth="1" min="9" max="9"/>
    <col width="18" customWidth="1" min="10" max="10"/>
    <col width="23" customWidth="1" min="11" max="11"/>
  </cols>
  <sheetData>
    <row r="1" ht="30" customHeight="1">
      <c r="A1" s="1" t="inlineStr">
        <is>
          <t>耐用性结果</t>
        </is>
      </c>
    </row>
    <row r="2" ht="30" customHeight="1">
      <c r="A2" s="4" t="inlineStr">
        <is>
          <t>impurity_id</t>
        </is>
      </c>
      <c r="B2" s="4" t="inlineStr">
        <is>
          <t>column_no</t>
        </is>
      </c>
      <c r="C2" s="4" t="inlineStr">
        <is>
          <t>solution_name</t>
        </is>
      </c>
      <c r="D2" s="4" t="inlineStr">
        <is>
          <t>level</t>
        </is>
      </c>
      <c r="E2" s="4" t="inlineStr">
        <is>
          <t>actual_concentration</t>
        </is>
      </c>
      <c r="F2" s="4" t="inlineStr">
        <is>
          <t>peak_area</t>
        </is>
      </c>
      <c r="G2" s="4" t="inlineStr">
        <is>
          <t>spiked_measured_concentration</t>
        </is>
      </c>
      <c r="H2" s="4" t="inlineStr">
        <is>
          <t>slope</t>
        </is>
      </c>
      <c r="I2" s="4" t="inlineStr">
        <is>
          <t>intercept</t>
        </is>
      </c>
      <c r="J2" s="4" t="inlineStr">
        <is>
          <t>correlation_coefficient</t>
        </is>
      </c>
      <c r="K2" s="4" t="inlineStr">
        <is>
          <t>column_concentration_ratio</t>
        </is>
      </c>
    </row>
    <row r="3" ht="30" customHeight="1">
      <c r="A3" s="5" t="inlineStr">
        <is>
          <t>杂质编号</t>
        </is>
      </c>
      <c r="B3" s="5" t="inlineStr">
        <is>
          <t>色谱柱编号</t>
        </is>
      </c>
      <c r="C3" s="5" t="inlineStr">
        <is>
          <t>溶液名称</t>
        </is>
      </c>
      <c r="D3" s="5" t="inlineStr">
        <is>
          <t>浓度级别</t>
        </is>
      </c>
      <c r="E3" s="5" t="inlineStr">
        <is>
          <t>实际浓度</t>
        </is>
      </c>
      <c r="F3" s="5" t="inlineStr">
        <is>
          <t>峰面积</t>
        </is>
      </c>
      <c r="G3" s="5" t="inlineStr">
        <is>
          <t>加标溶液测得浓度</t>
        </is>
      </c>
      <c r="H3" s="5" t="inlineStr">
        <is>
          <t>线性斜率</t>
        </is>
      </c>
      <c r="I3" s="5" t="inlineStr">
        <is>
          <t>线性截距</t>
        </is>
      </c>
      <c r="J3" s="5" t="inlineStr">
        <is>
          <t>线性相关系数</t>
        </is>
      </c>
      <c r="K3" s="5" t="inlineStr">
        <is>
          <t>两柱浓度比值（%）</t>
        </is>
      </c>
    </row>
    <row r="4" ht="22" customHeight="1">
      <c r="A4" s="6" t="inlineStr">
        <is>
          <t>IMP-01</t>
        </is>
      </c>
      <c r="B4" s="6" t="inlineStr">
        <is>
          <t>COLUMN-1</t>
        </is>
      </c>
      <c r="C4" s="7" t="n"/>
      <c r="D4" s="6" t="inlineStr">
        <is>
          <t>C1</t>
        </is>
      </c>
      <c r="E4" s="7" t="n"/>
      <c r="F4" s="7" t="n"/>
      <c r="G4" s="7" t="n"/>
      <c r="H4" s="9">
        <f>IFERROR(SLOPE(F4:F8,E4:E8),"")</f>
        <v/>
      </c>
      <c r="I4" s="9">
        <f>IFERROR(INTERCEPT(F4:F8,E4:E8),"")</f>
        <v/>
      </c>
      <c r="J4" s="11">
        <f>IFERROR(CORREL(F4:F8,E4:E8),"")</f>
        <v/>
      </c>
      <c r="K4" s="9">
        <f>IFERROR(G15/G9*100,"")</f>
        <v/>
      </c>
    </row>
    <row r="5" ht="22" customHeight="1">
      <c r="A5" s="6" t="inlineStr">
        <is>
          <t>IMP-01</t>
        </is>
      </c>
      <c r="B5" s="6" t="inlineStr">
        <is>
          <t>COLUMN-1</t>
        </is>
      </c>
      <c r="C5" s="7" t="n"/>
      <c r="D5" s="6" t="inlineStr">
        <is>
          <t>C2</t>
        </is>
      </c>
      <c r="E5" s="7" t="n"/>
      <c r="F5" s="7" t="n"/>
      <c r="G5" s="7" t="n"/>
      <c r="H5" s="9">
        <f>IFERROR(SLOPE(F4:F8,E4:E8),"")</f>
        <v/>
      </c>
      <c r="I5" s="9">
        <f>IFERROR(INTERCEPT(F4:F8,E4:E8),"")</f>
        <v/>
      </c>
      <c r="J5" s="11">
        <f>IFERROR(CORREL(F4:F8,E4:E8),"")</f>
        <v/>
      </c>
      <c r="K5" s="9">
        <f>IFERROR(G15/G9*100,"")</f>
        <v/>
      </c>
    </row>
    <row r="6" ht="22" customHeight="1">
      <c r="A6" s="6" t="inlineStr">
        <is>
          <t>IMP-01</t>
        </is>
      </c>
      <c r="B6" s="6" t="inlineStr">
        <is>
          <t>COLUMN-1</t>
        </is>
      </c>
      <c r="C6" s="7" t="n"/>
      <c r="D6" s="6" t="inlineStr">
        <is>
          <t>C3</t>
        </is>
      </c>
      <c r="E6" s="7" t="n"/>
      <c r="F6" s="7" t="n"/>
      <c r="G6" s="7" t="n"/>
      <c r="H6" s="9">
        <f>IFERROR(SLOPE(F4:F8,E4:E8),"")</f>
        <v/>
      </c>
      <c r="I6" s="9">
        <f>IFERROR(INTERCEPT(F4:F8,E4:E8),"")</f>
        <v/>
      </c>
      <c r="J6" s="11">
        <f>IFERROR(CORREL(F4:F8,E4:E8),"")</f>
        <v/>
      </c>
      <c r="K6" s="9">
        <f>IFERROR(G15/G9*100,"")</f>
        <v/>
      </c>
    </row>
    <row r="7" ht="22" customHeight="1">
      <c r="A7" s="6" t="inlineStr">
        <is>
          <t>IMP-01</t>
        </is>
      </c>
      <c r="B7" s="6" t="inlineStr">
        <is>
          <t>COLUMN-1</t>
        </is>
      </c>
      <c r="C7" s="7" t="n"/>
      <c r="D7" s="6" t="inlineStr">
        <is>
          <t>C4</t>
        </is>
      </c>
      <c r="E7" s="7" t="n"/>
      <c r="F7" s="7" t="n"/>
      <c r="G7" s="7" t="n"/>
      <c r="H7" s="9">
        <f>IFERROR(SLOPE(F4:F8,E4:E8),"")</f>
        <v/>
      </c>
      <c r="I7" s="9">
        <f>IFERROR(INTERCEPT(F4:F8,E4:E8),"")</f>
        <v/>
      </c>
      <c r="J7" s="11">
        <f>IFERROR(CORREL(F4:F8,E4:E8),"")</f>
        <v/>
      </c>
      <c r="K7" s="9">
        <f>IFERROR(G15/G9*100,"")</f>
        <v/>
      </c>
    </row>
    <row r="8" ht="22" customHeight="1">
      <c r="A8" s="6" t="inlineStr">
        <is>
          <t>IMP-01</t>
        </is>
      </c>
      <c r="B8" s="6" t="inlineStr">
        <is>
          <t>COLUMN-1</t>
        </is>
      </c>
      <c r="C8" s="7" t="n"/>
      <c r="D8" s="6" t="inlineStr">
        <is>
          <t>C5</t>
        </is>
      </c>
      <c r="E8" s="7" t="n"/>
      <c r="F8" s="7" t="n"/>
      <c r="G8" s="7" t="n"/>
      <c r="H8" s="9">
        <f>IFERROR(SLOPE(F4:F8,E4:E8),"")</f>
        <v/>
      </c>
      <c r="I8" s="9">
        <f>IFERROR(INTERCEPT(F4:F8,E4:E8),"")</f>
        <v/>
      </c>
      <c r="J8" s="11">
        <f>IFERROR(CORREL(F4:F8,E4:E8),"")</f>
        <v/>
      </c>
      <c r="K8" s="9">
        <f>IFERROR(G15/G9*100,"")</f>
        <v/>
      </c>
    </row>
    <row r="9" ht="22" customHeight="1">
      <c r="A9" s="6" t="inlineStr">
        <is>
          <t>IMP-01</t>
        </is>
      </c>
      <c r="B9" s="6" t="inlineStr">
        <is>
          <t>COLUMN-1</t>
        </is>
      </c>
      <c r="C9" s="7" t="n"/>
      <c r="D9" s="6" t="inlineStr">
        <is>
          <t>SPIKED</t>
        </is>
      </c>
      <c r="E9" s="7" t="n"/>
      <c r="F9" s="7" t="n"/>
      <c r="G9" s="7" t="n"/>
      <c r="H9" s="9">
        <f>IFERROR(SLOPE(F4:F8,E4:E8),"")</f>
        <v/>
      </c>
      <c r="I9" s="9">
        <f>IFERROR(INTERCEPT(F4:F8,E4:E8),"")</f>
        <v/>
      </c>
      <c r="J9" s="11">
        <f>IFERROR(CORREL(F4:F8,E4:E8),"")</f>
        <v/>
      </c>
      <c r="K9" s="9">
        <f>IFERROR(G15/G9*100,"")</f>
        <v/>
      </c>
    </row>
    <row r="10" ht="22" customHeight="1">
      <c r="A10" s="6" t="inlineStr">
        <is>
          <t>IMP-01</t>
        </is>
      </c>
      <c r="B10" s="6" t="inlineStr">
        <is>
          <t>COLUMN-2</t>
        </is>
      </c>
      <c r="C10" s="7" t="n"/>
      <c r="D10" s="6" t="inlineStr">
        <is>
          <t>C1</t>
        </is>
      </c>
      <c r="E10" s="7" t="n"/>
      <c r="F10" s="7" t="n"/>
      <c r="G10" s="7" t="n"/>
      <c r="H10" s="9">
        <f>IFERROR(SLOPE(F10:F14,E10:E14),"")</f>
        <v/>
      </c>
      <c r="I10" s="9">
        <f>IFERROR(INTERCEPT(F10:F14,E10:E14),"")</f>
        <v/>
      </c>
      <c r="J10" s="11">
        <f>IFERROR(CORREL(F10:F14,E10:E14),"")</f>
        <v/>
      </c>
      <c r="K10" s="9">
        <f>IFERROR(G15/G9*100,"")</f>
        <v/>
      </c>
    </row>
    <row r="11" ht="22" customHeight="1">
      <c r="A11" s="6" t="inlineStr">
        <is>
          <t>IMP-01</t>
        </is>
      </c>
      <c r="B11" s="6" t="inlineStr">
        <is>
          <t>COLUMN-2</t>
        </is>
      </c>
      <c r="C11" s="7" t="n"/>
      <c r="D11" s="6" t="inlineStr">
        <is>
          <t>C2</t>
        </is>
      </c>
      <c r="E11" s="7" t="n"/>
      <c r="F11" s="7" t="n"/>
      <c r="G11" s="7" t="n"/>
      <c r="H11" s="9">
        <f>IFERROR(SLOPE(F10:F14,E10:E14),"")</f>
        <v/>
      </c>
      <c r="I11" s="9">
        <f>IFERROR(INTERCEPT(F10:F14,E10:E14),"")</f>
        <v/>
      </c>
      <c r="J11" s="11">
        <f>IFERROR(CORREL(F10:F14,E10:E14),"")</f>
        <v/>
      </c>
      <c r="K11" s="9">
        <f>IFERROR(G15/G9*100,"")</f>
        <v/>
      </c>
    </row>
    <row r="12" ht="22" customHeight="1">
      <c r="A12" s="6" t="inlineStr">
        <is>
          <t>IMP-01</t>
        </is>
      </c>
      <c r="B12" s="6" t="inlineStr">
        <is>
          <t>COLUMN-2</t>
        </is>
      </c>
      <c r="C12" s="7" t="n"/>
      <c r="D12" s="6" t="inlineStr">
        <is>
          <t>C3</t>
        </is>
      </c>
      <c r="E12" s="7" t="n"/>
      <c r="F12" s="7" t="n"/>
      <c r="G12" s="7" t="n"/>
      <c r="H12" s="9">
        <f>IFERROR(SLOPE(F10:F14,E10:E14),"")</f>
        <v/>
      </c>
      <c r="I12" s="9">
        <f>IFERROR(INTERCEPT(F10:F14,E10:E14),"")</f>
        <v/>
      </c>
      <c r="J12" s="11">
        <f>IFERROR(CORREL(F10:F14,E10:E14),"")</f>
        <v/>
      </c>
      <c r="K12" s="9">
        <f>IFERROR(G15/G9*100,"")</f>
        <v/>
      </c>
    </row>
    <row r="13" ht="22" customHeight="1">
      <c r="A13" s="6" t="inlineStr">
        <is>
          <t>IMP-01</t>
        </is>
      </c>
      <c r="B13" s="6" t="inlineStr">
        <is>
          <t>COLUMN-2</t>
        </is>
      </c>
      <c r="C13" s="7" t="n"/>
      <c r="D13" s="6" t="inlineStr">
        <is>
          <t>C4</t>
        </is>
      </c>
      <c r="E13" s="7" t="n"/>
      <c r="F13" s="7" t="n"/>
      <c r="G13" s="7" t="n"/>
      <c r="H13" s="9">
        <f>IFERROR(SLOPE(F10:F14,E10:E14),"")</f>
        <v/>
      </c>
      <c r="I13" s="9">
        <f>IFERROR(INTERCEPT(F10:F14,E10:E14),"")</f>
        <v/>
      </c>
      <c r="J13" s="11">
        <f>IFERROR(CORREL(F10:F14,E10:E14),"")</f>
        <v/>
      </c>
      <c r="K13" s="9">
        <f>IFERROR(G15/G9*100,"")</f>
        <v/>
      </c>
    </row>
    <row r="14" ht="22" customHeight="1">
      <c r="A14" s="6" t="inlineStr">
        <is>
          <t>IMP-01</t>
        </is>
      </c>
      <c r="B14" s="6" t="inlineStr">
        <is>
          <t>COLUMN-2</t>
        </is>
      </c>
      <c r="C14" s="7" t="n"/>
      <c r="D14" s="6" t="inlineStr">
        <is>
          <t>C5</t>
        </is>
      </c>
      <c r="E14" s="7" t="n"/>
      <c r="F14" s="7" t="n"/>
      <c r="G14" s="7" t="n"/>
      <c r="H14" s="9">
        <f>IFERROR(SLOPE(F10:F14,E10:E14),"")</f>
        <v/>
      </c>
      <c r="I14" s="9">
        <f>IFERROR(INTERCEPT(F10:F14,E10:E14),"")</f>
        <v/>
      </c>
      <c r="J14" s="11">
        <f>IFERROR(CORREL(F10:F14,E10:E14),"")</f>
        <v/>
      </c>
      <c r="K14" s="9">
        <f>IFERROR(G15/G9*100,"")</f>
        <v/>
      </c>
    </row>
    <row r="15" ht="22" customHeight="1">
      <c r="A15" s="6" t="inlineStr">
        <is>
          <t>IMP-01</t>
        </is>
      </c>
      <c r="B15" s="6" t="inlineStr">
        <is>
          <t>COLUMN-2</t>
        </is>
      </c>
      <c r="C15" s="7" t="n"/>
      <c r="D15" s="6" t="inlineStr">
        <is>
          <t>SPIKED</t>
        </is>
      </c>
      <c r="E15" s="7" t="n"/>
      <c r="F15" s="7" t="n"/>
      <c r="G15" s="7" t="n"/>
      <c r="H15" s="9">
        <f>IFERROR(SLOPE(F10:F14,E10:E14),"")</f>
        <v/>
      </c>
      <c r="I15" s="9">
        <f>IFERROR(INTERCEPT(F10:F14,E10:E14),"")</f>
        <v/>
      </c>
      <c r="J15" s="11">
        <f>IFERROR(CORREL(F10:F14,E10:E14),"")</f>
        <v/>
      </c>
      <c r="K15" s="9">
        <f>IFERROR(G15/G9*100,"")</f>
        <v/>
      </c>
    </row>
    <row r="16" ht="22" customHeight="1">
      <c r="A16" s="6" t="inlineStr">
        <is>
          <t>IMP-02</t>
        </is>
      </c>
      <c r="B16" s="6" t="inlineStr">
        <is>
          <t>COLUMN-1</t>
        </is>
      </c>
      <c r="C16" s="7" t="n"/>
      <c r="D16" s="6" t="inlineStr">
        <is>
          <t>C1</t>
        </is>
      </c>
      <c r="E16" s="7" t="n"/>
      <c r="F16" s="7" t="n"/>
      <c r="G16" s="7" t="n"/>
      <c r="H16" s="9">
        <f>IFERROR(SLOPE(F16:F20,E16:E20),"")</f>
        <v/>
      </c>
      <c r="I16" s="9">
        <f>IFERROR(INTERCEPT(F16:F20,E16:E20),"")</f>
        <v/>
      </c>
      <c r="J16" s="11">
        <f>IFERROR(CORREL(F16:F20,E16:E20),"")</f>
        <v/>
      </c>
      <c r="K16" s="9">
        <f>IFERROR(G27/G21*100,"")</f>
        <v/>
      </c>
    </row>
    <row r="17" ht="22" customHeight="1">
      <c r="A17" s="6" t="inlineStr">
        <is>
          <t>IMP-02</t>
        </is>
      </c>
      <c r="B17" s="6" t="inlineStr">
        <is>
          <t>COLUMN-1</t>
        </is>
      </c>
      <c r="C17" s="7" t="n"/>
      <c r="D17" s="6" t="inlineStr">
        <is>
          <t>C2</t>
        </is>
      </c>
      <c r="E17" s="7" t="n"/>
      <c r="F17" s="7" t="n"/>
      <c r="G17" s="7" t="n"/>
      <c r="H17" s="9">
        <f>IFERROR(SLOPE(F16:F20,E16:E20),"")</f>
        <v/>
      </c>
      <c r="I17" s="9">
        <f>IFERROR(INTERCEPT(F16:F20,E16:E20),"")</f>
        <v/>
      </c>
      <c r="J17" s="11">
        <f>IFERROR(CORREL(F16:F20,E16:E20),"")</f>
        <v/>
      </c>
      <c r="K17" s="9">
        <f>IFERROR(G27/G21*100,"")</f>
        <v/>
      </c>
    </row>
    <row r="18" ht="22" customHeight="1">
      <c r="A18" s="6" t="inlineStr">
        <is>
          <t>IMP-02</t>
        </is>
      </c>
      <c r="B18" s="6" t="inlineStr">
        <is>
          <t>COLUMN-1</t>
        </is>
      </c>
      <c r="C18" s="7" t="n"/>
      <c r="D18" s="6" t="inlineStr">
        <is>
          <t>C3</t>
        </is>
      </c>
      <c r="E18" s="7" t="n"/>
      <c r="F18" s="7" t="n"/>
      <c r="G18" s="7" t="n"/>
      <c r="H18" s="9">
        <f>IFERROR(SLOPE(F16:F20,E16:E20),"")</f>
        <v/>
      </c>
      <c r="I18" s="9">
        <f>IFERROR(INTERCEPT(F16:F20,E16:E20),"")</f>
        <v/>
      </c>
      <c r="J18" s="11">
        <f>IFERROR(CORREL(F16:F20,E16:E20),"")</f>
        <v/>
      </c>
      <c r="K18" s="9">
        <f>IFERROR(G27/G21*100,"")</f>
        <v/>
      </c>
    </row>
    <row r="19" ht="22" customHeight="1">
      <c r="A19" s="6" t="inlineStr">
        <is>
          <t>IMP-02</t>
        </is>
      </c>
      <c r="B19" s="6" t="inlineStr">
        <is>
          <t>COLUMN-1</t>
        </is>
      </c>
      <c r="C19" s="7" t="n"/>
      <c r="D19" s="6" t="inlineStr">
        <is>
          <t>C4</t>
        </is>
      </c>
      <c r="E19" s="7" t="n"/>
      <c r="F19" s="7" t="n"/>
      <c r="G19" s="7" t="n"/>
      <c r="H19" s="9">
        <f>IFERROR(SLOPE(F16:F20,E16:E20),"")</f>
        <v/>
      </c>
      <c r="I19" s="9">
        <f>IFERROR(INTERCEPT(F16:F20,E16:E20),"")</f>
        <v/>
      </c>
      <c r="J19" s="11">
        <f>IFERROR(CORREL(F16:F20,E16:E20),"")</f>
        <v/>
      </c>
      <c r="K19" s="9">
        <f>IFERROR(G27/G21*100,"")</f>
        <v/>
      </c>
    </row>
    <row r="20" ht="22" customHeight="1">
      <c r="A20" s="6" t="inlineStr">
        <is>
          <t>IMP-02</t>
        </is>
      </c>
      <c r="B20" s="6" t="inlineStr">
        <is>
          <t>COLUMN-1</t>
        </is>
      </c>
      <c r="C20" s="7" t="n"/>
      <c r="D20" s="6" t="inlineStr">
        <is>
          <t>C5</t>
        </is>
      </c>
      <c r="E20" s="7" t="n"/>
      <c r="F20" s="7" t="n"/>
      <c r="G20" s="7" t="n"/>
      <c r="H20" s="9">
        <f>IFERROR(SLOPE(F16:F20,E16:E20),"")</f>
        <v/>
      </c>
      <c r="I20" s="9">
        <f>IFERROR(INTERCEPT(F16:F20,E16:E20),"")</f>
        <v/>
      </c>
      <c r="J20" s="11">
        <f>IFERROR(CORREL(F16:F20,E16:E20),"")</f>
        <v/>
      </c>
      <c r="K20" s="9">
        <f>IFERROR(G27/G21*100,"")</f>
        <v/>
      </c>
    </row>
    <row r="21" ht="22" customHeight="1">
      <c r="A21" s="6" t="inlineStr">
        <is>
          <t>IMP-02</t>
        </is>
      </c>
      <c r="B21" s="6" t="inlineStr">
        <is>
          <t>COLUMN-1</t>
        </is>
      </c>
      <c r="C21" s="7" t="n"/>
      <c r="D21" s="6" t="inlineStr">
        <is>
          <t>SPIKED</t>
        </is>
      </c>
      <c r="E21" s="7" t="n"/>
      <c r="F21" s="7" t="n"/>
      <c r="G21" s="7" t="n"/>
      <c r="H21" s="9">
        <f>IFERROR(SLOPE(F16:F20,E16:E20),"")</f>
        <v/>
      </c>
      <c r="I21" s="9">
        <f>IFERROR(INTERCEPT(F16:F20,E16:E20),"")</f>
        <v/>
      </c>
      <c r="J21" s="11">
        <f>IFERROR(CORREL(F16:F20,E16:E20),"")</f>
        <v/>
      </c>
      <c r="K21" s="9">
        <f>IFERROR(G27/G21*100,"")</f>
        <v/>
      </c>
    </row>
    <row r="22" ht="22" customHeight="1">
      <c r="A22" s="6" t="inlineStr">
        <is>
          <t>IMP-02</t>
        </is>
      </c>
      <c r="B22" s="6" t="inlineStr">
        <is>
          <t>COLUMN-2</t>
        </is>
      </c>
      <c r="C22" s="7" t="n"/>
      <c r="D22" s="6" t="inlineStr">
        <is>
          <t>C1</t>
        </is>
      </c>
      <c r="E22" s="7" t="n"/>
      <c r="F22" s="7" t="n"/>
      <c r="G22" s="7" t="n"/>
      <c r="H22" s="9">
        <f>IFERROR(SLOPE(F22:F26,E22:E26),"")</f>
        <v/>
      </c>
      <c r="I22" s="9">
        <f>IFERROR(INTERCEPT(F22:F26,E22:E26),"")</f>
        <v/>
      </c>
      <c r="J22" s="11">
        <f>IFERROR(CORREL(F22:F26,E22:E26),"")</f>
        <v/>
      </c>
      <c r="K22" s="9">
        <f>IFERROR(G27/G21*100,"")</f>
        <v/>
      </c>
    </row>
    <row r="23" ht="22" customHeight="1">
      <c r="A23" s="6" t="inlineStr">
        <is>
          <t>IMP-02</t>
        </is>
      </c>
      <c r="B23" s="6" t="inlineStr">
        <is>
          <t>COLUMN-2</t>
        </is>
      </c>
      <c r="C23" s="7" t="n"/>
      <c r="D23" s="6" t="inlineStr">
        <is>
          <t>C2</t>
        </is>
      </c>
      <c r="E23" s="7" t="n"/>
      <c r="F23" s="7" t="n"/>
      <c r="G23" s="7" t="n"/>
      <c r="H23" s="9">
        <f>IFERROR(SLOPE(F22:F26,E22:E26),"")</f>
        <v/>
      </c>
      <c r="I23" s="9">
        <f>IFERROR(INTERCEPT(F22:F26,E22:E26),"")</f>
        <v/>
      </c>
      <c r="J23" s="11">
        <f>IFERROR(CORREL(F22:F26,E22:E26),"")</f>
        <v/>
      </c>
      <c r="K23" s="9">
        <f>IFERROR(G27/G21*100,"")</f>
        <v/>
      </c>
    </row>
    <row r="24" ht="22" customHeight="1">
      <c r="A24" s="6" t="inlineStr">
        <is>
          <t>IMP-02</t>
        </is>
      </c>
      <c r="B24" s="6" t="inlineStr">
        <is>
          <t>COLUMN-2</t>
        </is>
      </c>
      <c r="C24" s="7" t="n"/>
      <c r="D24" s="6" t="inlineStr">
        <is>
          <t>C3</t>
        </is>
      </c>
      <c r="E24" s="7" t="n"/>
      <c r="F24" s="7" t="n"/>
      <c r="G24" s="7" t="n"/>
      <c r="H24" s="9">
        <f>IFERROR(SLOPE(F22:F26,E22:E26),"")</f>
        <v/>
      </c>
      <c r="I24" s="9">
        <f>IFERROR(INTERCEPT(F22:F26,E22:E26),"")</f>
        <v/>
      </c>
      <c r="J24" s="11">
        <f>IFERROR(CORREL(F22:F26,E22:E26),"")</f>
        <v/>
      </c>
      <c r="K24" s="9">
        <f>IFERROR(G27/G21*100,"")</f>
        <v/>
      </c>
    </row>
    <row r="25" ht="22" customHeight="1">
      <c r="A25" s="6" t="inlineStr">
        <is>
          <t>IMP-02</t>
        </is>
      </c>
      <c r="B25" s="6" t="inlineStr">
        <is>
          <t>COLUMN-2</t>
        </is>
      </c>
      <c r="C25" s="7" t="n"/>
      <c r="D25" s="6" t="inlineStr">
        <is>
          <t>C4</t>
        </is>
      </c>
      <c r="E25" s="7" t="n"/>
      <c r="F25" s="7" t="n"/>
      <c r="G25" s="7" t="n"/>
      <c r="H25" s="9">
        <f>IFERROR(SLOPE(F22:F26,E22:E26),"")</f>
        <v/>
      </c>
      <c r="I25" s="9">
        <f>IFERROR(INTERCEPT(F22:F26,E22:E26),"")</f>
        <v/>
      </c>
      <c r="J25" s="11">
        <f>IFERROR(CORREL(F22:F26,E22:E26),"")</f>
        <v/>
      </c>
      <c r="K25" s="9">
        <f>IFERROR(G27/G21*100,"")</f>
        <v/>
      </c>
    </row>
    <row r="26" ht="22" customHeight="1">
      <c r="A26" s="6" t="inlineStr">
        <is>
          <t>IMP-02</t>
        </is>
      </c>
      <c r="B26" s="6" t="inlineStr">
        <is>
          <t>COLUMN-2</t>
        </is>
      </c>
      <c r="C26" s="7" t="n"/>
      <c r="D26" s="6" t="inlineStr">
        <is>
          <t>C5</t>
        </is>
      </c>
      <c r="E26" s="7" t="n"/>
      <c r="F26" s="7" t="n"/>
      <c r="G26" s="7" t="n"/>
      <c r="H26" s="9">
        <f>IFERROR(SLOPE(F22:F26,E22:E26),"")</f>
        <v/>
      </c>
      <c r="I26" s="9">
        <f>IFERROR(INTERCEPT(F22:F26,E22:E26),"")</f>
        <v/>
      </c>
      <c r="J26" s="11">
        <f>IFERROR(CORREL(F22:F26,E22:E26),"")</f>
        <v/>
      </c>
      <c r="K26" s="9">
        <f>IFERROR(G27/G21*100,"")</f>
        <v/>
      </c>
    </row>
    <row r="27" ht="22" customHeight="1">
      <c r="A27" s="6" t="inlineStr">
        <is>
          <t>IMP-02</t>
        </is>
      </c>
      <c r="B27" s="6" t="inlineStr">
        <is>
          <t>COLUMN-2</t>
        </is>
      </c>
      <c r="C27" s="7" t="n"/>
      <c r="D27" s="6" t="inlineStr">
        <is>
          <t>SPIKED</t>
        </is>
      </c>
      <c r="E27" s="7" t="n"/>
      <c r="F27" s="7" t="n"/>
      <c r="G27" s="7" t="n"/>
      <c r="H27" s="9">
        <f>IFERROR(SLOPE(F22:F26,E22:E26),"")</f>
        <v/>
      </c>
      <c r="I27" s="9">
        <f>IFERROR(INTERCEPT(F22:F26,E22:E26),"")</f>
        <v/>
      </c>
      <c r="J27" s="11">
        <f>IFERROR(CORREL(F22:F26,E22:E26),"")</f>
        <v/>
      </c>
      <c r="K27" s="9">
        <f>IFERROR(G27/G21*100,"")</f>
        <v/>
      </c>
    </row>
    <row r="28" ht="22" customHeight="1">
      <c r="A28" s="6" t="inlineStr">
        <is>
          <t>IMP-03</t>
        </is>
      </c>
      <c r="B28" s="6" t="inlineStr">
        <is>
          <t>COLUMN-1</t>
        </is>
      </c>
      <c r="C28" s="7" t="n"/>
      <c r="D28" s="6" t="inlineStr">
        <is>
          <t>C1</t>
        </is>
      </c>
      <c r="E28" s="7" t="n"/>
      <c r="F28" s="7" t="n"/>
      <c r="G28" s="7" t="n"/>
      <c r="H28" s="9">
        <f>IFERROR(SLOPE(F28:F32,E28:E32),"")</f>
        <v/>
      </c>
      <c r="I28" s="9">
        <f>IFERROR(INTERCEPT(F28:F32,E28:E32),"")</f>
        <v/>
      </c>
      <c r="J28" s="11">
        <f>IFERROR(CORREL(F28:F32,E28:E32),"")</f>
        <v/>
      </c>
      <c r="K28" s="9">
        <f>IFERROR(G39/G33*100,"")</f>
        <v/>
      </c>
    </row>
    <row r="29" ht="22" customHeight="1">
      <c r="A29" s="6" t="inlineStr">
        <is>
          <t>IMP-03</t>
        </is>
      </c>
      <c r="B29" s="6" t="inlineStr">
        <is>
          <t>COLUMN-1</t>
        </is>
      </c>
      <c r="C29" s="7" t="n"/>
      <c r="D29" s="6" t="inlineStr">
        <is>
          <t>C2</t>
        </is>
      </c>
      <c r="E29" s="7" t="n"/>
      <c r="F29" s="7" t="n"/>
      <c r="G29" s="7" t="n"/>
      <c r="H29" s="9">
        <f>IFERROR(SLOPE(F28:F32,E28:E32),"")</f>
        <v/>
      </c>
      <c r="I29" s="9">
        <f>IFERROR(INTERCEPT(F28:F32,E28:E32),"")</f>
        <v/>
      </c>
      <c r="J29" s="11">
        <f>IFERROR(CORREL(F28:F32,E28:E32),"")</f>
        <v/>
      </c>
      <c r="K29" s="9">
        <f>IFERROR(G39/G33*100,"")</f>
        <v/>
      </c>
    </row>
    <row r="30" ht="22" customHeight="1">
      <c r="A30" s="6" t="inlineStr">
        <is>
          <t>IMP-03</t>
        </is>
      </c>
      <c r="B30" s="6" t="inlineStr">
        <is>
          <t>COLUMN-1</t>
        </is>
      </c>
      <c r="C30" s="7" t="n"/>
      <c r="D30" s="6" t="inlineStr">
        <is>
          <t>C3</t>
        </is>
      </c>
      <c r="E30" s="7" t="n"/>
      <c r="F30" s="7" t="n"/>
      <c r="G30" s="7" t="n"/>
      <c r="H30" s="9">
        <f>IFERROR(SLOPE(F28:F32,E28:E32),"")</f>
        <v/>
      </c>
      <c r="I30" s="9">
        <f>IFERROR(INTERCEPT(F28:F32,E28:E32),"")</f>
        <v/>
      </c>
      <c r="J30" s="11">
        <f>IFERROR(CORREL(F28:F32,E28:E32),"")</f>
        <v/>
      </c>
      <c r="K30" s="9">
        <f>IFERROR(G39/G33*100,"")</f>
        <v/>
      </c>
    </row>
    <row r="31" ht="22" customHeight="1">
      <c r="A31" s="6" t="inlineStr">
        <is>
          <t>IMP-03</t>
        </is>
      </c>
      <c r="B31" s="6" t="inlineStr">
        <is>
          <t>COLUMN-1</t>
        </is>
      </c>
      <c r="C31" s="7" t="n"/>
      <c r="D31" s="6" t="inlineStr">
        <is>
          <t>C4</t>
        </is>
      </c>
      <c r="E31" s="7" t="n"/>
      <c r="F31" s="7" t="n"/>
      <c r="G31" s="7" t="n"/>
      <c r="H31" s="9">
        <f>IFERROR(SLOPE(F28:F32,E28:E32),"")</f>
        <v/>
      </c>
      <c r="I31" s="9">
        <f>IFERROR(INTERCEPT(F28:F32,E28:E32),"")</f>
        <v/>
      </c>
      <c r="J31" s="11">
        <f>IFERROR(CORREL(F28:F32,E28:E32),"")</f>
        <v/>
      </c>
      <c r="K31" s="9">
        <f>IFERROR(G39/G33*100,"")</f>
        <v/>
      </c>
    </row>
    <row r="32" ht="22" customHeight="1">
      <c r="A32" s="6" t="inlineStr">
        <is>
          <t>IMP-03</t>
        </is>
      </c>
      <c r="B32" s="6" t="inlineStr">
        <is>
          <t>COLUMN-1</t>
        </is>
      </c>
      <c r="C32" s="7" t="n"/>
      <c r="D32" s="6" t="inlineStr">
        <is>
          <t>C5</t>
        </is>
      </c>
      <c r="E32" s="7" t="n"/>
      <c r="F32" s="7" t="n"/>
      <c r="G32" s="7" t="n"/>
      <c r="H32" s="9">
        <f>IFERROR(SLOPE(F28:F32,E28:E32),"")</f>
        <v/>
      </c>
      <c r="I32" s="9">
        <f>IFERROR(INTERCEPT(F28:F32,E28:E32),"")</f>
        <v/>
      </c>
      <c r="J32" s="11">
        <f>IFERROR(CORREL(F28:F32,E28:E32),"")</f>
        <v/>
      </c>
      <c r="K32" s="9">
        <f>IFERROR(G39/G33*100,"")</f>
        <v/>
      </c>
    </row>
    <row r="33" ht="22" customHeight="1">
      <c r="A33" s="6" t="inlineStr">
        <is>
          <t>IMP-03</t>
        </is>
      </c>
      <c r="B33" s="6" t="inlineStr">
        <is>
          <t>COLUMN-1</t>
        </is>
      </c>
      <c r="C33" s="7" t="n"/>
      <c r="D33" s="6" t="inlineStr">
        <is>
          <t>SPIKED</t>
        </is>
      </c>
      <c r="E33" s="7" t="n"/>
      <c r="F33" s="7" t="n"/>
      <c r="G33" s="7" t="n"/>
      <c r="H33" s="9">
        <f>IFERROR(SLOPE(F28:F32,E28:E32),"")</f>
        <v/>
      </c>
      <c r="I33" s="9">
        <f>IFERROR(INTERCEPT(F28:F32,E28:E32),"")</f>
        <v/>
      </c>
      <c r="J33" s="11">
        <f>IFERROR(CORREL(F28:F32,E28:E32),"")</f>
        <v/>
      </c>
      <c r="K33" s="9">
        <f>IFERROR(G39/G33*100,"")</f>
        <v/>
      </c>
    </row>
    <row r="34" ht="22" customHeight="1">
      <c r="A34" s="6" t="inlineStr">
        <is>
          <t>IMP-03</t>
        </is>
      </c>
      <c r="B34" s="6" t="inlineStr">
        <is>
          <t>COLUMN-2</t>
        </is>
      </c>
      <c r="C34" s="7" t="n"/>
      <c r="D34" s="6" t="inlineStr">
        <is>
          <t>C1</t>
        </is>
      </c>
      <c r="E34" s="7" t="n"/>
      <c r="F34" s="7" t="n"/>
      <c r="G34" s="7" t="n"/>
      <c r="H34" s="9">
        <f>IFERROR(SLOPE(F34:F38,E34:E38),"")</f>
        <v/>
      </c>
      <c r="I34" s="9">
        <f>IFERROR(INTERCEPT(F34:F38,E34:E38),"")</f>
        <v/>
      </c>
      <c r="J34" s="11">
        <f>IFERROR(CORREL(F34:F38,E34:E38),"")</f>
        <v/>
      </c>
      <c r="K34" s="9">
        <f>IFERROR(G39/G33*100,"")</f>
        <v/>
      </c>
    </row>
    <row r="35" ht="22" customHeight="1">
      <c r="A35" s="6" t="inlineStr">
        <is>
          <t>IMP-03</t>
        </is>
      </c>
      <c r="B35" s="6" t="inlineStr">
        <is>
          <t>COLUMN-2</t>
        </is>
      </c>
      <c r="C35" s="7" t="n"/>
      <c r="D35" s="6" t="inlineStr">
        <is>
          <t>C2</t>
        </is>
      </c>
      <c r="E35" s="7" t="n"/>
      <c r="F35" s="7" t="n"/>
      <c r="G35" s="7" t="n"/>
      <c r="H35" s="9">
        <f>IFERROR(SLOPE(F34:F38,E34:E38),"")</f>
        <v/>
      </c>
      <c r="I35" s="9">
        <f>IFERROR(INTERCEPT(F34:F38,E34:E38),"")</f>
        <v/>
      </c>
      <c r="J35" s="11">
        <f>IFERROR(CORREL(F34:F38,E34:E38),"")</f>
        <v/>
      </c>
      <c r="K35" s="9">
        <f>IFERROR(G39/G33*100,"")</f>
        <v/>
      </c>
    </row>
    <row r="36" ht="22" customHeight="1">
      <c r="A36" s="6" t="inlineStr">
        <is>
          <t>IMP-03</t>
        </is>
      </c>
      <c r="B36" s="6" t="inlineStr">
        <is>
          <t>COLUMN-2</t>
        </is>
      </c>
      <c r="C36" s="7" t="n"/>
      <c r="D36" s="6" t="inlineStr">
        <is>
          <t>C3</t>
        </is>
      </c>
      <c r="E36" s="7" t="n"/>
      <c r="F36" s="7" t="n"/>
      <c r="G36" s="7" t="n"/>
      <c r="H36" s="9">
        <f>IFERROR(SLOPE(F34:F38,E34:E38),"")</f>
        <v/>
      </c>
      <c r="I36" s="9">
        <f>IFERROR(INTERCEPT(F34:F38,E34:E38),"")</f>
        <v/>
      </c>
      <c r="J36" s="11">
        <f>IFERROR(CORREL(F34:F38,E34:E38),"")</f>
        <v/>
      </c>
      <c r="K36" s="9">
        <f>IFERROR(G39/G33*100,"")</f>
        <v/>
      </c>
    </row>
    <row r="37" ht="22" customHeight="1">
      <c r="A37" s="6" t="inlineStr">
        <is>
          <t>IMP-03</t>
        </is>
      </c>
      <c r="B37" s="6" t="inlineStr">
        <is>
          <t>COLUMN-2</t>
        </is>
      </c>
      <c r="C37" s="7" t="n"/>
      <c r="D37" s="6" t="inlineStr">
        <is>
          <t>C4</t>
        </is>
      </c>
      <c r="E37" s="7" t="n"/>
      <c r="F37" s="7" t="n"/>
      <c r="G37" s="7" t="n"/>
      <c r="H37" s="9">
        <f>IFERROR(SLOPE(F34:F38,E34:E38),"")</f>
        <v/>
      </c>
      <c r="I37" s="9">
        <f>IFERROR(INTERCEPT(F34:F38,E34:E38),"")</f>
        <v/>
      </c>
      <c r="J37" s="11">
        <f>IFERROR(CORREL(F34:F38,E34:E38),"")</f>
        <v/>
      </c>
      <c r="K37" s="9">
        <f>IFERROR(G39/G33*100,"")</f>
        <v/>
      </c>
    </row>
    <row r="38" ht="22" customHeight="1">
      <c r="A38" s="6" t="inlineStr">
        <is>
          <t>IMP-03</t>
        </is>
      </c>
      <c r="B38" s="6" t="inlineStr">
        <is>
          <t>COLUMN-2</t>
        </is>
      </c>
      <c r="C38" s="7" t="n"/>
      <c r="D38" s="6" t="inlineStr">
        <is>
          <t>C5</t>
        </is>
      </c>
      <c r="E38" s="7" t="n"/>
      <c r="F38" s="7" t="n"/>
      <c r="G38" s="7" t="n"/>
      <c r="H38" s="9">
        <f>IFERROR(SLOPE(F34:F38,E34:E38),"")</f>
        <v/>
      </c>
      <c r="I38" s="9">
        <f>IFERROR(INTERCEPT(F34:F38,E34:E38),"")</f>
        <v/>
      </c>
      <c r="J38" s="11">
        <f>IFERROR(CORREL(F34:F38,E34:E38),"")</f>
        <v/>
      </c>
      <c r="K38" s="9">
        <f>IFERROR(G39/G33*100,"")</f>
        <v/>
      </c>
    </row>
    <row r="39" ht="22" customHeight="1">
      <c r="A39" s="6" t="inlineStr">
        <is>
          <t>IMP-03</t>
        </is>
      </c>
      <c r="B39" s="6" t="inlineStr">
        <is>
          <t>COLUMN-2</t>
        </is>
      </c>
      <c r="C39" s="7" t="n"/>
      <c r="D39" s="6" t="inlineStr">
        <is>
          <t>SPIKED</t>
        </is>
      </c>
      <c r="E39" s="7" t="n"/>
      <c r="F39" s="7" t="n"/>
      <c r="G39" s="7" t="n"/>
      <c r="H39" s="9">
        <f>IFERROR(SLOPE(F34:F38,E34:E38),"")</f>
        <v/>
      </c>
      <c r="I39" s="9">
        <f>IFERROR(INTERCEPT(F34:F38,E34:E38),"")</f>
        <v/>
      </c>
      <c r="J39" s="11">
        <f>IFERROR(CORREL(F34:F38,E34:E38),"")</f>
        <v/>
      </c>
      <c r="K39" s="9">
        <f>IFERROR(G39/G33*100,"")</f>
        <v/>
      </c>
    </row>
    <row r="40" ht="22" customHeight="1">
      <c r="A40" s="6" t="inlineStr">
        <is>
          <t>IMP-04</t>
        </is>
      </c>
      <c r="B40" s="6" t="inlineStr">
        <is>
          <t>COLUMN-1</t>
        </is>
      </c>
      <c r="C40" s="7" t="n"/>
      <c r="D40" s="6" t="inlineStr">
        <is>
          <t>C1</t>
        </is>
      </c>
      <c r="E40" s="7" t="n"/>
      <c r="F40" s="7" t="n"/>
      <c r="G40" s="7" t="n"/>
      <c r="H40" s="9">
        <f>IFERROR(SLOPE(F40:F44,E40:E44),"")</f>
        <v/>
      </c>
      <c r="I40" s="9">
        <f>IFERROR(INTERCEPT(F40:F44,E40:E44),"")</f>
        <v/>
      </c>
      <c r="J40" s="11">
        <f>IFERROR(CORREL(F40:F44,E40:E44),"")</f>
        <v/>
      </c>
      <c r="K40" s="9">
        <f>IFERROR(G51/G45*100,"")</f>
        <v/>
      </c>
    </row>
    <row r="41" ht="22" customHeight="1">
      <c r="A41" s="6" t="inlineStr">
        <is>
          <t>IMP-04</t>
        </is>
      </c>
      <c r="B41" s="6" t="inlineStr">
        <is>
          <t>COLUMN-1</t>
        </is>
      </c>
      <c r="C41" s="7" t="n"/>
      <c r="D41" s="6" t="inlineStr">
        <is>
          <t>C2</t>
        </is>
      </c>
      <c r="E41" s="7" t="n"/>
      <c r="F41" s="7" t="n"/>
      <c r="G41" s="7" t="n"/>
      <c r="H41" s="9">
        <f>IFERROR(SLOPE(F40:F44,E40:E44),"")</f>
        <v/>
      </c>
      <c r="I41" s="9">
        <f>IFERROR(INTERCEPT(F40:F44,E40:E44),"")</f>
        <v/>
      </c>
      <c r="J41" s="11">
        <f>IFERROR(CORREL(F40:F44,E40:E44),"")</f>
        <v/>
      </c>
      <c r="K41" s="9">
        <f>IFERROR(G51/G45*100,"")</f>
        <v/>
      </c>
    </row>
    <row r="42" ht="22" customHeight="1">
      <c r="A42" s="6" t="inlineStr">
        <is>
          <t>IMP-04</t>
        </is>
      </c>
      <c r="B42" s="6" t="inlineStr">
        <is>
          <t>COLUMN-1</t>
        </is>
      </c>
      <c r="C42" s="7" t="n"/>
      <c r="D42" s="6" t="inlineStr">
        <is>
          <t>C3</t>
        </is>
      </c>
      <c r="E42" s="7" t="n"/>
      <c r="F42" s="7" t="n"/>
      <c r="G42" s="7" t="n"/>
      <c r="H42" s="9">
        <f>IFERROR(SLOPE(F40:F44,E40:E44),"")</f>
        <v/>
      </c>
      <c r="I42" s="9">
        <f>IFERROR(INTERCEPT(F40:F44,E40:E44),"")</f>
        <v/>
      </c>
      <c r="J42" s="11">
        <f>IFERROR(CORREL(F40:F44,E40:E44),"")</f>
        <v/>
      </c>
      <c r="K42" s="9">
        <f>IFERROR(G51/G45*100,"")</f>
        <v/>
      </c>
    </row>
    <row r="43" ht="22" customHeight="1">
      <c r="A43" s="6" t="inlineStr">
        <is>
          <t>IMP-04</t>
        </is>
      </c>
      <c r="B43" s="6" t="inlineStr">
        <is>
          <t>COLUMN-1</t>
        </is>
      </c>
      <c r="C43" s="7" t="n"/>
      <c r="D43" s="6" t="inlineStr">
        <is>
          <t>C4</t>
        </is>
      </c>
      <c r="E43" s="7" t="n"/>
      <c r="F43" s="7" t="n"/>
      <c r="G43" s="7" t="n"/>
      <c r="H43" s="9">
        <f>IFERROR(SLOPE(F40:F44,E40:E44),"")</f>
        <v/>
      </c>
      <c r="I43" s="9">
        <f>IFERROR(INTERCEPT(F40:F44,E40:E44),"")</f>
        <v/>
      </c>
      <c r="J43" s="11">
        <f>IFERROR(CORREL(F40:F44,E40:E44),"")</f>
        <v/>
      </c>
      <c r="K43" s="9">
        <f>IFERROR(G51/G45*100,"")</f>
        <v/>
      </c>
    </row>
    <row r="44" ht="22" customHeight="1">
      <c r="A44" s="6" t="inlineStr">
        <is>
          <t>IMP-04</t>
        </is>
      </c>
      <c r="B44" s="6" t="inlineStr">
        <is>
          <t>COLUMN-1</t>
        </is>
      </c>
      <c r="C44" s="7" t="n"/>
      <c r="D44" s="6" t="inlineStr">
        <is>
          <t>C5</t>
        </is>
      </c>
      <c r="E44" s="7" t="n"/>
      <c r="F44" s="7" t="n"/>
      <c r="G44" s="7" t="n"/>
      <c r="H44" s="9">
        <f>IFERROR(SLOPE(F40:F44,E40:E44),"")</f>
        <v/>
      </c>
      <c r="I44" s="9">
        <f>IFERROR(INTERCEPT(F40:F44,E40:E44),"")</f>
        <v/>
      </c>
      <c r="J44" s="11">
        <f>IFERROR(CORREL(F40:F44,E40:E44),"")</f>
        <v/>
      </c>
      <c r="K44" s="9">
        <f>IFERROR(G51/G45*100,"")</f>
        <v/>
      </c>
    </row>
    <row r="45" ht="22" customHeight="1">
      <c r="A45" s="6" t="inlineStr">
        <is>
          <t>IMP-04</t>
        </is>
      </c>
      <c r="B45" s="6" t="inlineStr">
        <is>
          <t>COLUMN-1</t>
        </is>
      </c>
      <c r="C45" s="7" t="n"/>
      <c r="D45" s="6" t="inlineStr">
        <is>
          <t>SPIKED</t>
        </is>
      </c>
      <c r="E45" s="7" t="n"/>
      <c r="F45" s="7" t="n"/>
      <c r="G45" s="7" t="n"/>
      <c r="H45" s="9">
        <f>IFERROR(SLOPE(F40:F44,E40:E44),"")</f>
        <v/>
      </c>
      <c r="I45" s="9">
        <f>IFERROR(INTERCEPT(F40:F44,E40:E44),"")</f>
        <v/>
      </c>
      <c r="J45" s="11">
        <f>IFERROR(CORREL(F40:F44,E40:E44),"")</f>
        <v/>
      </c>
      <c r="K45" s="9">
        <f>IFERROR(G51/G45*100,"")</f>
        <v/>
      </c>
    </row>
    <row r="46" ht="22" customHeight="1">
      <c r="A46" s="6" t="inlineStr">
        <is>
          <t>IMP-04</t>
        </is>
      </c>
      <c r="B46" s="6" t="inlineStr">
        <is>
          <t>COLUMN-2</t>
        </is>
      </c>
      <c r="C46" s="7" t="n"/>
      <c r="D46" s="6" t="inlineStr">
        <is>
          <t>C1</t>
        </is>
      </c>
      <c r="E46" s="7" t="n"/>
      <c r="F46" s="7" t="n"/>
      <c r="G46" s="7" t="n"/>
      <c r="H46" s="9">
        <f>IFERROR(SLOPE(F46:F50,E46:E50),"")</f>
        <v/>
      </c>
      <c r="I46" s="9">
        <f>IFERROR(INTERCEPT(F46:F50,E46:E50),"")</f>
        <v/>
      </c>
      <c r="J46" s="11">
        <f>IFERROR(CORREL(F46:F50,E46:E50),"")</f>
        <v/>
      </c>
      <c r="K46" s="9">
        <f>IFERROR(G51/G45*100,"")</f>
        <v/>
      </c>
    </row>
    <row r="47" ht="22" customHeight="1">
      <c r="A47" s="6" t="inlineStr">
        <is>
          <t>IMP-04</t>
        </is>
      </c>
      <c r="B47" s="6" t="inlineStr">
        <is>
          <t>COLUMN-2</t>
        </is>
      </c>
      <c r="C47" s="7" t="n"/>
      <c r="D47" s="6" t="inlineStr">
        <is>
          <t>C2</t>
        </is>
      </c>
      <c r="E47" s="7" t="n"/>
      <c r="F47" s="7" t="n"/>
      <c r="G47" s="7" t="n"/>
      <c r="H47" s="9">
        <f>IFERROR(SLOPE(F46:F50,E46:E50),"")</f>
        <v/>
      </c>
      <c r="I47" s="9">
        <f>IFERROR(INTERCEPT(F46:F50,E46:E50),"")</f>
        <v/>
      </c>
      <c r="J47" s="11">
        <f>IFERROR(CORREL(F46:F50,E46:E50),"")</f>
        <v/>
      </c>
      <c r="K47" s="9">
        <f>IFERROR(G51/G45*100,"")</f>
        <v/>
      </c>
    </row>
    <row r="48" ht="22" customHeight="1">
      <c r="A48" s="6" t="inlineStr">
        <is>
          <t>IMP-04</t>
        </is>
      </c>
      <c r="B48" s="6" t="inlineStr">
        <is>
          <t>COLUMN-2</t>
        </is>
      </c>
      <c r="C48" s="7" t="n"/>
      <c r="D48" s="6" t="inlineStr">
        <is>
          <t>C3</t>
        </is>
      </c>
      <c r="E48" s="7" t="n"/>
      <c r="F48" s="7" t="n"/>
      <c r="G48" s="7" t="n"/>
      <c r="H48" s="9">
        <f>IFERROR(SLOPE(F46:F50,E46:E50),"")</f>
        <v/>
      </c>
      <c r="I48" s="9">
        <f>IFERROR(INTERCEPT(F46:F50,E46:E50),"")</f>
        <v/>
      </c>
      <c r="J48" s="11">
        <f>IFERROR(CORREL(F46:F50,E46:E50),"")</f>
        <v/>
      </c>
      <c r="K48" s="9">
        <f>IFERROR(G51/G45*100,"")</f>
        <v/>
      </c>
    </row>
    <row r="49" ht="22" customHeight="1">
      <c r="A49" s="6" t="inlineStr">
        <is>
          <t>IMP-04</t>
        </is>
      </c>
      <c r="B49" s="6" t="inlineStr">
        <is>
          <t>COLUMN-2</t>
        </is>
      </c>
      <c r="C49" s="7" t="n"/>
      <c r="D49" s="6" t="inlineStr">
        <is>
          <t>C4</t>
        </is>
      </c>
      <c r="E49" s="7" t="n"/>
      <c r="F49" s="7" t="n"/>
      <c r="G49" s="7" t="n"/>
      <c r="H49" s="9">
        <f>IFERROR(SLOPE(F46:F50,E46:E50),"")</f>
        <v/>
      </c>
      <c r="I49" s="9">
        <f>IFERROR(INTERCEPT(F46:F50,E46:E50),"")</f>
        <v/>
      </c>
      <c r="J49" s="11">
        <f>IFERROR(CORREL(F46:F50,E46:E50),"")</f>
        <v/>
      </c>
      <c r="K49" s="9">
        <f>IFERROR(G51/G45*100,"")</f>
        <v/>
      </c>
    </row>
    <row r="50" ht="22" customHeight="1">
      <c r="A50" s="6" t="inlineStr">
        <is>
          <t>IMP-04</t>
        </is>
      </c>
      <c r="B50" s="6" t="inlineStr">
        <is>
          <t>COLUMN-2</t>
        </is>
      </c>
      <c r="C50" s="7" t="n"/>
      <c r="D50" s="6" t="inlineStr">
        <is>
          <t>C5</t>
        </is>
      </c>
      <c r="E50" s="7" t="n"/>
      <c r="F50" s="7" t="n"/>
      <c r="G50" s="7" t="n"/>
      <c r="H50" s="9">
        <f>IFERROR(SLOPE(F46:F50,E46:E50),"")</f>
        <v/>
      </c>
      <c r="I50" s="9">
        <f>IFERROR(INTERCEPT(F46:F50,E46:E50),"")</f>
        <v/>
      </c>
      <c r="J50" s="11">
        <f>IFERROR(CORREL(F46:F50,E46:E50),"")</f>
        <v/>
      </c>
      <c r="K50" s="9">
        <f>IFERROR(G51/G45*100,"")</f>
        <v/>
      </c>
    </row>
    <row r="51" ht="22" customHeight="1">
      <c r="A51" s="6" t="inlineStr">
        <is>
          <t>IMP-04</t>
        </is>
      </c>
      <c r="B51" s="6" t="inlineStr">
        <is>
          <t>COLUMN-2</t>
        </is>
      </c>
      <c r="C51" s="7" t="n"/>
      <c r="D51" s="6" t="inlineStr">
        <is>
          <t>SPIKED</t>
        </is>
      </c>
      <c r="E51" s="7" t="n"/>
      <c r="F51" s="7" t="n"/>
      <c r="G51" s="7" t="n"/>
      <c r="H51" s="9">
        <f>IFERROR(SLOPE(F46:F50,E46:E50),"")</f>
        <v/>
      </c>
      <c r="I51" s="9">
        <f>IFERROR(INTERCEPT(F46:F50,E46:E50),"")</f>
        <v/>
      </c>
      <c r="J51" s="11">
        <f>IFERROR(CORREL(F46:F50,E46:E50),"")</f>
        <v/>
      </c>
      <c r="K51" s="9">
        <f>IFERROR(G51/G45*100,"")</f>
        <v/>
      </c>
    </row>
    <row r="52" ht="22" customHeight="1">
      <c r="A52" s="6" t="inlineStr">
        <is>
          <t>IMP-05</t>
        </is>
      </c>
      <c r="B52" s="6" t="inlineStr">
        <is>
          <t>COLUMN-1</t>
        </is>
      </c>
      <c r="C52" s="7" t="n"/>
      <c r="D52" s="6" t="inlineStr">
        <is>
          <t>C1</t>
        </is>
      </c>
      <c r="E52" s="7" t="n"/>
      <c r="F52" s="7" t="n"/>
      <c r="G52" s="7" t="n"/>
      <c r="H52" s="9">
        <f>IFERROR(SLOPE(F52:F56,E52:E56),"")</f>
        <v/>
      </c>
      <c r="I52" s="9">
        <f>IFERROR(INTERCEPT(F52:F56,E52:E56),"")</f>
        <v/>
      </c>
      <c r="J52" s="11">
        <f>IFERROR(CORREL(F52:F56,E52:E56),"")</f>
        <v/>
      </c>
      <c r="K52" s="9">
        <f>IFERROR(G63/G57*100,"")</f>
        <v/>
      </c>
    </row>
    <row r="53" ht="22" customHeight="1">
      <c r="A53" s="6" t="inlineStr">
        <is>
          <t>IMP-05</t>
        </is>
      </c>
      <c r="B53" s="6" t="inlineStr">
        <is>
          <t>COLUMN-1</t>
        </is>
      </c>
      <c r="C53" s="7" t="n"/>
      <c r="D53" s="6" t="inlineStr">
        <is>
          <t>C2</t>
        </is>
      </c>
      <c r="E53" s="7" t="n"/>
      <c r="F53" s="7" t="n"/>
      <c r="G53" s="7" t="n"/>
      <c r="H53" s="9">
        <f>IFERROR(SLOPE(F52:F56,E52:E56),"")</f>
        <v/>
      </c>
      <c r="I53" s="9">
        <f>IFERROR(INTERCEPT(F52:F56,E52:E56),"")</f>
        <v/>
      </c>
      <c r="J53" s="11">
        <f>IFERROR(CORREL(F52:F56,E52:E56),"")</f>
        <v/>
      </c>
      <c r="K53" s="9">
        <f>IFERROR(G63/G57*100,"")</f>
        <v/>
      </c>
    </row>
    <row r="54" ht="22" customHeight="1">
      <c r="A54" s="6" t="inlineStr">
        <is>
          <t>IMP-05</t>
        </is>
      </c>
      <c r="B54" s="6" t="inlineStr">
        <is>
          <t>COLUMN-1</t>
        </is>
      </c>
      <c r="C54" s="7" t="n"/>
      <c r="D54" s="6" t="inlineStr">
        <is>
          <t>C3</t>
        </is>
      </c>
      <c r="E54" s="7" t="n"/>
      <c r="F54" s="7" t="n"/>
      <c r="G54" s="7" t="n"/>
      <c r="H54" s="9">
        <f>IFERROR(SLOPE(F52:F56,E52:E56),"")</f>
        <v/>
      </c>
      <c r="I54" s="9">
        <f>IFERROR(INTERCEPT(F52:F56,E52:E56),"")</f>
        <v/>
      </c>
      <c r="J54" s="11">
        <f>IFERROR(CORREL(F52:F56,E52:E56),"")</f>
        <v/>
      </c>
      <c r="K54" s="9">
        <f>IFERROR(G63/G57*100,"")</f>
        <v/>
      </c>
    </row>
    <row r="55" ht="22" customHeight="1">
      <c r="A55" s="6" t="inlineStr">
        <is>
          <t>IMP-05</t>
        </is>
      </c>
      <c r="B55" s="6" t="inlineStr">
        <is>
          <t>COLUMN-1</t>
        </is>
      </c>
      <c r="C55" s="7" t="n"/>
      <c r="D55" s="6" t="inlineStr">
        <is>
          <t>C4</t>
        </is>
      </c>
      <c r="E55" s="7" t="n"/>
      <c r="F55" s="7" t="n"/>
      <c r="G55" s="7" t="n"/>
      <c r="H55" s="9">
        <f>IFERROR(SLOPE(F52:F56,E52:E56),"")</f>
        <v/>
      </c>
      <c r="I55" s="9">
        <f>IFERROR(INTERCEPT(F52:F56,E52:E56),"")</f>
        <v/>
      </c>
      <c r="J55" s="11">
        <f>IFERROR(CORREL(F52:F56,E52:E56),"")</f>
        <v/>
      </c>
      <c r="K55" s="9">
        <f>IFERROR(G63/G57*100,"")</f>
        <v/>
      </c>
    </row>
    <row r="56" ht="22" customHeight="1">
      <c r="A56" s="6" t="inlineStr">
        <is>
          <t>IMP-05</t>
        </is>
      </c>
      <c r="B56" s="6" t="inlineStr">
        <is>
          <t>COLUMN-1</t>
        </is>
      </c>
      <c r="C56" s="7" t="n"/>
      <c r="D56" s="6" t="inlineStr">
        <is>
          <t>C5</t>
        </is>
      </c>
      <c r="E56" s="7" t="n"/>
      <c r="F56" s="7" t="n"/>
      <c r="G56" s="7" t="n"/>
      <c r="H56" s="9">
        <f>IFERROR(SLOPE(F52:F56,E52:E56),"")</f>
        <v/>
      </c>
      <c r="I56" s="9">
        <f>IFERROR(INTERCEPT(F52:F56,E52:E56),"")</f>
        <v/>
      </c>
      <c r="J56" s="11">
        <f>IFERROR(CORREL(F52:F56,E52:E56),"")</f>
        <v/>
      </c>
      <c r="K56" s="9">
        <f>IFERROR(G63/G57*100,"")</f>
        <v/>
      </c>
    </row>
    <row r="57" ht="22" customHeight="1">
      <c r="A57" s="6" t="inlineStr">
        <is>
          <t>IMP-05</t>
        </is>
      </c>
      <c r="B57" s="6" t="inlineStr">
        <is>
          <t>COLUMN-1</t>
        </is>
      </c>
      <c r="C57" s="7" t="n"/>
      <c r="D57" s="6" t="inlineStr">
        <is>
          <t>SPIKED</t>
        </is>
      </c>
      <c r="E57" s="7" t="n"/>
      <c r="F57" s="7" t="n"/>
      <c r="G57" s="7" t="n"/>
      <c r="H57" s="9">
        <f>IFERROR(SLOPE(F52:F56,E52:E56),"")</f>
        <v/>
      </c>
      <c r="I57" s="9">
        <f>IFERROR(INTERCEPT(F52:F56,E52:E56),"")</f>
        <v/>
      </c>
      <c r="J57" s="11">
        <f>IFERROR(CORREL(F52:F56,E52:E56),"")</f>
        <v/>
      </c>
      <c r="K57" s="9">
        <f>IFERROR(G63/G57*100,"")</f>
        <v/>
      </c>
    </row>
    <row r="58" ht="22" customHeight="1">
      <c r="A58" s="6" t="inlineStr">
        <is>
          <t>IMP-05</t>
        </is>
      </c>
      <c r="B58" s="6" t="inlineStr">
        <is>
          <t>COLUMN-2</t>
        </is>
      </c>
      <c r="C58" s="7" t="n"/>
      <c r="D58" s="6" t="inlineStr">
        <is>
          <t>C1</t>
        </is>
      </c>
      <c r="E58" s="7" t="n"/>
      <c r="F58" s="7" t="n"/>
      <c r="G58" s="7" t="n"/>
      <c r="H58" s="9">
        <f>IFERROR(SLOPE(F58:F62,E58:E62),"")</f>
        <v/>
      </c>
      <c r="I58" s="9">
        <f>IFERROR(INTERCEPT(F58:F62,E58:E62),"")</f>
        <v/>
      </c>
      <c r="J58" s="11">
        <f>IFERROR(CORREL(F58:F62,E58:E62),"")</f>
        <v/>
      </c>
      <c r="K58" s="9">
        <f>IFERROR(G63/G57*100,"")</f>
        <v/>
      </c>
    </row>
    <row r="59" ht="22" customHeight="1">
      <c r="A59" s="6" t="inlineStr">
        <is>
          <t>IMP-05</t>
        </is>
      </c>
      <c r="B59" s="6" t="inlineStr">
        <is>
          <t>COLUMN-2</t>
        </is>
      </c>
      <c r="C59" s="7" t="n"/>
      <c r="D59" s="6" t="inlineStr">
        <is>
          <t>C2</t>
        </is>
      </c>
      <c r="E59" s="7" t="n"/>
      <c r="F59" s="7" t="n"/>
      <c r="G59" s="7" t="n"/>
      <c r="H59" s="9">
        <f>IFERROR(SLOPE(F58:F62,E58:E62),"")</f>
        <v/>
      </c>
      <c r="I59" s="9">
        <f>IFERROR(INTERCEPT(F58:F62,E58:E62),"")</f>
        <v/>
      </c>
      <c r="J59" s="11">
        <f>IFERROR(CORREL(F58:F62,E58:E62),"")</f>
        <v/>
      </c>
      <c r="K59" s="9">
        <f>IFERROR(G63/G57*100,"")</f>
        <v/>
      </c>
    </row>
    <row r="60" ht="22" customHeight="1">
      <c r="A60" s="6" t="inlineStr">
        <is>
          <t>IMP-05</t>
        </is>
      </c>
      <c r="B60" s="6" t="inlineStr">
        <is>
          <t>COLUMN-2</t>
        </is>
      </c>
      <c r="C60" s="7" t="n"/>
      <c r="D60" s="6" t="inlineStr">
        <is>
          <t>C3</t>
        </is>
      </c>
      <c r="E60" s="7" t="n"/>
      <c r="F60" s="7" t="n"/>
      <c r="G60" s="7" t="n"/>
      <c r="H60" s="9">
        <f>IFERROR(SLOPE(F58:F62,E58:E62),"")</f>
        <v/>
      </c>
      <c r="I60" s="9">
        <f>IFERROR(INTERCEPT(F58:F62,E58:E62),"")</f>
        <v/>
      </c>
      <c r="J60" s="11">
        <f>IFERROR(CORREL(F58:F62,E58:E62),"")</f>
        <v/>
      </c>
      <c r="K60" s="9">
        <f>IFERROR(G63/G57*100,"")</f>
        <v/>
      </c>
    </row>
    <row r="61" ht="22" customHeight="1">
      <c r="A61" s="6" t="inlineStr">
        <is>
          <t>IMP-05</t>
        </is>
      </c>
      <c r="B61" s="6" t="inlineStr">
        <is>
          <t>COLUMN-2</t>
        </is>
      </c>
      <c r="C61" s="7" t="n"/>
      <c r="D61" s="6" t="inlineStr">
        <is>
          <t>C4</t>
        </is>
      </c>
      <c r="E61" s="7" t="n"/>
      <c r="F61" s="7" t="n"/>
      <c r="G61" s="7" t="n"/>
      <c r="H61" s="9">
        <f>IFERROR(SLOPE(F58:F62,E58:E62),"")</f>
        <v/>
      </c>
      <c r="I61" s="9">
        <f>IFERROR(INTERCEPT(F58:F62,E58:E62),"")</f>
        <v/>
      </c>
      <c r="J61" s="11">
        <f>IFERROR(CORREL(F58:F62,E58:E62),"")</f>
        <v/>
      </c>
      <c r="K61" s="9">
        <f>IFERROR(G63/G57*100,"")</f>
        <v/>
      </c>
    </row>
    <row r="62" ht="22" customHeight="1">
      <c r="A62" s="6" t="inlineStr">
        <is>
          <t>IMP-05</t>
        </is>
      </c>
      <c r="B62" s="6" t="inlineStr">
        <is>
          <t>COLUMN-2</t>
        </is>
      </c>
      <c r="C62" s="7" t="n"/>
      <c r="D62" s="6" t="inlineStr">
        <is>
          <t>C5</t>
        </is>
      </c>
      <c r="E62" s="7" t="n"/>
      <c r="F62" s="7" t="n"/>
      <c r="G62" s="7" t="n"/>
      <c r="H62" s="9">
        <f>IFERROR(SLOPE(F58:F62,E58:E62),"")</f>
        <v/>
      </c>
      <c r="I62" s="9">
        <f>IFERROR(INTERCEPT(F58:F62,E58:E62),"")</f>
        <v/>
      </c>
      <c r="J62" s="11">
        <f>IFERROR(CORREL(F58:F62,E58:E62),"")</f>
        <v/>
      </c>
      <c r="K62" s="9">
        <f>IFERROR(G63/G57*100,"")</f>
        <v/>
      </c>
    </row>
    <row r="63" ht="22" customHeight="1">
      <c r="A63" s="6" t="inlineStr">
        <is>
          <t>IMP-05</t>
        </is>
      </c>
      <c r="B63" s="6" t="inlineStr">
        <is>
          <t>COLUMN-2</t>
        </is>
      </c>
      <c r="C63" s="7" t="n"/>
      <c r="D63" s="6" t="inlineStr">
        <is>
          <t>SPIKED</t>
        </is>
      </c>
      <c r="E63" s="7" t="n"/>
      <c r="F63" s="7" t="n"/>
      <c r="G63" s="7" t="n"/>
      <c r="H63" s="9">
        <f>IFERROR(SLOPE(F58:F62,E58:E62),"")</f>
        <v/>
      </c>
      <c r="I63" s="9">
        <f>IFERROR(INTERCEPT(F58:F62,E58:E62),"")</f>
        <v/>
      </c>
      <c r="J63" s="11">
        <f>IFERROR(CORREL(F58:F62,E58:E62),"")</f>
        <v/>
      </c>
      <c r="K63" s="9">
        <f>IFERROR(G63/G57*100,"")</f>
        <v/>
      </c>
    </row>
    <row r="64" ht="22" customHeight="1">
      <c r="A64" s="6" t="inlineStr">
        <is>
          <t>IMP-06</t>
        </is>
      </c>
      <c r="B64" s="6" t="inlineStr">
        <is>
          <t>COLUMN-1</t>
        </is>
      </c>
      <c r="C64" s="7" t="n"/>
      <c r="D64" s="6" t="inlineStr">
        <is>
          <t>C1</t>
        </is>
      </c>
      <c r="E64" s="7" t="n"/>
      <c r="F64" s="7" t="n"/>
      <c r="G64" s="7" t="n"/>
      <c r="H64" s="9">
        <f>IFERROR(SLOPE(F64:F68,E64:E68),"")</f>
        <v/>
      </c>
      <c r="I64" s="9">
        <f>IFERROR(INTERCEPT(F64:F68,E64:E68),"")</f>
        <v/>
      </c>
      <c r="J64" s="11">
        <f>IFERROR(CORREL(F64:F68,E64:E68),"")</f>
        <v/>
      </c>
      <c r="K64" s="9">
        <f>IFERROR(G75/G69*100,"")</f>
        <v/>
      </c>
    </row>
    <row r="65" ht="22" customHeight="1">
      <c r="A65" s="6" t="inlineStr">
        <is>
          <t>IMP-06</t>
        </is>
      </c>
      <c r="B65" s="6" t="inlineStr">
        <is>
          <t>COLUMN-1</t>
        </is>
      </c>
      <c r="C65" s="7" t="n"/>
      <c r="D65" s="6" t="inlineStr">
        <is>
          <t>C2</t>
        </is>
      </c>
      <c r="E65" s="7" t="n"/>
      <c r="F65" s="7" t="n"/>
      <c r="G65" s="7" t="n"/>
      <c r="H65" s="9">
        <f>IFERROR(SLOPE(F64:F68,E64:E68),"")</f>
        <v/>
      </c>
      <c r="I65" s="9">
        <f>IFERROR(INTERCEPT(F64:F68,E64:E68),"")</f>
        <v/>
      </c>
      <c r="J65" s="11">
        <f>IFERROR(CORREL(F64:F68,E64:E68),"")</f>
        <v/>
      </c>
      <c r="K65" s="9">
        <f>IFERROR(G75/G69*100,"")</f>
        <v/>
      </c>
    </row>
    <row r="66" ht="22" customHeight="1">
      <c r="A66" s="6" t="inlineStr">
        <is>
          <t>IMP-06</t>
        </is>
      </c>
      <c r="B66" s="6" t="inlineStr">
        <is>
          <t>COLUMN-1</t>
        </is>
      </c>
      <c r="C66" s="7" t="n"/>
      <c r="D66" s="6" t="inlineStr">
        <is>
          <t>C3</t>
        </is>
      </c>
      <c r="E66" s="7" t="n"/>
      <c r="F66" s="7" t="n"/>
      <c r="G66" s="7" t="n"/>
      <c r="H66" s="9">
        <f>IFERROR(SLOPE(F64:F68,E64:E68),"")</f>
        <v/>
      </c>
      <c r="I66" s="9">
        <f>IFERROR(INTERCEPT(F64:F68,E64:E68),"")</f>
        <v/>
      </c>
      <c r="J66" s="11">
        <f>IFERROR(CORREL(F64:F68,E64:E68),"")</f>
        <v/>
      </c>
      <c r="K66" s="9">
        <f>IFERROR(G75/G69*100,"")</f>
        <v/>
      </c>
    </row>
    <row r="67" ht="22" customHeight="1">
      <c r="A67" s="6" t="inlineStr">
        <is>
          <t>IMP-06</t>
        </is>
      </c>
      <c r="B67" s="6" t="inlineStr">
        <is>
          <t>COLUMN-1</t>
        </is>
      </c>
      <c r="C67" s="7" t="n"/>
      <c r="D67" s="6" t="inlineStr">
        <is>
          <t>C4</t>
        </is>
      </c>
      <c r="E67" s="7" t="n"/>
      <c r="F67" s="7" t="n"/>
      <c r="G67" s="7" t="n"/>
      <c r="H67" s="9">
        <f>IFERROR(SLOPE(F64:F68,E64:E68),"")</f>
        <v/>
      </c>
      <c r="I67" s="9">
        <f>IFERROR(INTERCEPT(F64:F68,E64:E68),"")</f>
        <v/>
      </c>
      <c r="J67" s="11">
        <f>IFERROR(CORREL(F64:F68,E64:E68),"")</f>
        <v/>
      </c>
      <c r="K67" s="9">
        <f>IFERROR(G75/G69*100,"")</f>
        <v/>
      </c>
    </row>
    <row r="68" ht="22" customHeight="1">
      <c r="A68" s="6" t="inlineStr">
        <is>
          <t>IMP-06</t>
        </is>
      </c>
      <c r="B68" s="6" t="inlineStr">
        <is>
          <t>COLUMN-1</t>
        </is>
      </c>
      <c r="C68" s="7" t="n"/>
      <c r="D68" s="6" t="inlineStr">
        <is>
          <t>C5</t>
        </is>
      </c>
      <c r="E68" s="7" t="n"/>
      <c r="F68" s="7" t="n"/>
      <c r="G68" s="7" t="n"/>
      <c r="H68" s="9">
        <f>IFERROR(SLOPE(F64:F68,E64:E68),"")</f>
        <v/>
      </c>
      <c r="I68" s="9">
        <f>IFERROR(INTERCEPT(F64:F68,E64:E68),"")</f>
        <v/>
      </c>
      <c r="J68" s="11">
        <f>IFERROR(CORREL(F64:F68,E64:E68),"")</f>
        <v/>
      </c>
      <c r="K68" s="9">
        <f>IFERROR(G75/G69*100,"")</f>
        <v/>
      </c>
    </row>
    <row r="69" ht="22" customHeight="1">
      <c r="A69" s="6" t="inlineStr">
        <is>
          <t>IMP-06</t>
        </is>
      </c>
      <c r="B69" s="6" t="inlineStr">
        <is>
          <t>COLUMN-1</t>
        </is>
      </c>
      <c r="C69" s="7" t="n"/>
      <c r="D69" s="6" t="inlineStr">
        <is>
          <t>SPIKED</t>
        </is>
      </c>
      <c r="E69" s="7" t="n"/>
      <c r="F69" s="7" t="n"/>
      <c r="G69" s="7" t="n"/>
      <c r="H69" s="9">
        <f>IFERROR(SLOPE(F64:F68,E64:E68),"")</f>
        <v/>
      </c>
      <c r="I69" s="9">
        <f>IFERROR(INTERCEPT(F64:F68,E64:E68),"")</f>
        <v/>
      </c>
      <c r="J69" s="11">
        <f>IFERROR(CORREL(F64:F68,E64:E68),"")</f>
        <v/>
      </c>
      <c r="K69" s="9">
        <f>IFERROR(G75/G69*100,"")</f>
        <v/>
      </c>
    </row>
    <row r="70" ht="22" customHeight="1">
      <c r="A70" s="6" t="inlineStr">
        <is>
          <t>IMP-06</t>
        </is>
      </c>
      <c r="B70" s="6" t="inlineStr">
        <is>
          <t>COLUMN-2</t>
        </is>
      </c>
      <c r="C70" s="7" t="n"/>
      <c r="D70" s="6" t="inlineStr">
        <is>
          <t>C1</t>
        </is>
      </c>
      <c r="E70" s="7" t="n"/>
      <c r="F70" s="7" t="n"/>
      <c r="G70" s="7" t="n"/>
      <c r="H70" s="9">
        <f>IFERROR(SLOPE(F70:F74,E70:E74),"")</f>
        <v/>
      </c>
      <c r="I70" s="9">
        <f>IFERROR(INTERCEPT(F70:F74,E70:E74),"")</f>
        <v/>
      </c>
      <c r="J70" s="11">
        <f>IFERROR(CORREL(F70:F74,E70:E74),"")</f>
        <v/>
      </c>
      <c r="K70" s="9">
        <f>IFERROR(G75/G69*100,"")</f>
        <v/>
      </c>
    </row>
    <row r="71" ht="22" customHeight="1">
      <c r="A71" s="6" t="inlineStr">
        <is>
          <t>IMP-06</t>
        </is>
      </c>
      <c r="B71" s="6" t="inlineStr">
        <is>
          <t>COLUMN-2</t>
        </is>
      </c>
      <c r="C71" s="7" t="n"/>
      <c r="D71" s="6" t="inlineStr">
        <is>
          <t>C2</t>
        </is>
      </c>
      <c r="E71" s="7" t="n"/>
      <c r="F71" s="7" t="n"/>
      <c r="G71" s="7" t="n"/>
      <c r="H71" s="9">
        <f>IFERROR(SLOPE(F70:F74,E70:E74),"")</f>
        <v/>
      </c>
      <c r="I71" s="9">
        <f>IFERROR(INTERCEPT(F70:F74,E70:E74),"")</f>
        <v/>
      </c>
      <c r="J71" s="11">
        <f>IFERROR(CORREL(F70:F74,E70:E74),"")</f>
        <v/>
      </c>
      <c r="K71" s="9">
        <f>IFERROR(G75/G69*100,"")</f>
        <v/>
      </c>
    </row>
    <row r="72" ht="22" customHeight="1">
      <c r="A72" s="6" t="inlineStr">
        <is>
          <t>IMP-06</t>
        </is>
      </c>
      <c r="B72" s="6" t="inlineStr">
        <is>
          <t>COLUMN-2</t>
        </is>
      </c>
      <c r="C72" s="7" t="n"/>
      <c r="D72" s="6" t="inlineStr">
        <is>
          <t>C3</t>
        </is>
      </c>
      <c r="E72" s="7" t="n"/>
      <c r="F72" s="7" t="n"/>
      <c r="G72" s="7" t="n"/>
      <c r="H72" s="9">
        <f>IFERROR(SLOPE(F70:F74,E70:E74),"")</f>
        <v/>
      </c>
      <c r="I72" s="9">
        <f>IFERROR(INTERCEPT(F70:F74,E70:E74),"")</f>
        <v/>
      </c>
      <c r="J72" s="11">
        <f>IFERROR(CORREL(F70:F74,E70:E74),"")</f>
        <v/>
      </c>
      <c r="K72" s="9">
        <f>IFERROR(G75/G69*100,"")</f>
        <v/>
      </c>
    </row>
    <row r="73" ht="22" customHeight="1">
      <c r="A73" s="6" t="inlineStr">
        <is>
          <t>IMP-06</t>
        </is>
      </c>
      <c r="B73" s="6" t="inlineStr">
        <is>
          <t>COLUMN-2</t>
        </is>
      </c>
      <c r="C73" s="7" t="n"/>
      <c r="D73" s="6" t="inlineStr">
        <is>
          <t>C4</t>
        </is>
      </c>
      <c r="E73" s="7" t="n"/>
      <c r="F73" s="7" t="n"/>
      <c r="G73" s="7" t="n"/>
      <c r="H73" s="9">
        <f>IFERROR(SLOPE(F70:F74,E70:E74),"")</f>
        <v/>
      </c>
      <c r="I73" s="9">
        <f>IFERROR(INTERCEPT(F70:F74,E70:E74),"")</f>
        <v/>
      </c>
      <c r="J73" s="11">
        <f>IFERROR(CORREL(F70:F74,E70:E74),"")</f>
        <v/>
      </c>
      <c r="K73" s="9">
        <f>IFERROR(G75/G69*100,"")</f>
        <v/>
      </c>
    </row>
    <row r="74" ht="22" customHeight="1">
      <c r="A74" s="6" t="inlineStr">
        <is>
          <t>IMP-06</t>
        </is>
      </c>
      <c r="B74" s="6" t="inlineStr">
        <is>
          <t>COLUMN-2</t>
        </is>
      </c>
      <c r="C74" s="7" t="n"/>
      <c r="D74" s="6" t="inlineStr">
        <is>
          <t>C5</t>
        </is>
      </c>
      <c r="E74" s="7" t="n"/>
      <c r="F74" s="7" t="n"/>
      <c r="G74" s="7" t="n"/>
      <c r="H74" s="9">
        <f>IFERROR(SLOPE(F70:F74,E70:E74),"")</f>
        <v/>
      </c>
      <c r="I74" s="9">
        <f>IFERROR(INTERCEPT(F70:F74,E70:E74),"")</f>
        <v/>
      </c>
      <c r="J74" s="11">
        <f>IFERROR(CORREL(F70:F74,E70:E74),"")</f>
        <v/>
      </c>
      <c r="K74" s="9">
        <f>IFERROR(G75/G69*100,"")</f>
        <v/>
      </c>
    </row>
    <row r="75" ht="22" customHeight="1">
      <c r="A75" s="6" t="inlineStr">
        <is>
          <t>IMP-06</t>
        </is>
      </c>
      <c r="B75" s="6" t="inlineStr">
        <is>
          <t>COLUMN-2</t>
        </is>
      </c>
      <c r="C75" s="7" t="n"/>
      <c r="D75" s="6" t="inlineStr">
        <is>
          <t>SPIKED</t>
        </is>
      </c>
      <c r="E75" s="7" t="n"/>
      <c r="F75" s="7" t="n"/>
      <c r="G75" s="7" t="n"/>
      <c r="H75" s="9">
        <f>IFERROR(SLOPE(F70:F74,E70:E74),"")</f>
        <v/>
      </c>
      <c r="I75" s="9">
        <f>IFERROR(INTERCEPT(F70:F74,E70:E74),"")</f>
        <v/>
      </c>
      <c r="J75" s="11">
        <f>IFERROR(CORREL(F70:F74,E70:E74),"")</f>
        <v/>
      </c>
      <c r="K75" s="9">
        <f>IFERROR(G75/G69*100,"")</f>
        <v/>
      </c>
    </row>
    <row r="76" ht="22" customHeight="1">
      <c r="A76" s="6" t="inlineStr">
        <is>
          <t>IMP-07</t>
        </is>
      </c>
      <c r="B76" s="6" t="inlineStr">
        <is>
          <t>COLUMN-1</t>
        </is>
      </c>
      <c r="C76" s="7" t="n"/>
      <c r="D76" s="6" t="inlineStr">
        <is>
          <t>C1</t>
        </is>
      </c>
      <c r="E76" s="7" t="n"/>
      <c r="F76" s="7" t="n"/>
      <c r="G76" s="7" t="n"/>
      <c r="H76" s="9">
        <f>IFERROR(SLOPE(F76:F80,E76:E80),"")</f>
        <v/>
      </c>
      <c r="I76" s="9">
        <f>IFERROR(INTERCEPT(F76:F80,E76:E80),"")</f>
        <v/>
      </c>
      <c r="J76" s="11">
        <f>IFERROR(CORREL(F76:F80,E76:E80),"")</f>
        <v/>
      </c>
      <c r="K76" s="9">
        <f>IFERROR(G87/G81*100,"")</f>
        <v/>
      </c>
    </row>
    <row r="77" ht="22" customHeight="1">
      <c r="A77" s="6" t="inlineStr">
        <is>
          <t>IMP-07</t>
        </is>
      </c>
      <c r="B77" s="6" t="inlineStr">
        <is>
          <t>COLUMN-1</t>
        </is>
      </c>
      <c r="C77" s="7" t="n"/>
      <c r="D77" s="6" t="inlineStr">
        <is>
          <t>C2</t>
        </is>
      </c>
      <c r="E77" s="7" t="n"/>
      <c r="F77" s="7" t="n"/>
      <c r="G77" s="7" t="n"/>
      <c r="H77" s="9">
        <f>IFERROR(SLOPE(F76:F80,E76:E80),"")</f>
        <v/>
      </c>
      <c r="I77" s="9">
        <f>IFERROR(INTERCEPT(F76:F80,E76:E80),"")</f>
        <v/>
      </c>
      <c r="J77" s="11">
        <f>IFERROR(CORREL(F76:F80,E76:E80),"")</f>
        <v/>
      </c>
      <c r="K77" s="9">
        <f>IFERROR(G87/G81*100,"")</f>
        <v/>
      </c>
    </row>
    <row r="78" ht="22" customHeight="1">
      <c r="A78" s="6" t="inlineStr">
        <is>
          <t>IMP-07</t>
        </is>
      </c>
      <c r="B78" s="6" t="inlineStr">
        <is>
          <t>COLUMN-1</t>
        </is>
      </c>
      <c r="C78" s="7" t="n"/>
      <c r="D78" s="6" t="inlineStr">
        <is>
          <t>C3</t>
        </is>
      </c>
      <c r="E78" s="7" t="n"/>
      <c r="F78" s="7" t="n"/>
      <c r="G78" s="7" t="n"/>
      <c r="H78" s="9">
        <f>IFERROR(SLOPE(F76:F80,E76:E80),"")</f>
        <v/>
      </c>
      <c r="I78" s="9">
        <f>IFERROR(INTERCEPT(F76:F80,E76:E80),"")</f>
        <v/>
      </c>
      <c r="J78" s="11">
        <f>IFERROR(CORREL(F76:F80,E76:E80),"")</f>
        <v/>
      </c>
      <c r="K78" s="9">
        <f>IFERROR(G87/G81*100,"")</f>
        <v/>
      </c>
    </row>
    <row r="79" ht="22" customHeight="1">
      <c r="A79" s="6" t="inlineStr">
        <is>
          <t>IMP-07</t>
        </is>
      </c>
      <c r="B79" s="6" t="inlineStr">
        <is>
          <t>COLUMN-1</t>
        </is>
      </c>
      <c r="C79" s="7" t="n"/>
      <c r="D79" s="6" t="inlineStr">
        <is>
          <t>C4</t>
        </is>
      </c>
      <c r="E79" s="7" t="n"/>
      <c r="F79" s="7" t="n"/>
      <c r="G79" s="7" t="n"/>
      <c r="H79" s="9">
        <f>IFERROR(SLOPE(F76:F80,E76:E80),"")</f>
        <v/>
      </c>
      <c r="I79" s="9">
        <f>IFERROR(INTERCEPT(F76:F80,E76:E80),"")</f>
        <v/>
      </c>
      <c r="J79" s="11">
        <f>IFERROR(CORREL(F76:F80,E76:E80),"")</f>
        <v/>
      </c>
      <c r="K79" s="9">
        <f>IFERROR(G87/G81*100,"")</f>
        <v/>
      </c>
    </row>
    <row r="80" ht="22" customHeight="1">
      <c r="A80" s="6" t="inlineStr">
        <is>
          <t>IMP-07</t>
        </is>
      </c>
      <c r="B80" s="6" t="inlineStr">
        <is>
          <t>COLUMN-1</t>
        </is>
      </c>
      <c r="C80" s="7" t="n"/>
      <c r="D80" s="6" t="inlineStr">
        <is>
          <t>C5</t>
        </is>
      </c>
      <c r="E80" s="7" t="n"/>
      <c r="F80" s="7" t="n"/>
      <c r="G80" s="7" t="n"/>
      <c r="H80" s="9">
        <f>IFERROR(SLOPE(F76:F80,E76:E80),"")</f>
        <v/>
      </c>
      <c r="I80" s="9">
        <f>IFERROR(INTERCEPT(F76:F80,E76:E80),"")</f>
        <v/>
      </c>
      <c r="J80" s="11">
        <f>IFERROR(CORREL(F76:F80,E76:E80),"")</f>
        <v/>
      </c>
      <c r="K80" s="9">
        <f>IFERROR(G87/G81*100,"")</f>
        <v/>
      </c>
    </row>
    <row r="81" ht="22" customHeight="1">
      <c r="A81" s="6" t="inlineStr">
        <is>
          <t>IMP-07</t>
        </is>
      </c>
      <c r="B81" s="6" t="inlineStr">
        <is>
          <t>COLUMN-1</t>
        </is>
      </c>
      <c r="C81" s="7" t="n"/>
      <c r="D81" s="6" t="inlineStr">
        <is>
          <t>SPIKED</t>
        </is>
      </c>
      <c r="E81" s="7" t="n"/>
      <c r="F81" s="7" t="n"/>
      <c r="G81" s="7" t="n"/>
      <c r="H81" s="9">
        <f>IFERROR(SLOPE(F76:F80,E76:E80),"")</f>
        <v/>
      </c>
      <c r="I81" s="9">
        <f>IFERROR(INTERCEPT(F76:F80,E76:E80),"")</f>
        <v/>
      </c>
      <c r="J81" s="11">
        <f>IFERROR(CORREL(F76:F80,E76:E80),"")</f>
        <v/>
      </c>
      <c r="K81" s="9">
        <f>IFERROR(G87/G81*100,"")</f>
        <v/>
      </c>
    </row>
    <row r="82" ht="22" customHeight="1">
      <c r="A82" s="6" t="inlineStr">
        <is>
          <t>IMP-07</t>
        </is>
      </c>
      <c r="B82" s="6" t="inlineStr">
        <is>
          <t>COLUMN-2</t>
        </is>
      </c>
      <c r="C82" s="7" t="n"/>
      <c r="D82" s="6" t="inlineStr">
        <is>
          <t>C1</t>
        </is>
      </c>
      <c r="E82" s="7" t="n"/>
      <c r="F82" s="7" t="n"/>
      <c r="G82" s="7" t="n"/>
      <c r="H82" s="9">
        <f>IFERROR(SLOPE(F82:F86,E82:E86),"")</f>
        <v/>
      </c>
      <c r="I82" s="9">
        <f>IFERROR(INTERCEPT(F82:F86,E82:E86),"")</f>
        <v/>
      </c>
      <c r="J82" s="11">
        <f>IFERROR(CORREL(F82:F86,E82:E86),"")</f>
        <v/>
      </c>
      <c r="K82" s="9">
        <f>IFERROR(G87/G81*100,"")</f>
        <v/>
      </c>
    </row>
    <row r="83" ht="22" customHeight="1">
      <c r="A83" s="6" t="inlineStr">
        <is>
          <t>IMP-07</t>
        </is>
      </c>
      <c r="B83" s="6" t="inlineStr">
        <is>
          <t>COLUMN-2</t>
        </is>
      </c>
      <c r="C83" s="7" t="n"/>
      <c r="D83" s="6" t="inlineStr">
        <is>
          <t>C2</t>
        </is>
      </c>
      <c r="E83" s="7" t="n"/>
      <c r="F83" s="7" t="n"/>
      <c r="G83" s="7" t="n"/>
      <c r="H83" s="9">
        <f>IFERROR(SLOPE(F82:F86,E82:E86),"")</f>
        <v/>
      </c>
      <c r="I83" s="9">
        <f>IFERROR(INTERCEPT(F82:F86,E82:E86),"")</f>
        <v/>
      </c>
      <c r="J83" s="11">
        <f>IFERROR(CORREL(F82:F86,E82:E86),"")</f>
        <v/>
      </c>
      <c r="K83" s="9">
        <f>IFERROR(G87/G81*100,"")</f>
        <v/>
      </c>
    </row>
    <row r="84" ht="22" customHeight="1">
      <c r="A84" s="6" t="inlineStr">
        <is>
          <t>IMP-07</t>
        </is>
      </c>
      <c r="B84" s="6" t="inlineStr">
        <is>
          <t>COLUMN-2</t>
        </is>
      </c>
      <c r="C84" s="7" t="n"/>
      <c r="D84" s="6" t="inlineStr">
        <is>
          <t>C3</t>
        </is>
      </c>
      <c r="E84" s="7" t="n"/>
      <c r="F84" s="7" t="n"/>
      <c r="G84" s="7" t="n"/>
      <c r="H84" s="9">
        <f>IFERROR(SLOPE(F82:F86,E82:E86),"")</f>
        <v/>
      </c>
      <c r="I84" s="9">
        <f>IFERROR(INTERCEPT(F82:F86,E82:E86),"")</f>
        <v/>
      </c>
      <c r="J84" s="11">
        <f>IFERROR(CORREL(F82:F86,E82:E86),"")</f>
        <v/>
      </c>
      <c r="K84" s="9">
        <f>IFERROR(G87/G81*100,"")</f>
        <v/>
      </c>
    </row>
    <row r="85" ht="22" customHeight="1">
      <c r="A85" s="6" t="inlineStr">
        <is>
          <t>IMP-07</t>
        </is>
      </c>
      <c r="B85" s="6" t="inlineStr">
        <is>
          <t>COLUMN-2</t>
        </is>
      </c>
      <c r="C85" s="7" t="n"/>
      <c r="D85" s="6" t="inlineStr">
        <is>
          <t>C4</t>
        </is>
      </c>
      <c r="E85" s="7" t="n"/>
      <c r="F85" s="7" t="n"/>
      <c r="G85" s="7" t="n"/>
      <c r="H85" s="9">
        <f>IFERROR(SLOPE(F82:F86,E82:E86),"")</f>
        <v/>
      </c>
      <c r="I85" s="9">
        <f>IFERROR(INTERCEPT(F82:F86,E82:E86),"")</f>
        <v/>
      </c>
      <c r="J85" s="11">
        <f>IFERROR(CORREL(F82:F86,E82:E86),"")</f>
        <v/>
      </c>
      <c r="K85" s="9">
        <f>IFERROR(G87/G81*100,"")</f>
        <v/>
      </c>
    </row>
    <row r="86" ht="22" customHeight="1">
      <c r="A86" s="6" t="inlineStr">
        <is>
          <t>IMP-07</t>
        </is>
      </c>
      <c r="B86" s="6" t="inlineStr">
        <is>
          <t>COLUMN-2</t>
        </is>
      </c>
      <c r="C86" s="7" t="n"/>
      <c r="D86" s="6" t="inlineStr">
        <is>
          <t>C5</t>
        </is>
      </c>
      <c r="E86" s="7" t="n"/>
      <c r="F86" s="7" t="n"/>
      <c r="G86" s="7" t="n"/>
      <c r="H86" s="9">
        <f>IFERROR(SLOPE(F82:F86,E82:E86),"")</f>
        <v/>
      </c>
      <c r="I86" s="9">
        <f>IFERROR(INTERCEPT(F82:F86,E82:E86),"")</f>
        <v/>
      </c>
      <c r="J86" s="11">
        <f>IFERROR(CORREL(F82:F86,E82:E86),"")</f>
        <v/>
      </c>
      <c r="K86" s="9">
        <f>IFERROR(G87/G81*100,"")</f>
        <v/>
      </c>
    </row>
    <row r="87" ht="22" customHeight="1">
      <c r="A87" s="6" t="inlineStr">
        <is>
          <t>IMP-07</t>
        </is>
      </c>
      <c r="B87" s="6" t="inlineStr">
        <is>
          <t>COLUMN-2</t>
        </is>
      </c>
      <c r="C87" s="7" t="n"/>
      <c r="D87" s="6" t="inlineStr">
        <is>
          <t>SPIKED</t>
        </is>
      </c>
      <c r="E87" s="7" t="n"/>
      <c r="F87" s="7" t="n"/>
      <c r="G87" s="7" t="n"/>
      <c r="H87" s="9">
        <f>IFERROR(SLOPE(F82:F86,E82:E86),"")</f>
        <v/>
      </c>
      <c r="I87" s="9">
        <f>IFERROR(INTERCEPT(F82:F86,E82:E86),"")</f>
        <v/>
      </c>
      <c r="J87" s="11">
        <f>IFERROR(CORREL(F82:F86,E82:E86),"")</f>
        <v/>
      </c>
      <c r="K87" s="9">
        <f>IFERROR(G87/G81*100,"")</f>
        <v/>
      </c>
    </row>
    <row r="88" ht="22" customHeight="1">
      <c r="A88" s="6" t="inlineStr">
        <is>
          <t>IMP-08</t>
        </is>
      </c>
      <c r="B88" s="6" t="inlineStr">
        <is>
          <t>COLUMN-1</t>
        </is>
      </c>
      <c r="C88" s="7" t="n"/>
      <c r="D88" s="6" t="inlineStr">
        <is>
          <t>C1</t>
        </is>
      </c>
      <c r="E88" s="7" t="n"/>
      <c r="F88" s="7" t="n"/>
      <c r="G88" s="7" t="n"/>
      <c r="H88" s="9">
        <f>IFERROR(SLOPE(F88:F92,E88:E92),"")</f>
        <v/>
      </c>
      <c r="I88" s="9">
        <f>IFERROR(INTERCEPT(F88:F92,E88:E92),"")</f>
        <v/>
      </c>
      <c r="J88" s="11">
        <f>IFERROR(CORREL(F88:F92,E88:E92),"")</f>
        <v/>
      </c>
      <c r="K88" s="9">
        <f>IFERROR(G99/G93*100,"")</f>
        <v/>
      </c>
    </row>
    <row r="89" ht="22" customHeight="1">
      <c r="A89" s="6" t="inlineStr">
        <is>
          <t>IMP-08</t>
        </is>
      </c>
      <c r="B89" s="6" t="inlineStr">
        <is>
          <t>COLUMN-1</t>
        </is>
      </c>
      <c r="C89" s="7" t="n"/>
      <c r="D89" s="6" t="inlineStr">
        <is>
          <t>C2</t>
        </is>
      </c>
      <c r="E89" s="7" t="n"/>
      <c r="F89" s="7" t="n"/>
      <c r="G89" s="7" t="n"/>
      <c r="H89" s="9">
        <f>IFERROR(SLOPE(F88:F92,E88:E92),"")</f>
        <v/>
      </c>
      <c r="I89" s="9">
        <f>IFERROR(INTERCEPT(F88:F92,E88:E92),"")</f>
        <v/>
      </c>
      <c r="J89" s="11">
        <f>IFERROR(CORREL(F88:F92,E88:E92),"")</f>
        <v/>
      </c>
      <c r="K89" s="9">
        <f>IFERROR(G99/G93*100,"")</f>
        <v/>
      </c>
    </row>
    <row r="90" ht="22" customHeight="1">
      <c r="A90" s="6" t="inlineStr">
        <is>
          <t>IMP-08</t>
        </is>
      </c>
      <c r="B90" s="6" t="inlineStr">
        <is>
          <t>COLUMN-1</t>
        </is>
      </c>
      <c r="C90" s="7" t="n"/>
      <c r="D90" s="6" t="inlineStr">
        <is>
          <t>C3</t>
        </is>
      </c>
      <c r="E90" s="7" t="n"/>
      <c r="F90" s="7" t="n"/>
      <c r="G90" s="7" t="n"/>
      <c r="H90" s="9">
        <f>IFERROR(SLOPE(F88:F92,E88:E92),"")</f>
        <v/>
      </c>
      <c r="I90" s="9">
        <f>IFERROR(INTERCEPT(F88:F92,E88:E92),"")</f>
        <v/>
      </c>
      <c r="J90" s="11">
        <f>IFERROR(CORREL(F88:F92,E88:E92),"")</f>
        <v/>
      </c>
      <c r="K90" s="9">
        <f>IFERROR(G99/G93*100,"")</f>
        <v/>
      </c>
    </row>
    <row r="91" ht="22" customHeight="1">
      <c r="A91" s="6" t="inlineStr">
        <is>
          <t>IMP-08</t>
        </is>
      </c>
      <c r="B91" s="6" t="inlineStr">
        <is>
          <t>COLUMN-1</t>
        </is>
      </c>
      <c r="C91" s="7" t="n"/>
      <c r="D91" s="6" t="inlineStr">
        <is>
          <t>C4</t>
        </is>
      </c>
      <c r="E91" s="7" t="n"/>
      <c r="F91" s="7" t="n"/>
      <c r="G91" s="7" t="n"/>
      <c r="H91" s="9">
        <f>IFERROR(SLOPE(F88:F92,E88:E92),"")</f>
        <v/>
      </c>
      <c r="I91" s="9">
        <f>IFERROR(INTERCEPT(F88:F92,E88:E92),"")</f>
        <v/>
      </c>
      <c r="J91" s="11">
        <f>IFERROR(CORREL(F88:F92,E88:E92),"")</f>
        <v/>
      </c>
      <c r="K91" s="9">
        <f>IFERROR(G99/G93*100,"")</f>
        <v/>
      </c>
    </row>
    <row r="92" ht="22" customHeight="1">
      <c r="A92" s="6" t="inlineStr">
        <is>
          <t>IMP-08</t>
        </is>
      </c>
      <c r="B92" s="6" t="inlineStr">
        <is>
          <t>COLUMN-1</t>
        </is>
      </c>
      <c r="C92" s="7" t="n"/>
      <c r="D92" s="6" t="inlineStr">
        <is>
          <t>C5</t>
        </is>
      </c>
      <c r="E92" s="7" t="n"/>
      <c r="F92" s="7" t="n"/>
      <c r="G92" s="7" t="n"/>
      <c r="H92" s="9">
        <f>IFERROR(SLOPE(F88:F92,E88:E92),"")</f>
        <v/>
      </c>
      <c r="I92" s="9">
        <f>IFERROR(INTERCEPT(F88:F92,E88:E92),"")</f>
        <v/>
      </c>
      <c r="J92" s="11">
        <f>IFERROR(CORREL(F88:F92,E88:E92),"")</f>
        <v/>
      </c>
      <c r="K92" s="9">
        <f>IFERROR(G99/G93*100,"")</f>
        <v/>
      </c>
    </row>
    <row r="93" ht="22" customHeight="1">
      <c r="A93" s="6" t="inlineStr">
        <is>
          <t>IMP-08</t>
        </is>
      </c>
      <c r="B93" s="6" t="inlineStr">
        <is>
          <t>COLUMN-1</t>
        </is>
      </c>
      <c r="C93" s="7" t="n"/>
      <c r="D93" s="6" t="inlineStr">
        <is>
          <t>SPIKED</t>
        </is>
      </c>
      <c r="E93" s="7" t="n"/>
      <c r="F93" s="7" t="n"/>
      <c r="G93" s="7" t="n"/>
      <c r="H93" s="9">
        <f>IFERROR(SLOPE(F88:F92,E88:E92),"")</f>
        <v/>
      </c>
      <c r="I93" s="9">
        <f>IFERROR(INTERCEPT(F88:F92,E88:E92),"")</f>
        <v/>
      </c>
      <c r="J93" s="11">
        <f>IFERROR(CORREL(F88:F92,E88:E92),"")</f>
        <v/>
      </c>
      <c r="K93" s="9">
        <f>IFERROR(G99/G93*100,"")</f>
        <v/>
      </c>
    </row>
    <row r="94" ht="22" customHeight="1">
      <c r="A94" s="6" t="inlineStr">
        <is>
          <t>IMP-08</t>
        </is>
      </c>
      <c r="B94" s="6" t="inlineStr">
        <is>
          <t>COLUMN-2</t>
        </is>
      </c>
      <c r="C94" s="7" t="n"/>
      <c r="D94" s="6" t="inlineStr">
        <is>
          <t>C1</t>
        </is>
      </c>
      <c r="E94" s="7" t="n"/>
      <c r="F94" s="7" t="n"/>
      <c r="G94" s="7" t="n"/>
      <c r="H94" s="9">
        <f>IFERROR(SLOPE(F94:F98,E94:E98),"")</f>
        <v/>
      </c>
      <c r="I94" s="9">
        <f>IFERROR(INTERCEPT(F94:F98,E94:E98),"")</f>
        <v/>
      </c>
      <c r="J94" s="11">
        <f>IFERROR(CORREL(F94:F98,E94:E98),"")</f>
        <v/>
      </c>
      <c r="K94" s="9">
        <f>IFERROR(G99/G93*100,"")</f>
        <v/>
      </c>
    </row>
    <row r="95" ht="22" customHeight="1">
      <c r="A95" s="6" t="inlineStr">
        <is>
          <t>IMP-08</t>
        </is>
      </c>
      <c r="B95" s="6" t="inlineStr">
        <is>
          <t>COLUMN-2</t>
        </is>
      </c>
      <c r="C95" s="7" t="n"/>
      <c r="D95" s="6" t="inlineStr">
        <is>
          <t>C2</t>
        </is>
      </c>
      <c r="E95" s="7" t="n"/>
      <c r="F95" s="7" t="n"/>
      <c r="G95" s="7" t="n"/>
      <c r="H95" s="9">
        <f>IFERROR(SLOPE(F94:F98,E94:E98),"")</f>
        <v/>
      </c>
      <c r="I95" s="9">
        <f>IFERROR(INTERCEPT(F94:F98,E94:E98),"")</f>
        <v/>
      </c>
      <c r="J95" s="11">
        <f>IFERROR(CORREL(F94:F98,E94:E98),"")</f>
        <v/>
      </c>
      <c r="K95" s="9">
        <f>IFERROR(G99/G93*100,"")</f>
        <v/>
      </c>
    </row>
    <row r="96" ht="22" customHeight="1">
      <c r="A96" s="6" t="inlineStr">
        <is>
          <t>IMP-08</t>
        </is>
      </c>
      <c r="B96" s="6" t="inlineStr">
        <is>
          <t>COLUMN-2</t>
        </is>
      </c>
      <c r="C96" s="7" t="n"/>
      <c r="D96" s="6" t="inlineStr">
        <is>
          <t>C3</t>
        </is>
      </c>
      <c r="E96" s="7" t="n"/>
      <c r="F96" s="7" t="n"/>
      <c r="G96" s="7" t="n"/>
      <c r="H96" s="9">
        <f>IFERROR(SLOPE(F94:F98,E94:E98),"")</f>
        <v/>
      </c>
      <c r="I96" s="9">
        <f>IFERROR(INTERCEPT(F94:F98,E94:E98),"")</f>
        <v/>
      </c>
      <c r="J96" s="11">
        <f>IFERROR(CORREL(F94:F98,E94:E98),"")</f>
        <v/>
      </c>
      <c r="K96" s="9">
        <f>IFERROR(G99/G93*100,"")</f>
        <v/>
      </c>
    </row>
    <row r="97" ht="22" customHeight="1">
      <c r="A97" s="6" t="inlineStr">
        <is>
          <t>IMP-08</t>
        </is>
      </c>
      <c r="B97" s="6" t="inlineStr">
        <is>
          <t>COLUMN-2</t>
        </is>
      </c>
      <c r="C97" s="7" t="n"/>
      <c r="D97" s="6" t="inlineStr">
        <is>
          <t>C4</t>
        </is>
      </c>
      <c r="E97" s="7" t="n"/>
      <c r="F97" s="7" t="n"/>
      <c r="G97" s="7" t="n"/>
      <c r="H97" s="9">
        <f>IFERROR(SLOPE(F94:F98,E94:E98),"")</f>
        <v/>
      </c>
      <c r="I97" s="9">
        <f>IFERROR(INTERCEPT(F94:F98,E94:E98),"")</f>
        <v/>
      </c>
      <c r="J97" s="11">
        <f>IFERROR(CORREL(F94:F98,E94:E98),"")</f>
        <v/>
      </c>
      <c r="K97" s="9">
        <f>IFERROR(G99/G93*100,"")</f>
        <v/>
      </c>
    </row>
    <row r="98" ht="22" customHeight="1">
      <c r="A98" s="6" t="inlineStr">
        <is>
          <t>IMP-08</t>
        </is>
      </c>
      <c r="B98" s="6" t="inlineStr">
        <is>
          <t>COLUMN-2</t>
        </is>
      </c>
      <c r="C98" s="7" t="n"/>
      <c r="D98" s="6" t="inlineStr">
        <is>
          <t>C5</t>
        </is>
      </c>
      <c r="E98" s="7" t="n"/>
      <c r="F98" s="7" t="n"/>
      <c r="G98" s="7" t="n"/>
      <c r="H98" s="9">
        <f>IFERROR(SLOPE(F94:F98,E94:E98),"")</f>
        <v/>
      </c>
      <c r="I98" s="9">
        <f>IFERROR(INTERCEPT(F94:F98,E94:E98),"")</f>
        <v/>
      </c>
      <c r="J98" s="11">
        <f>IFERROR(CORREL(F94:F98,E94:E98),"")</f>
        <v/>
      </c>
      <c r="K98" s="9">
        <f>IFERROR(G99/G93*100,"")</f>
        <v/>
      </c>
    </row>
    <row r="99" ht="22" customHeight="1">
      <c r="A99" s="6" t="inlineStr">
        <is>
          <t>IMP-08</t>
        </is>
      </c>
      <c r="B99" s="6" t="inlineStr">
        <is>
          <t>COLUMN-2</t>
        </is>
      </c>
      <c r="C99" s="7" t="n"/>
      <c r="D99" s="6" t="inlineStr">
        <is>
          <t>SPIKED</t>
        </is>
      </c>
      <c r="E99" s="7" t="n"/>
      <c r="F99" s="7" t="n"/>
      <c r="G99" s="7" t="n"/>
      <c r="H99" s="9">
        <f>IFERROR(SLOPE(F94:F98,E94:E98),"")</f>
        <v/>
      </c>
      <c r="I99" s="9">
        <f>IFERROR(INTERCEPT(F94:F98,E94:E98),"")</f>
        <v/>
      </c>
      <c r="J99" s="11">
        <f>IFERROR(CORREL(F94:F98,E94:E98),"")</f>
        <v/>
      </c>
      <c r="K99" s="9">
        <f>IFERROR(G99/G93*100,"")</f>
        <v/>
      </c>
    </row>
    <row r="100" ht="22" customHeight="1">
      <c r="A100" s="6" t="inlineStr">
        <is>
          <t>IMP-09</t>
        </is>
      </c>
      <c r="B100" s="6" t="inlineStr">
        <is>
          <t>COLUMN-1</t>
        </is>
      </c>
      <c r="C100" s="7" t="n"/>
      <c r="D100" s="6" t="inlineStr">
        <is>
          <t>C1</t>
        </is>
      </c>
      <c r="E100" s="7" t="n"/>
      <c r="F100" s="7" t="n"/>
      <c r="G100" s="7" t="n"/>
      <c r="H100" s="9">
        <f>IFERROR(SLOPE(F100:F104,E100:E104),"")</f>
        <v/>
      </c>
      <c r="I100" s="9">
        <f>IFERROR(INTERCEPT(F100:F104,E100:E104),"")</f>
        <v/>
      </c>
      <c r="J100" s="11">
        <f>IFERROR(CORREL(F100:F104,E100:E104),"")</f>
        <v/>
      </c>
      <c r="K100" s="9">
        <f>IFERROR(G111/G105*100,"")</f>
        <v/>
      </c>
    </row>
    <row r="101" ht="22" customHeight="1">
      <c r="A101" s="6" t="inlineStr">
        <is>
          <t>IMP-09</t>
        </is>
      </c>
      <c r="B101" s="6" t="inlineStr">
        <is>
          <t>COLUMN-1</t>
        </is>
      </c>
      <c r="C101" s="7" t="n"/>
      <c r="D101" s="6" t="inlineStr">
        <is>
          <t>C2</t>
        </is>
      </c>
      <c r="E101" s="7" t="n"/>
      <c r="F101" s="7" t="n"/>
      <c r="G101" s="7" t="n"/>
      <c r="H101" s="9">
        <f>IFERROR(SLOPE(F100:F104,E100:E104),"")</f>
        <v/>
      </c>
      <c r="I101" s="9">
        <f>IFERROR(INTERCEPT(F100:F104,E100:E104),"")</f>
        <v/>
      </c>
      <c r="J101" s="11">
        <f>IFERROR(CORREL(F100:F104,E100:E104),"")</f>
        <v/>
      </c>
      <c r="K101" s="9">
        <f>IFERROR(G111/G105*100,"")</f>
        <v/>
      </c>
    </row>
    <row r="102" ht="22" customHeight="1">
      <c r="A102" s="6" t="inlineStr">
        <is>
          <t>IMP-09</t>
        </is>
      </c>
      <c r="B102" s="6" t="inlineStr">
        <is>
          <t>COLUMN-1</t>
        </is>
      </c>
      <c r="C102" s="7" t="n"/>
      <c r="D102" s="6" t="inlineStr">
        <is>
          <t>C3</t>
        </is>
      </c>
      <c r="E102" s="7" t="n"/>
      <c r="F102" s="7" t="n"/>
      <c r="G102" s="7" t="n"/>
      <c r="H102" s="9">
        <f>IFERROR(SLOPE(F100:F104,E100:E104),"")</f>
        <v/>
      </c>
      <c r="I102" s="9">
        <f>IFERROR(INTERCEPT(F100:F104,E100:E104),"")</f>
        <v/>
      </c>
      <c r="J102" s="11">
        <f>IFERROR(CORREL(F100:F104,E100:E104),"")</f>
        <v/>
      </c>
      <c r="K102" s="9">
        <f>IFERROR(G111/G105*100,"")</f>
        <v/>
      </c>
    </row>
    <row r="103" ht="22" customHeight="1">
      <c r="A103" s="6" t="inlineStr">
        <is>
          <t>IMP-09</t>
        </is>
      </c>
      <c r="B103" s="6" t="inlineStr">
        <is>
          <t>COLUMN-1</t>
        </is>
      </c>
      <c r="C103" s="7" t="n"/>
      <c r="D103" s="6" t="inlineStr">
        <is>
          <t>C4</t>
        </is>
      </c>
      <c r="E103" s="7" t="n"/>
      <c r="F103" s="7" t="n"/>
      <c r="G103" s="7" t="n"/>
      <c r="H103" s="9">
        <f>IFERROR(SLOPE(F100:F104,E100:E104),"")</f>
        <v/>
      </c>
      <c r="I103" s="9">
        <f>IFERROR(INTERCEPT(F100:F104,E100:E104),"")</f>
        <v/>
      </c>
      <c r="J103" s="11">
        <f>IFERROR(CORREL(F100:F104,E100:E104),"")</f>
        <v/>
      </c>
      <c r="K103" s="9">
        <f>IFERROR(G111/G105*100,"")</f>
        <v/>
      </c>
    </row>
    <row r="104" ht="22" customHeight="1">
      <c r="A104" s="6" t="inlineStr">
        <is>
          <t>IMP-09</t>
        </is>
      </c>
      <c r="B104" s="6" t="inlineStr">
        <is>
          <t>COLUMN-1</t>
        </is>
      </c>
      <c r="C104" s="7" t="n"/>
      <c r="D104" s="6" t="inlineStr">
        <is>
          <t>C5</t>
        </is>
      </c>
      <c r="E104" s="7" t="n"/>
      <c r="F104" s="7" t="n"/>
      <c r="G104" s="7" t="n"/>
      <c r="H104" s="9">
        <f>IFERROR(SLOPE(F100:F104,E100:E104),"")</f>
        <v/>
      </c>
      <c r="I104" s="9">
        <f>IFERROR(INTERCEPT(F100:F104,E100:E104),"")</f>
        <v/>
      </c>
      <c r="J104" s="11">
        <f>IFERROR(CORREL(F100:F104,E100:E104),"")</f>
        <v/>
      </c>
      <c r="K104" s="9">
        <f>IFERROR(G111/G105*100,"")</f>
        <v/>
      </c>
    </row>
    <row r="105" ht="22" customHeight="1">
      <c r="A105" s="6" t="inlineStr">
        <is>
          <t>IMP-09</t>
        </is>
      </c>
      <c r="B105" s="6" t="inlineStr">
        <is>
          <t>COLUMN-1</t>
        </is>
      </c>
      <c r="C105" s="7" t="n"/>
      <c r="D105" s="6" t="inlineStr">
        <is>
          <t>SPIKED</t>
        </is>
      </c>
      <c r="E105" s="7" t="n"/>
      <c r="F105" s="7" t="n"/>
      <c r="G105" s="7" t="n"/>
      <c r="H105" s="9">
        <f>IFERROR(SLOPE(F100:F104,E100:E104),"")</f>
        <v/>
      </c>
      <c r="I105" s="9">
        <f>IFERROR(INTERCEPT(F100:F104,E100:E104),"")</f>
        <v/>
      </c>
      <c r="J105" s="11">
        <f>IFERROR(CORREL(F100:F104,E100:E104),"")</f>
        <v/>
      </c>
      <c r="K105" s="9">
        <f>IFERROR(G111/G105*100,"")</f>
        <v/>
      </c>
    </row>
    <row r="106" ht="22" customHeight="1">
      <c r="A106" s="6" t="inlineStr">
        <is>
          <t>IMP-09</t>
        </is>
      </c>
      <c r="B106" s="6" t="inlineStr">
        <is>
          <t>COLUMN-2</t>
        </is>
      </c>
      <c r="C106" s="7" t="n"/>
      <c r="D106" s="6" t="inlineStr">
        <is>
          <t>C1</t>
        </is>
      </c>
      <c r="E106" s="7" t="n"/>
      <c r="F106" s="7" t="n"/>
      <c r="G106" s="7" t="n"/>
      <c r="H106" s="9">
        <f>IFERROR(SLOPE(F106:F110,E106:E110),"")</f>
        <v/>
      </c>
      <c r="I106" s="9">
        <f>IFERROR(INTERCEPT(F106:F110,E106:E110),"")</f>
        <v/>
      </c>
      <c r="J106" s="11">
        <f>IFERROR(CORREL(F106:F110,E106:E110),"")</f>
        <v/>
      </c>
      <c r="K106" s="9">
        <f>IFERROR(G111/G105*100,"")</f>
        <v/>
      </c>
    </row>
    <row r="107" ht="22" customHeight="1">
      <c r="A107" s="6" t="inlineStr">
        <is>
          <t>IMP-09</t>
        </is>
      </c>
      <c r="B107" s="6" t="inlineStr">
        <is>
          <t>COLUMN-2</t>
        </is>
      </c>
      <c r="C107" s="7" t="n"/>
      <c r="D107" s="6" t="inlineStr">
        <is>
          <t>C2</t>
        </is>
      </c>
      <c r="E107" s="7" t="n"/>
      <c r="F107" s="7" t="n"/>
      <c r="G107" s="7" t="n"/>
      <c r="H107" s="9">
        <f>IFERROR(SLOPE(F106:F110,E106:E110),"")</f>
        <v/>
      </c>
      <c r="I107" s="9">
        <f>IFERROR(INTERCEPT(F106:F110,E106:E110),"")</f>
        <v/>
      </c>
      <c r="J107" s="11">
        <f>IFERROR(CORREL(F106:F110,E106:E110),"")</f>
        <v/>
      </c>
      <c r="K107" s="9">
        <f>IFERROR(G111/G105*100,"")</f>
        <v/>
      </c>
    </row>
    <row r="108" ht="22" customHeight="1">
      <c r="A108" s="6" t="inlineStr">
        <is>
          <t>IMP-09</t>
        </is>
      </c>
      <c r="B108" s="6" t="inlineStr">
        <is>
          <t>COLUMN-2</t>
        </is>
      </c>
      <c r="C108" s="7" t="n"/>
      <c r="D108" s="6" t="inlineStr">
        <is>
          <t>C3</t>
        </is>
      </c>
      <c r="E108" s="7" t="n"/>
      <c r="F108" s="7" t="n"/>
      <c r="G108" s="7" t="n"/>
      <c r="H108" s="9">
        <f>IFERROR(SLOPE(F106:F110,E106:E110),"")</f>
        <v/>
      </c>
      <c r="I108" s="9">
        <f>IFERROR(INTERCEPT(F106:F110,E106:E110),"")</f>
        <v/>
      </c>
      <c r="J108" s="11">
        <f>IFERROR(CORREL(F106:F110,E106:E110),"")</f>
        <v/>
      </c>
      <c r="K108" s="9">
        <f>IFERROR(G111/G105*100,"")</f>
        <v/>
      </c>
    </row>
    <row r="109" ht="22" customHeight="1">
      <c r="A109" s="6" t="inlineStr">
        <is>
          <t>IMP-09</t>
        </is>
      </c>
      <c r="B109" s="6" t="inlineStr">
        <is>
          <t>COLUMN-2</t>
        </is>
      </c>
      <c r="C109" s="7" t="n"/>
      <c r="D109" s="6" t="inlineStr">
        <is>
          <t>C4</t>
        </is>
      </c>
      <c r="E109" s="7" t="n"/>
      <c r="F109" s="7" t="n"/>
      <c r="G109" s="7" t="n"/>
      <c r="H109" s="9">
        <f>IFERROR(SLOPE(F106:F110,E106:E110),"")</f>
        <v/>
      </c>
      <c r="I109" s="9">
        <f>IFERROR(INTERCEPT(F106:F110,E106:E110),"")</f>
        <v/>
      </c>
      <c r="J109" s="11">
        <f>IFERROR(CORREL(F106:F110,E106:E110),"")</f>
        <v/>
      </c>
      <c r="K109" s="9">
        <f>IFERROR(G111/G105*100,"")</f>
        <v/>
      </c>
    </row>
    <row r="110" ht="22" customHeight="1">
      <c r="A110" s="6" t="inlineStr">
        <is>
          <t>IMP-09</t>
        </is>
      </c>
      <c r="B110" s="6" t="inlineStr">
        <is>
          <t>COLUMN-2</t>
        </is>
      </c>
      <c r="C110" s="7" t="n"/>
      <c r="D110" s="6" t="inlineStr">
        <is>
          <t>C5</t>
        </is>
      </c>
      <c r="E110" s="7" t="n"/>
      <c r="F110" s="7" t="n"/>
      <c r="G110" s="7" t="n"/>
      <c r="H110" s="9">
        <f>IFERROR(SLOPE(F106:F110,E106:E110),"")</f>
        <v/>
      </c>
      <c r="I110" s="9">
        <f>IFERROR(INTERCEPT(F106:F110,E106:E110),"")</f>
        <v/>
      </c>
      <c r="J110" s="11">
        <f>IFERROR(CORREL(F106:F110,E106:E110),"")</f>
        <v/>
      </c>
      <c r="K110" s="9">
        <f>IFERROR(G111/G105*100,"")</f>
        <v/>
      </c>
    </row>
    <row r="111" ht="22" customHeight="1">
      <c r="A111" s="6" t="inlineStr">
        <is>
          <t>IMP-09</t>
        </is>
      </c>
      <c r="B111" s="6" t="inlineStr">
        <is>
          <t>COLUMN-2</t>
        </is>
      </c>
      <c r="C111" s="7" t="n"/>
      <c r="D111" s="6" t="inlineStr">
        <is>
          <t>SPIKED</t>
        </is>
      </c>
      <c r="E111" s="7" t="n"/>
      <c r="F111" s="7" t="n"/>
      <c r="G111" s="7" t="n"/>
      <c r="H111" s="9">
        <f>IFERROR(SLOPE(F106:F110,E106:E110),"")</f>
        <v/>
      </c>
      <c r="I111" s="9">
        <f>IFERROR(INTERCEPT(F106:F110,E106:E110),"")</f>
        <v/>
      </c>
      <c r="J111" s="11">
        <f>IFERROR(CORREL(F106:F110,E106:E110),"")</f>
        <v/>
      </c>
      <c r="K111" s="9">
        <f>IFERROR(G111/G105*100,"")</f>
        <v/>
      </c>
    </row>
    <row r="112" ht="22" customHeight="1">
      <c r="A112" s="6" t="inlineStr">
        <is>
          <t>IMP-10</t>
        </is>
      </c>
      <c r="B112" s="6" t="inlineStr">
        <is>
          <t>COLUMN-1</t>
        </is>
      </c>
      <c r="C112" s="7" t="n"/>
      <c r="D112" s="6" t="inlineStr">
        <is>
          <t>C1</t>
        </is>
      </c>
      <c r="E112" s="7" t="n"/>
      <c r="F112" s="7" t="n"/>
      <c r="G112" s="7" t="n"/>
      <c r="H112" s="9">
        <f>IFERROR(SLOPE(F112:F116,E112:E116),"")</f>
        <v/>
      </c>
      <c r="I112" s="9">
        <f>IFERROR(INTERCEPT(F112:F116,E112:E116),"")</f>
        <v/>
      </c>
      <c r="J112" s="11">
        <f>IFERROR(CORREL(F112:F116,E112:E116),"")</f>
        <v/>
      </c>
      <c r="K112" s="9">
        <f>IFERROR(G123/G117*100,"")</f>
        <v/>
      </c>
    </row>
    <row r="113" ht="22" customHeight="1">
      <c r="A113" s="6" t="inlineStr">
        <is>
          <t>IMP-10</t>
        </is>
      </c>
      <c r="B113" s="6" t="inlineStr">
        <is>
          <t>COLUMN-1</t>
        </is>
      </c>
      <c r="C113" s="7" t="n"/>
      <c r="D113" s="6" t="inlineStr">
        <is>
          <t>C2</t>
        </is>
      </c>
      <c r="E113" s="7" t="n"/>
      <c r="F113" s="7" t="n"/>
      <c r="G113" s="7" t="n"/>
      <c r="H113" s="9">
        <f>IFERROR(SLOPE(F112:F116,E112:E116),"")</f>
        <v/>
      </c>
      <c r="I113" s="9">
        <f>IFERROR(INTERCEPT(F112:F116,E112:E116),"")</f>
        <v/>
      </c>
      <c r="J113" s="11">
        <f>IFERROR(CORREL(F112:F116,E112:E116),"")</f>
        <v/>
      </c>
      <c r="K113" s="9">
        <f>IFERROR(G123/G117*100,"")</f>
        <v/>
      </c>
    </row>
    <row r="114" ht="22" customHeight="1">
      <c r="A114" s="6" t="inlineStr">
        <is>
          <t>IMP-10</t>
        </is>
      </c>
      <c r="B114" s="6" t="inlineStr">
        <is>
          <t>COLUMN-1</t>
        </is>
      </c>
      <c r="C114" s="7" t="n"/>
      <c r="D114" s="6" t="inlineStr">
        <is>
          <t>C3</t>
        </is>
      </c>
      <c r="E114" s="7" t="n"/>
      <c r="F114" s="7" t="n"/>
      <c r="G114" s="7" t="n"/>
      <c r="H114" s="9">
        <f>IFERROR(SLOPE(F112:F116,E112:E116),"")</f>
        <v/>
      </c>
      <c r="I114" s="9">
        <f>IFERROR(INTERCEPT(F112:F116,E112:E116),"")</f>
        <v/>
      </c>
      <c r="J114" s="11">
        <f>IFERROR(CORREL(F112:F116,E112:E116),"")</f>
        <v/>
      </c>
      <c r="K114" s="9">
        <f>IFERROR(G123/G117*100,"")</f>
        <v/>
      </c>
    </row>
    <row r="115" ht="22" customHeight="1">
      <c r="A115" s="6" t="inlineStr">
        <is>
          <t>IMP-10</t>
        </is>
      </c>
      <c r="B115" s="6" t="inlineStr">
        <is>
          <t>COLUMN-1</t>
        </is>
      </c>
      <c r="C115" s="7" t="n"/>
      <c r="D115" s="6" t="inlineStr">
        <is>
          <t>C4</t>
        </is>
      </c>
      <c r="E115" s="7" t="n"/>
      <c r="F115" s="7" t="n"/>
      <c r="G115" s="7" t="n"/>
      <c r="H115" s="9">
        <f>IFERROR(SLOPE(F112:F116,E112:E116),"")</f>
        <v/>
      </c>
      <c r="I115" s="9">
        <f>IFERROR(INTERCEPT(F112:F116,E112:E116),"")</f>
        <v/>
      </c>
      <c r="J115" s="11">
        <f>IFERROR(CORREL(F112:F116,E112:E116),"")</f>
        <v/>
      </c>
      <c r="K115" s="9">
        <f>IFERROR(G123/G117*100,"")</f>
        <v/>
      </c>
    </row>
    <row r="116" ht="22" customHeight="1">
      <c r="A116" s="6" t="inlineStr">
        <is>
          <t>IMP-10</t>
        </is>
      </c>
      <c r="B116" s="6" t="inlineStr">
        <is>
          <t>COLUMN-1</t>
        </is>
      </c>
      <c r="C116" s="7" t="n"/>
      <c r="D116" s="6" t="inlineStr">
        <is>
          <t>C5</t>
        </is>
      </c>
      <c r="E116" s="7" t="n"/>
      <c r="F116" s="7" t="n"/>
      <c r="G116" s="7" t="n"/>
      <c r="H116" s="9">
        <f>IFERROR(SLOPE(F112:F116,E112:E116),"")</f>
        <v/>
      </c>
      <c r="I116" s="9">
        <f>IFERROR(INTERCEPT(F112:F116,E112:E116),"")</f>
        <v/>
      </c>
      <c r="J116" s="11">
        <f>IFERROR(CORREL(F112:F116,E112:E116),"")</f>
        <v/>
      </c>
      <c r="K116" s="9">
        <f>IFERROR(G123/G117*100,"")</f>
        <v/>
      </c>
    </row>
    <row r="117" ht="22" customHeight="1">
      <c r="A117" s="6" t="inlineStr">
        <is>
          <t>IMP-10</t>
        </is>
      </c>
      <c r="B117" s="6" t="inlineStr">
        <is>
          <t>COLUMN-1</t>
        </is>
      </c>
      <c r="C117" s="7" t="n"/>
      <c r="D117" s="6" t="inlineStr">
        <is>
          <t>SPIKED</t>
        </is>
      </c>
      <c r="E117" s="7" t="n"/>
      <c r="F117" s="7" t="n"/>
      <c r="G117" s="7" t="n"/>
      <c r="H117" s="9">
        <f>IFERROR(SLOPE(F112:F116,E112:E116),"")</f>
        <v/>
      </c>
      <c r="I117" s="9">
        <f>IFERROR(INTERCEPT(F112:F116,E112:E116),"")</f>
        <v/>
      </c>
      <c r="J117" s="11">
        <f>IFERROR(CORREL(F112:F116,E112:E116),"")</f>
        <v/>
      </c>
      <c r="K117" s="9">
        <f>IFERROR(G123/G117*100,"")</f>
        <v/>
      </c>
    </row>
    <row r="118" ht="22" customHeight="1">
      <c r="A118" s="6" t="inlineStr">
        <is>
          <t>IMP-10</t>
        </is>
      </c>
      <c r="B118" s="6" t="inlineStr">
        <is>
          <t>COLUMN-2</t>
        </is>
      </c>
      <c r="C118" s="7" t="n"/>
      <c r="D118" s="6" t="inlineStr">
        <is>
          <t>C1</t>
        </is>
      </c>
      <c r="E118" s="7" t="n"/>
      <c r="F118" s="7" t="n"/>
      <c r="G118" s="7" t="n"/>
      <c r="H118" s="9">
        <f>IFERROR(SLOPE(F118:F122,E118:E122),"")</f>
        <v/>
      </c>
      <c r="I118" s="9">
        <f>IFERROR(INTERCEPT(F118:F122,E118:E122),"")</f>
        <v/>
      </c>
      <c r="J118" s="11">
        <f>IFERROR(CORREL(F118:F122,E118:E122),"")</f>
        <v/>
      </c>
      <c r="K118" s="9">
        <f>IFERROR(G123/G117*100,"")</f>
        <v/>
      </c>
    </row>
    <row r="119" ht="22" customHeight="1">
      <c r="A119" s="6" t="inlineStr">
        <is>
          <t>IMP-10</t>
        </is>
      </c>
      <c r="B119" s="6" t="inlineStr">
        <is>
          <t>COLUMN-2</t>
        </is>
      </c>
      <c r="C119" s="7" t="n"/>
      <c r="D119" s="6" t="inlineStr">
        <is>
          <t>C2</t>
        </is>
      </c>
      <c r="E119" s="7" t="n"/>
      <c r="F119" s="7" t="n"/>
      <c r="G119" s="7" t="n"/>
      <c r="H119" s="9">
        <f>IFERROR(SLOPE(F118:F122,E118:E122),"")</f>
        <v/>
      </c>
      <c r="I119" s="9">
        <f>IFERROR(INTERCEPT(F118:F122,E118:E122),"")</f>
        <v/>
      </c>
      <c r="J119" s="11">
        <f>IFERROR(CORREL(F118:F122,E118:E122),"")</f>
        <v/>
      </c>
      <c r="K119" s="9">
        <f>IFERROR(G123/G117*100,"")</f>
        <v/>
      </c>
    </row>
    <row r="120" ht="22" customHeight="1">
      <c r="A120" s="6" t="inlineStr">
        <is>
          <t>IMP-10</t>
        </is>
      </c>
      <c r="B120" s="6" t="inlineStr">
        <is>
          <t>COLUMN-2</t>
        </is>
      </c>
      <c r="C120" s="7" t="n"/>
      <c r="D120" s="6" t="inlineStr">
        <is>
          <t>C3</t>
        </is>
      </c>
      <c r="E120" s="7" t="n"/>
      <c r="F120" s="7" t="n"/>
      <c r="G120" s="7" t="n"/>
      <c r="H120" s="9">
        <f>IFERROR(SLOPE(F118:F122,E118:E122),"")</f>
        <v/>
      </c>
      <c r="I120" s="9">
        <f>IFERROR(INTERCEPT(F118:F122,E118:E122),"")</f>
        <v/>
      </c>
      <c r="J120" s="11">
        <f>IFERROR(CORREL(F118:F122,E118:E122),"")</f>
        <v/>
      </c>
      <c r="K120" s="9">
        <f>IFERROR(G123/G117*100,"")</f>
        <v/>
      </c>
    </row>
    <row r="121" ht="22" customHeight="1">
      <c r="A121" s="6" t="inlineStr">
        <is>
          <t>IMP-10</t>
        </is>
      </c>
      <c r="B121" s="6" t="inlineStr">
        <is>
          <t>COLUMN-2</t>
        </is>
      </c>
      <c r="C121" s="7" t="n"/>
      <c r="D121" s="6" t="inlineStr">
        <is>
          <t>C4</t>
        </is>
      </c>
      <c r="E121" s="7" t="n"/>
      <c r="F121" s="7" t="n"/>
      <c r="G121" s="7" t="n"/>
      <c r="H121" s="9">
        <f>IFERROR(SLOPE(F118:F122,E118:E122),"")</f>
        <v/>
      </c>
      <c r="I121" s="9">
        <f>IFERROR(INTERCEPT(F118:F122,E118:E122),"")</f>
        <v/>
      </c>
      <c r="J121" s="11">
        <f>IFERROR(CORREL(F118:F122,E118:E122),"")</f>
        <v/>
      </c>
      <c r="K121" s="9">
        <f>IFERROR(G123/G117*100,"")</f>
        <v/>
      </c>
    </row>
    <row r="122" ht="22" customHeight="1">
      <c r="A122" s="6" t="inlineStr">
        <is>
          <t>IMP-10</t>
        </is>
      </c>
      <c r="B122" s="6" t="inlineStr">
        <is>
          <t>COLUMN-2</t>
        </is>
      </c>
      <c r="C122" s="7" t="n"/>
      <c r="D122" s="6" t="inlineStr">
        <is>
          <t>C5</t>
        </is>
      </c>
      <c r="E122" s="7" t="n"/>
      <c r="F122" s="7" t="n"/>
      <c r="G122" s="7" t="n"/>
      <c r="H122" s="9">
        <f>IFERROR(SLOPE(F118:F122,E118:E122),"")</f>
        <v/>
      </c>
      <c r="I122" s="9">
        <f>IFERROR(INTERCEPT(F118:F122,E118:E122),"")</f>
        <v/>
      </c>
      <c r="J122" s="11">
        <f>IFERROR(CORREL(F118:F122,E118:E122),"")</f>
        <v/>
      </c>
      <c r="K122" s="9">
        <f>IFERROR(G123/G117*100,"")</f>
        <v/>
      </c>
    </row>
    <row r="123" ht="22" customHeight="1">
      <c r="A123" s="6" t="inlineStr">
        <is>
          <t>IMP-10</t>
        </is>
      </c>
      <c r="B123" s="6" t="inlineStr">
        <is>
          <t>COLUMN-2</t>
        </is>
      </c>
      <c r="C123" s="7" t="n"/>
      <c r="D123" s="6" t="inlineStr">
        <is>
          <t>SPIKED</t>
        </is>
      </c>
      <c r="E123" s="7" t="n"/>
      <c r="F123" s="7" t="n"/>
      <c r="G123" s="7" t="n"/>
      <c r="H123" s="9">
        <f>IFERROR(SLOPE(F118:F122,E118:E122),"")</f>
        <v/>
      </c>
      <c r="I123" s="9">
        <f>IFERROR(INTERCEPT(F118:F122,E118:E122),"")</f>
        <v/>
      </c>
      <c r="J123" s="11">
        <f>IFERROR(CORREL(F118:F122,E118:E122),"")</f>
        <v/>
      </c>
      <c r="K123" s="9">
        <f>IFERROR(G123/G117*100,"")</f>
        <v/>
      </c>
    </row>
  </sheetData>
  <sheetProtection selectLockedCells="0" selectUnlockedCells="1" sheet="1" objects="0" insertRows="0" insertHyperlinks="1" autoFilter="1" scenarios="0" formatColumns="0" deleteColumns="0" insertColumns="0" pivotTables="1" deleteRows="0" formatCells="0" formatRows="0" sort="1" password="A5CB"/>
  <mergeCells count="1">
    <mergeCell ref="A1:K1"/>
  </mergeCells>
  <conditionalFormatting sqref="A4:A123">
    <cfRule type="expression" priority="1" dxfId="0">
      <formula>AND(A4&lt;&gt;"",COUNTIF($A$4:$A$123,A4)&gt;20)</formula>
    </cfRule>
  </conditionalFormatting>
  <dataValidations count="1">
    <dataValidation sqref="E4 F4 G4 E5 F5 G5 E6 F6 G6 E7 F7 G7 E8 F8 G8 E9 F9 G9 E10 F10 G10 E11 F11 G11 E12 F12 G12 E13 F13 G13 E14 F14 G14 E15 F15 G15 E16 F16 G16 E17 F17 G17 E18 F18 G18 E19 F19 G19 E20 F20 G20 E21 F21 G21 E22 F22 G22 E23 F23 G23 E24 F24 G24 E25 F25 G25 E26 F26 G26 E27 F27 G27 E28 F28 G28 E29 F29 G29 E30 F30 G30 E31 F31 G31 E32 F32 G32 E33 F33 G33 E34 F34 G34 E35 F35 G35 E36 F36 G36 E37 F37 G37 E38 F38 G38 E39 F39 G39 E40 F40 G40 E41 F41 G41 E42 F42 G42 E43 F43 G43 E44 F44 G44 E45 F45 G45 E46 F46 G46 E47 F47 G47 E48 F48 G48 E49 F49 G49 E50 F50 G50 E51 F51 G51 E52 F52 G52 E53 F53 G53 E54 F54 G54 E55 F55 G55 E56 F56 G56 E57 F57 G57 E58 F58 G58 E59 F59 G59 E60 F60 G60 E61 F61 G61 E62 F62 G62 E63 F63 G63 E64 F64 G64 E65 F65 G65 E66 F66 G66 E67 F67 G67 E68 F68 G68 E69 F69 G69 E70 F70 G70 E71 F71 G71 E72 F72 G72 E73 F73 G73 E74 F74 G74 E75 F75 G75 E76 F76 G76 E77 F77 G77 E78 F78 G78 E79 F79 G79 E80 F80 G80 E81 F81 G81 E82 F82 G82 E83 F83 G83 E84 F84 G84 E85 F85 G85 E86 F86 G86 E87 F87 G87 E88 F88 G88 E89 F89 G89 E90 F90 G90 E91 F91 G91 E92 F92 G92 E93 F93 G93 E94 F94 G94 E95 F95 G95 E96 F96 G96 E97 F97 G97 E98 F98 G98 E99 F99 G99 E100 F100 G100 E101 F101 G101 E102 F102 G102 E103 F103 G103 E104 F104 G104 E105 F105 G105 E106 F106 G106 E107 F107 G107 E108 F108 G108 E109 F109 G109 E110 F110 G110 E111 F111 G111 E112 F112 G112 E113 F113 G113 E114 F114 G114 E115 F115 G115 E116 F116 G116 E117 F117 G117 E118 F118 G118 E119 F119 G119 E120 F120 G120 E121 F121 G121 E122 F122 G122 E123 F123 G123" showErrorMessage="1" showInputMessage="1" allowBlank="1" errorTitle="数据类型错误" error="该字段只能填写规定范围内的数值。" type="decimal" operator="between">
      <formula1>0</formula1>
      <formula2>1E+100</formula2>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2026-07-31T08:37:43Z</dcterms:created>
  <dcterms:modified xmlns:dcterms="http://purl.org/dc/terms/" xmlns:xsi="http://www.w3.org/2001/XMLSchema-instance" xsi:type="dcterms:W3CDTF">2026-07-31T08:37:43Z</dcterms:modified>
</cp:coreProperties>
</file>